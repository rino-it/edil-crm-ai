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\\192.168.1.231\scambio\AMMINISTRAZIONE\Clienti e Fornitori\2025\contabilità\"/>
    </mc:Choice>
  </mc:AlternateContent>
  <xr:revisionPtr revIDLastSave="0" documentId="13_ncr:1_{8FBAE6B7-DAB2-4EA0-B7BB-8B15B8A5AF83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ISTRUZIONI" sheetId="22" r:id="rId1"/>
    <sheet name="TANIA_FORNITORI" sheetId="1" r:id="rId2"/>
    <sheet name="REPORT XML" sheetId="21" r:id="rId3"/>
    <sheet name="UNIONE TANIA MAIN" sheetId="2" r:id="rId4"/>
    <sheet name="UNIONE REPORT MAIN" sheetId="20" r:id="rId5"/>
    <sheet name="MAIN" sheetId="3" r:id="rId6"/>
    <sheet name="STATICO" sheetId="4" state="hidden" r:id="rId7"/>
    <sheet name="MERGE" sheetId="5" state="hidden" r:id="rId8"/>
    <sheet name="ESPOSIZIONE (2)" sheetId="6" state="hidden" r:id="rId9"/>
    <sheet name="ESPOSIZIONE" sheetId="7" r:id="rId10"/>
    <sheet name="PIV.CASHFLOW" sheetId="8" r:id="rId11"/>
    <sheet name="CASHFLOW" sheetId="9" r:id="rId12"/>
    <sheet name="MUTUI" sheetId="10" r:id="rId13"/>
    <sheet name="TITOLI E CAMBIALI" sheetId="11" r:id="rId14"/>
    <sheet name="ASSICURAZIONI" sheetId="12" r:id="rId15"/>
    <sheet name="DOMICILIAZIONI" sheetId="13" r:id="rId16"/>
    <sheet name="ACCORDI" sheetId="14" r:id="rId17"/>
    <sheet name="DATABASE_SCHEDULAZIONE" sheetId="15" r:id="rId18"/>
    <sheet name="SCHEDULAZIONE" sheetId="16" r:id="rId19"/>
    <sheet name="Foglio1" sheetId="17" r:id="rId20"/>
  </sheets>
  <definedNames>
    <definedName name="_xlnm._FilterDatabase" localSheetId="17" hidden="1">DATABASE_SCHEDULAZIONE!$A$1:$D$191</definedName>
    <definedName name="_xlnm._FilterDatabase" localSheetId="9" hidden="1">ESPOSIZIONE!$C$5:$F$78</definedName>
    <definedName name="_xlnm._FilterDatabase" localSheetId="8" hidden="1">'ESPOSIZIONE (2)'!$C$3:$C$226</definedName>
    <definedName name="_xlnm._FilterDatabase" localSheetId="12" hidden="1">MUTUI!$A$3:$K$3</definedName>
    <definedName name="_xlnm._FilterDatabase" localSheetId="13" hidden="1">'TITOLI E CAMBIALI'!$A$1:$J$95</definedName>
    <definedName name="DatiEsterni_1" localSheetId="7" hidden="1">MERGE!$A$1:$M$2</definedName>
    <definedName name="DatiEsterni_1" localSheetId="6" hidden="1">STATICO!#REF!</definedName>
    <definedName name="DatiEsterni_1" localSheetId="1" hidden="1">TANIA_FORNITORI!$A$1:$L$1240</definedName>
    <definedName name="DatiEsterni_1" localSheetId="4" hidden="1">'UNIONE REPORT MAIN'!$A$1:$J$61</definedName>
    <definedName name="DatiEsterni_1" localSheetId="3" hidden="1">'UNIONE TANIA MAIN'!$A$1:$L$316</definedName>
    <definedName name="DatiEsterni_2" localSheetId="2" hidden="1">'REPORT XML'!$A$1:$J$702</definedName>
  </definedNames>
  <calcPr calcId="191029"/>
  <pivotCaches>
    <pivotCache cacheId="35" r:id="rId21"/>
    <pivotCache cacheId="44" r:id="rId22"/>
    <pivotCache cacheId="51" r:id="rId23"/>
  </pivotCaches>
</workbook>
</file>

<file path=xl/calcChain.xml><?xml version="1.0" encoding="utf-8"?>
<calcChain xmlns="http://schemas.openxmlformats.org/spreadsheetml/2006/main">
  <c r="J94" i="11" l="1"/>
  <c r="J92" i="11"/>
  <c r="J93" i="11"/>
  <c r="J88" i="11"/>
  <c r="L392" i="9"/>
  <c r="J392" i="9"/>
  <c r="I392" i="9"/>
  <c r="H392" i="9"/>
  <c r="D392" i="9"/>
  <c r="N392" i="9" s="1"/>
  <c r="N358" i="9"/>
  <c r="L358" i="9"/>
  <c r="K358" i="9"/>
  <c r="J358" i="9"/>
  <c r="I358" i="9"/>
  <c r="H358" i="9"/>
  <c r="N332" i="9"/>
  <c r="L332" i="9"/>
  <c r="K332" i="9"/>
  <c r="J332" i="9"/>
  <c r="I332" i="9"/>
  <c r="H332" i="9"/>
  <c r="K391" i="9"/>
  <c r="J391" i="9"/>
  <c r="I391" i="9"/>
  <c r="H391" i="9"/>
  <c r="N349" i="9"/>
  <c r="L349" i="9"/>
  <c r="K349" i="9"/>
  <c r="J349" i="9"/>
  <c r="I349" i="9"/>
  <c r="H349" i="9"/>
  <c r="N348" i="9"/>
  <c r="L348" i="9"/>
  <c r="K348" i="9"/>
  <c r="J348" i="9"/>
  <c r="I348" i="9"/>
  <c r="H348" i="9"/>
  <c r="N347" i="9"/>
  <c r="L347" i="9"/>
  <c r="K347" i="9"/>
  <c r="J347" i="9"/>
  <c r="I347" i="9"/>
  <c r="H347" i="9"/>
  <c r="N346" i="9"/>
  <c r="L346" i="9"/>
  <c r="K346" i="9"/>
  <c r="J346" i="9"/>
  <c r="I346" i="9"/>
  <c r="H346" i="9"/>
  <c r="L390" i="9"/>
  <c r="K390" i="9"/>
  <c r="I390" i="9"/>
  <c r="H390" i="9"/>
  <c r="N345" i="9"/>
  <c r="L345" i="9"/>
  <c r="K345" i="9"/>
  <c r="J345" i="9"/>
  <c r="I345" i="9"/>
  <c r="H345" i="9"/>
  <c r="N383" i="9"/>
  <c r="L383" i="9"/>
  <c r="K383" i="9"/>
  <c r="J383" i="9"/>
  <c r="I383" i="9"/>
  <c r="H383" i="9"/>
  <c r="H389" i="9"/>
  <c r="J389" i="9"/>
  <c r="K389" i="9"/>
  <c r="L389" i="9"/>
  <c r="I388" i="9"/>
  <c r="J388" i="9"/>
  <c r="K388" i="9"/>
  <c r="L388" i="9"/>
  <c r="N387" i="9"/>
  <c r="L387" i="9"/>
  <c r="K387" i="9"/>
  <c r="J387" i="9"/>
  <c r="I387" i="9"/>
  <c r="H387" i="9"/>
  <c r="N380" i="9"/>
  <c r="L380" i="9"/>
  <c r="K380" i="9"/>
  <c r="J380" i="9"/>
  <c r="I380" i="9"/>
  <c r="H380" i="9"/>
  <c r="D378" i="9"/>
  <c r="N378" i="9" s="1"/>
  <c r="N379" i="9"/>
  <c r="L379" i="9"/>
  <c r="K379" i="9"/>
  <c r="J379" i="9"/>
  <c r="I379" i="9"/>
  <c r="H379" i="9"/>
  <c r="L378" i="9"/>
  <c r="K378" i="9"/>
  <c r="J378" i="9"/>
  <c r="I378" i="9"/>
  <c r="N377" i="9"/>
  <c r="L377" i="9"/>
  <c r="K377" i="9"/>
  <c r="J377" i="9"/>
  <c r="I377" i="9"/>
  <c r="H377" i="9"/>
  <c r="N386" i="9"/>
  <c r="L386" i="9"/>
  <c r="K386" i="9"/>
  <c r="J386" i="9"/>
  <c r="I386" i="9"/>
  <c r="H386" i="9"/>
  <c r="I401" i="9"/>
  <c r="H385" i="9"/>
  <c r="I385" i="9"/>
  <c r="J385" i="9"/>
  <c r="K385" i="9"/>
  <c r="L385" i="9"/>
  <c r="N385" i="9"/>
  <c r="H381" i="9"/>
  <c r="I381" i="9"/>
  <c r="J381" i="9"/>
  <c r="K381" i="9"/>
  <c r="L381" i="9"/>
  <c r="N381" i="9"/>
  <c r="H382" i="9"/>
  <c r="I382" i="9"/>
  <c r="J382" i="9"/>
  <c r="K382" i="9"/>
  <c r="L382" i="9"/>
  <c r="N382" i="9"/>
  <c r="H356" i="9"/>
  <c r="I356" i="9"/>
  <c r="J356" i="9"/>
  <c r="K356" i="9"/>
  <c r="L356" i="9"/>
  <c r="N356" i="9"/>
  <c r="H357" i="9"/>
  <c r="I357" i="9"/>
  <c r="J357" i="9"/>
  <c r="K357" i="9"/>
  <c r="L357" i="9"/>
  <c r="N357" i="9"/>
  <c r="H354" i="9"/>
  <c r="I354" i="9"/>
  <c r="J354" i="9"/>
  <c r="K354" i="9"/>
  <c r="L354" i="9"/>
  <c r="N354" i="9"/>
  <c r="H355" i="9"/>
  <c r="I355" i="9"/>
  <c r="J355" i="9"/>
  <c r="K355" i="9"/>
  <c r="L355" i="9"/>
  <c r="N355" i="9"/>
  <c r="H351" i="9"/>
  <c r="I351" i="9"/>
  <c r="J351" i="9"/>
  <c r="K351" i="9"/>
  <c r="L351" i="9"/>
  <c r="N351" i="9"/>
  <c r="H352" i="9"/>
  <c r="I352" i="9"/>
  <c r="J352" i="9"/>
  <c r="K352" i="9"/>
  <c r="L352" i="9"/>
  <c r="N352" i="9"/>
  <c r="H353" i="9"/>
  <c r="I353" i="9"/>
  <c r="J353" i="9"/>
  <c r="K353" i="9"/>
  <c r="L353" i="9"/>
  <c r="N353" i="9"/>
  <c r="H350" i="9"/>
  <c r="I350" i="9"/>
  <c r="J350" i="9"/>
  <c r="K350" i="9"/>
  <c r="L350" i="9"/>
  <c r="N350" i="9"/>
  <c r="I344" i="9"/>
  <c r="J344" i="9"/>
  <c r="K344" i="9"/>
  <c r="L344" i="9"/>
  <c r="D344" i="9"/>
  <c r="N344" i="9" s="1"/>
  <c r="D64" i="7"/>
  <c r="D65" i="7"/>
  <c r="C64" i="7"/>
  <c r="C65" i="7"/>
  <c r="D59" i="7"/>
  <c r="D60" i="7"/>
  <c r="D61" i="7"/>
  <c r="D62" i="7"/>
  <c r="D63" i="7"/>
  <c r="C59" i="7"/>
  <c r="C61" i="7"/>
  <c r="C62" i="7"/>
  <c r="C63" i="7"/>
  <c r="G251" i="3"/>
  <c r="K392" i="9" l="1"/>
  <c r="H378" i="9"/>
  <c r="H344" i="9"/>
  <c r="E65" i="7"/>
  <c r="F65" i="7" s="1"/>
  <c r="E64" i="7"/>
  <c r="F64" i="7" s="1"/>
  <c r="E59" i="7"/>
  <c r="F59" i="7" s="1"/>
  <c r="E62" i="7"/>
  <c r="F62" i="7" s="1"/>
  <c r="E63" i="7"/>
  <c r="F63" i="7" s="1"/>
  <c r="E61" i="7"/>
  <c r="F61" i="7" s="1"/>
  <c r="D509" i="9"/>
  <c r="G721" i="3"/>
  <c r="G226" i="3"/>
  <c r="G26" i="3"/>
  <c r="D56" i="7" l="1"/>
  <c r="D57" i="7"/>
  <c r="D58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7" i="7"/>
  <c r="D8" i="7"/>
  <c r="D9" i="7"/>
  <c r="D10" i="7"/>
  <c r="D11" i="7"/>
  <c r="D12" i="7"/>
  <c r="D13" i="7"/>
  <c r="D14" i="7"/>
  <c r="D15" i="7"/>
  <c r="D16" i="7"/>
  <c r="D23" i="7"/>
  <c r="D27" i="7"/>
  <c r="D28" i="7"/>
  <c r="D29" i="7"/>
  <c r="D30" i="7"/>
  <c r="D31" i="7"/>
  <c r="D32" i="7"/>
  <c r="D33" i="7"/>
  <c r="D34" i="7"/>
  <c r="D35" i="7"/>
  <c r="D36" i="7"/>
  <c r="H343" i="9"/>
  <c r="I343" i="9"/>
  <c r="J343" i="9"/>
  <c r="K343" i="9"/>
  <c r="L343" i="9"/>
  <c r="N343" i="9"/>
  <c r="H342" i="9"/>
  <c r="I342" i="9"/>
  <c r="J342" i="9"/>
  <c r="K342" i="9"/>
  <c r="L342" i="9"/>
  <c r="N342" i="9"/>
  <c r="H341" i="9"/>
  <c r="I341" i="9"/>
  <c r="J341" i="9"/>
  <c r="K341" i="9"/>
  <c r="L341" i="9"/>
  <c r="N341" i="9"/>
  <c r="H340" i="9"/>
  <c r="I340" i="9"/>
  <c r="J340" i="9"/>
  <c r="K340" i="9"/>
  <c r="L340" i="9"/>
  <c r="N340" i="9"/>
  <c r="H339" i="9"/>
  <c r="I339" i="9"/>
  <c r="J339" i="9"/>
  <c r="K339" i="9"/>
  <c r="L339" i="9"/>
  <c r="N339" i="9"/>
  <c r="H338" i="9"/>
  <c r="I338" i="9"/>
  <c r="J338" i="9"/>
  <c r="K338" i="9"/>
  <c r="L338" i="9"/>
  <c r="N338" i="9"/>
  <c r="H337" i="9"/>
  <c r="I337" i="9"/>
  <c r="J337" i="9"/>
  <c r="K337" i="9"/>
  <c r="L337" i="9"/>
  <c r="N337" i="9"/>
  <c r="H335" i="9"/>
  <c r="I335" i="9"/>
  <c r="J335" i="9"/>
  <c r="K335" i="9"/>
  <c r="L335" i="9"/>
  <c r="N335" i="9"/>
  <c r="H336" i="9"/>
  <c r="I336" i="9"/>
  <c r="J336" i="9"/>
  <c r="K336" i="9"/>
  <c r="L336" i="9"/>
  <c r="N336" i="9"/>
  <c r="H333" i="9"/>
  <c r="I333" i="9"/>
  <c r="J333" i="9"/>
  <c r="K333" i="9"/>
  <c r="L333" i="9"/>
  <c r="N333" i="9"/>
  <c r="H334" i="9"/>
  <c r="I334" i="9"/>
  <c r="J334" i="9"/>
  <c r="K334" i="9"/>
  <c r="L334" i="9"/>
  <c r="N334" i="9"/>
  <c r="H331" i="9"/>
  <c r="I331" i="9"/>
  <c r="J331" i="9"/>
  <c r="K331" i="9"/>
  <c r="L331" i="9"/>
  <c r="N331" i="9"/>
  <c r="H330" i="9"/>
  <c r="I330" i="9"/>
  <c r="J330" i="9"/>
  <c r="K330" i="9"/>
  <c r="L330" i="9"/>
  <c r="N330" i="9"/>
  <c r="H329" i="9"/>
  <c r="I329" i="9"/>
  <c r="J329" i="9"/>
  <c r="K329" i="9"/>
  <c r="L329" i="9"/>
  <c r="N329" i="9"/>
  <c r="H328" i="9"/>
  <c r="I328" i="9"/>
  <c r="J328" i="9"/>
  <c r="K328" i="9"/>
  <c r="L328" i="9"/>
  <c r="N328" i="9"/>
  <c r="H327" i="9"/>
  <c r="I327" i="9"/>
  <c r="J327" i="9"/>
  <c r="K327" i="9"/>
  <c r="L327" i="9"/>
  <c r="N327" i="9"/>
  <c r="H326" i="9"/>
  <c r="I326" i="9"/>
  <c r="J326" i="9"/>
  <c r="K326" i="9"/>
  <c r="L326" i="9"/>
  <c r="N326" i="9"/>
  <c r="D325" i="9"/>
  <c r="D22" i="7" s="1"/>
  <c r="H322" i="9"/>
  <c r="I322" i="9"/>
  <c r="J322" i="9"/>
  <c r="K322" i="9"/>
  <c r="L322" i="9"/>
  <c r="M322" i="9"/>
  <c r="N322" i="9"/>
  <c r="H321" i="9"/>
  <c r="I321" i="9"/>
  <c r="J321" i="9"/>
  <c r="K321" i="9"/>
  <c r="L321" i="9"/>
  <c r="M321" i="9"/>
  <c r="N321" i="9"/>
  <c r="H320" i="9"/>
  <c r="I320" i="9"/>
  <c r="J320" i="9"/>
  <c r="K320" i="9"/>
  <c r="L320" i="9"/>
  <c r="M320" i="9"/>
  <c r="N320" i="9"/>
  <c r="D302" i="9"/>
  <c r="H317" i="9"/>
  <c r="I317" i="9"/>
  <c r="J317" i="9"/>
  <c r="K317" i="9"/>
  <c r="L317" i="9"/>
  <c r="N317" i="9"/>
  <c r="H291" i="9"/>
  <c r="I291" i="9"/>
  <c r="J291" i="9"/>
  <c r="K291" i="9"/>
  <c r="L291" i="9"/>
  <c r="N291" i="9"/>
  <c r="D279" i="9"/>
  <c r="H313" i="9"/>
  <c r="I313" i="9"/>
  <c r="J313" i="9"/>
  <c r="K313" i="9"/>
  <c r="L313" i="9"/>
  <c r="N313" i="9"/>
  <c r="H314" i="9"/>
  <c r="I314" i="9"/>
  <c r="J314" i="9"/>
  <c r="K314" i="9"/>
  <c r="L314" i="9"/>
  <c r="N314" i="9"/>
  <c r="H318" i="9"/>
  <c r="I318" i="9"/>
  <c r="J318" i="9"/>
  <c r="K318" i="9"/>
  <c r="L318" i="9"/>
  <c r="N318" i="9"/>
  <c r="H315" i="9"/>
  <c r="J315" i="9"/>
  <c r="K315" i="9"/>
  <c r="L315" i="9"/>
  <c r="D315" i="9"/>
  <c r="N315" i="9" s="1"/>
  <c r="I316" i="9"/>
  <c r="J316" i="9"/>
  <c r="K316" i="9"/>
  <c r="L316" i="9"/>
  <c r="H310" i="9"/>
  <c r="I310" i="9"/>
  <c r="J310" i="9"/>
  <c r="K310" i="9"/>
  <c r="L310" i="9"/>
  <c r="N310" i="9"/>
  <c r="H311" i="9"/>
  <c r="I311" i="9"/>
  <c r="J311" i="9"/>
  <c r="K311" i="9"/>
  <c r="L311" i="9"/>
  <c r="N311" i="9"/>
  <c r="H309" i="9"/>
  <c r="I309" i="9"/>
  <c r="J309" i="9"/>
  <c r="K309" i="9"/>
  <c r="L309" i="9"/>
  <c r="N309" i="9"/>
  <c r="D529" i="9"/>
  <c r="D20" i="7" l="1"/>
  <c r="I315" i="9"/>
  <c r="N416" i="9" l="1"/>
  <c r="L416" i="9"/>
  <c r="K416" i="9"/>
  <c r="J416" i="9"/>
  <c r="I416" i="9"/>
  <c r="H416" i="9"/>
  <c r="H417" i="9"/>
  <c r="I417" i="9"/>
  <c r="J417" i="9"/>
  <c r="K417" i="9"/>
  <c r="L417" i="9"/>
  <c r="N417" i="9"/>
  <c r="N442" i="9"/>
  <c r="L442" i="9"/>
  <c r="K442" i="9"/>
  <c r="J442" i="9"/>
  <c r="I442" i="9"/>
  <c r="H442" i="9"/>
  <c r="N456" i="9"/>
  <c r="L456" i="9"/>
  <c r="K456" i="9"/>
  <c r="J456" i="9"/>
  <c r="I456" i="9"/>
  <c r="H456" i="9"/>
  <c r="H393" i="9"/>
  <c r="I393" i="9"/>
  <c r="J393" i="9"/>
  <c r="K393" i="9"/>
  <c r="L393" i="9"/>
  <c r="N393" i="9"/>
  <c r="N441" i="9"/>
  <c r="L441" i="9"/>
  <c r="K441" i="9"/>
  <c r="J441" i="9"/>
  <c r="I441" i="9"/>
  <c r="H441" i="9"/>
  <c r="H415" i="9"/>
  <c r="I415" i="9"/>
  <c r="J415" i="9"/>
  <c r="K415" i="9"/>
  <c r="L415" i="9"/>
  <c r="N415" i="9"/>
  <c r="L783" i="3" l="1"/>
  <c r="G116" i="3" l="1"/>
  <c r="G97" i="3"/>
  <c r="H371" i="9" l="1"/>
  <c r="I371" i="9"/>
  <c r="J371" i="9"/>
  <c r="K371" i="9"/>
  <c r="L371" i="9"/>
  <c r="N371" i="9"/>
  <c r="J84" i="11"/>
  <c r="D304" i="9"/>
  <c r="N304" i="9" s="1"/>
  <c r="N302" i="9"/>
  <c r="D300" i="9"/>
  <c r="N300" i="9" s="1"/>
  <c r="D301" i="9"/>
  <c r="H301" i="9" s="1"/>
  <c r="H298" i="9"/>
  <c r="I298" i="9"/>
  <c r="J298" i="9"/>
  <c r="K298" i="9"/>
  <c r="L298" i="9"/>
  <c r="N298" i="9"/>
  <c r="N299" i="9"/>
  <c r="L299" i="9"/>
  <c r="K299" i="9"/>
  <c r="J299" i="9"/>
  <c r="I299" i="9"/>
  <c r="H299" i="9"/>
  <c r="C8" i="7"/>
  <c r="C11" i="7"/>
  <c r="C12" i="7"/>
  <c r="C13" i="7"/>
  <c r="C14" i="7"/>
  <c r="C15" i="7"/>
  <c r="C6" i="7"/>
  <c r="L179" i="15"/>
  <c r="C179" i="15"/>
  <c r="L178" i="15"/>
  <c r="C178" i="15"/>
  <c r="L177" i="15"/>
  <c r="C177" i="15"/>
  <c r="L176" i="15"/>
  <c r="C176" i="15"/>
  <c r="L149" i="15"/>
  <c r="C149" i="15"/>
  <c r="L148" i="15"/>
  <c r="C148" i="15"/>
  <c r="L147" i="15"/>
  <c r="C147" i="15"/>
  <c r="L146" i="15"/>
  <c r="C146" i="15"/>
  <c r="L145" i="15"/>
  <c r="C145" i="15"/>
  <c r="L144" i="15"/>
  <c r="C144" i="15"/>
  <c r="L143" i="15"/>
  <c r="C143" i="15"/>
  <c r="L142" i="15"/>
  <c r="C142" i="15"/>
  <c r="L141" i="15"/>
  <c r="C141" i="15"/>
  <c r="L140" i="15"/>
  <c r="C140" i="15"/>
  <c r="L139" i="15"/>
  <c r="C139" i="15"/>
  <c r="L138" i="15"/>
  <c r="C138" i="15"/>
  <c r="L77" i="15"/>
  <c r="C77" i="15"/>
  <c r="L76" i="15"/>
  <c r="C76" i="15"/>
  <c r="L75" i="15"/>
  <c r="C75" i="15"/>
  <c r="L74" i="15"/>
  <c r="C74" i="15"/>
  <c r="L73" i="15"/>
  <c r="C73" i="15"/>
  <c r="L72" i="15"/>
  <c r="C72" i="15"/>
  <c r="L71" i="15"/>
  <c r="C71" i="15"/>
  <c r="L70" i="15"/>
  <c r="C70" i="15"/>
  <c r="L69" i="15"/>
  <c r="C69" i="15"/>
  <c r="L68" i="15"/>
  <c r="C68" i="15"/>
  <c r="L66" i="15"/>
  <c r="C66" i="15"/>
  <c r="L65" i="15"/>
  <c r="C65" i="15"/>
  <c r="L64" i="15"/>
  <c r="C64" i="15"/>
  <c r="L63" i="15"/>
  <c r="C63" i="15"/>
  <c r="L62" i="15"/>
  <c r="C62" i="15"/>
  <c r="L61" i="15"/>
  <c r="C61" i="15"/>
  <c r="L52" i="15"/>
  <c r="C52" i="15"/>
  <c r="L51" i="15"/>
  <c r="C51" i="15"/>
  <c r="L50" i="15"/>
  <c r="C50" i="15"/>
  <c r="L49" i="15"/>
  <c r="C49" i="15"/>
  <c r="L48" i="15"/>
  <c r="C48" i="15"/>
  <c r="L47" i="15"/>
  <c r="C47" i="15"/>
  <c r="L32" i="15"/>
  <c r="C32" i="15"/>
  <c r="L31" i="15"/>
  <c r="C31" i="15"/>
  <c r="L30" i="15"/>
  <c r="C30" i="15"/>
  <c r="L18" i="15"/>
  <c r="C18" i="15"/>
  <c r="L17" i="15"/>
  <c r="C17" i="15"/>
  <c r="L16" i="15"/>
  <c r="C16" i="15"/>
  <c r="L3" i="15"/>
  <c r="C3" i="15"/>
  <c r="L2" i="15"/>
  <c r="C2" i="15"/>
  <c r="D40" i="14"/>
  <c r="D14" i="14"/>
  <c r="M25" i="13"/>
  <c r="K25" i="13"/>
  <c r="D25" i="13"/>
  <c r="M24" i="13"/>
  <c r="K24" i="13"/>
  <c r="F24" i="13"/>
  <c r="N23" i="13"/>
  <c r="N21" i="13"/>
  <c r="I20" i="13"/>
  <c r="H20" i="13"/>
  <c r="N18" i="13"/>
  <c r="N17" i="13"/>
  <c r="N16" i="13"/>
  <c r="N13" i="13"/>
  <c r="N10" i="13"/>
  <c r="B9" i="13"/>
  <c r="N9" i="13" s="1"/>
  <c r="F8" i="13"/>
  <c r="N8" i="13" s="1"/>
  <c r="N7" i="13"/>
  <c r="N5" i="13"/>
  <c r="N4" i="13"/>
  <c r="J90" i="11"/>
  <c r="J89" i="11"/>
  <c r="J91" i="11"/>
  <c r="J87" i="11"/>
  <c r="J86" i="11"/>
  <c r="J85" i="11"/>
  <c r="J83" i="11"/>
  <c r="J82" i="11"/>
  <c r="J81" i="11"/>
  <c r="J80" i="11"/>
  <c r="I80" i="11"/>
  <c r="H80" i="11"/>
  <c r="J79" i="11"/>
  <c r="I79" i="11"/>
  <c r="H79" i="11"/>
  <c r="J78" i="11"/>
  <c r="I78" i="11"/>
  <c r="H78" i="11"/>
  <c r="J77" i="11"/>
  <c r="I77" i="11"/>
  <c r="H77" i="11"/>
  <c r="J76" i="11"/>
  <c r="I76" i="11"/>
  <c r="H76" i="11"/>
  <c r="J75" i="11"/>
  <c r="I75" i="11"/>
  <c r="H75" i="11"/>
  <c r="J74" i="11"/>
  <c r="I74" i="11"/>
  <c r="H74" i="11"/>
  <c r="J73" i="11"/>
  <c r="I73" i="11"/>
  <c r="J72" i="11"/>
  <c r="I72" i="11"/>
  <c r="H72" i="11"/>
  <c r="J71" i="11"/>
  <c r="I71" i="11"/>
  <c r="H71" i="11"/>
  <c r="J70" i="11"/>
  <c r="I70" i="11"/>
  <c r="H70" i="11"/>
  <c r="J69" i="11"/>
  <c r="I69" i="11"/>
  <c r="H69" i="11"/>
  <c r="J68" i="11"/>
  <c r="I68" i="11"/>
  <c r="H68" i="11"/>
  <c r="J67" i="11"/>
  <c r="I67" i="11"/>
  <c r="H67" i="11"/>
  <c r="J66" i="11"/>
  <c r="I66" i="11"/>
  <c r="H66" i="11"/>
  <c r="J65" i="11"/>
  <c r="I65" i="11"/>
  <c r="H65" i="11"/>
  <c r="J64" i="11"/>
  <c r="I64" i="11"/>
  <c r="H64" i="11"/>
  <c r="J63" i="11"/>
  <c r="I63" i="11"/>
  <c r="H63" i="11"/>
  <c r="J62" i="11"/>
  <c r="I62" i="11"/>
  <c r="H62" i="11"/>
  <c r="J61" i="11"/>
  <c r="I61" i="11"/>
  <c r="H61" i="11"/>
  <c r="J60" i="11"/>
  <c r="I60" i="11"/>
  <c r="H60" i="11"/>
  <c r="J59" i="11"/>
  <c r="I59" i="11"/>
  <c r="H59" i="11"/>
  <c r="J58" i="11"/>
  <c r="I58" i="11"/>
  <c r="H58" i="11"/>
  <c r="J57" i="11"/>
  <c r="I57" i="11"/>
  <c r="H57" i="11"/>
  <c r="J56" i="11"/>
  <c r="I56" i="11"/>
  <c r="H56" i="11"/>
  <c r="J55" i="11"/>
  <c r="I55" i="11"/>
  <c r="H55" i="11"/>
  <c r="J54" i="11"/>
  <c r="I54" i="11"/>
  <c r="H54" i="11"/>
  <c r="J53" i="11"/>
  <c r="I53" i="11"/>
  <c r="H53" i="11"/>
  <c r="J52" i="11"/>
  <c r="I52" i="11"/>
  <c r="H52" i="11"/>
  <c r="J51" i="11"/>
  <c r="I51" i="11"/>
  <c r="H51" i="11"/>
  <c r="J50" i="11"/>
  <c r="I50" i="11"/>
  <c r="H50" i="11"/>
  <c r="J49" i="11"/>
  <c r="I49" i="11"/>
  <c r="H49" i="11"/>
  <c r="J48" i="11"/>
  <c r="I48" i="11"/>
  <c r="H48" i="11"/>
  <c r="J47" i="11"/>
  <c r="I47" i="11"/>
  <c r="H47" i="11"/>
  <c r="J46" i="11"/>
  <c r="I46" i="11"/>
  <c r="H46" i="11"/>
  <c r="J45" i="11"/>
  <c r="I45" i="11"/>
  <c r="H45" i="11"/>
  <c r="J44" i="11"/>
  <c r="I44" i="11"/>
  <c r="H44" i="11"/>
  <c r="J43" i="11"/>
  <c r="I43" i="11"/>
  <c r="H43" i="11"/>
  <c r="J42" i="11"/>
  <c r="I42" i="11"/>
  <c r="H42" i="11"/>
  <c r="J41" i="11"/>
  <c r="I41" i="11"/>
  <c r="H41" i="11"/>
  <c r="J40" i="11"/>
  <c r="I40" i="11"/>
  <c r="H40" i="11"/>
  <c r="J39" i="11"/>
  <c r="I39" i="11"/>
  <c r="H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H31" i="11"/>
  <c r="J30" i="11"/>
  <c r="I30" i="11"/>
  <c r="H30" i="11"/>
  <c r="J29" i="11"/>
  <c r="I29" i="11"/>
  <c r="H29" i="11"/>
  <c r="J28" i="11"/>
  <c r="I28" i="11"/>
  <c r="H28" i="11"/>
  <c r="J27" i="11"/>
  <c r="I27" i="11"/>
  <c r="H27" i="11"/>
  <c r="J26" i="11"/>
  <c r="I26" i="11"/>
  <c r="H26" i="11"/>
  <c r="J25" i="11"/>
  <c r="I25" i="11"/>
  <c r="H25" i="11"/>
  <c r="J24" i="11"/>
  <c r="I24" i="11"/>
  <c r="H24" i="11"/>
  <c r="J23" i="11"/>
  <c r="I23" i="11"/>
  <c r="H23" i="11"/>
  <c r="J22" i="11"/>
  <c r="I22" i="11"/>
  <c r="H22" i="11"/>
  <c r="J21" i="11"/>
  <c r="I21" i="11"/>
  <c r="H21" i="11"/>
  <c r="J20" i="11"/>
  <c r="I20" i="11"/>
  <c r="H20" i="11"/>
  <c r="J19" i="11"/>
  <c r="I19" i="11"/>
  <c r="H19" i="11"/>
  <c r="J18" i="11"/>
  <c r="I18" i="11"/>
  <c r="H18" i="11"/>
  <c r="J17" i="11"/>
  <c r="I17" i="11"/>
  <c r="H17" i="11"/>
  <c r="J16" i="11"/>
  <c r="I16" i="11"/>
  <c r="J15" i="11"/>
  <c r="I15" i="11"/>
  <c r="H15" i="11"/>
  <c r="J14" i="11"/>
  <c r="I14" i="11"/>
  <c r="H14" i="11"/>
  <c r="J13" i="11"/>
  <c r="I13" i="11"/>
  <c r="H13" i="11"/>
  <c r="J12" i="11"/>
  <c r="I12" i="11"/>
  <c r="H12" i="11"/>
  <c r="J11" i="11"/>
  <c r="I11" i="11"/>
  <c r="H11" i="11"/>
  <c r="J10" i="11"/>
  <c r="J9" i="11"/>
  <c r="H9" i="11"/>
  <c r="J8" i="11"/>
  <c r="H8" i="11"/>
  <c r="J7" i="11"/>
  <c r="H7" i="11"/>
  <c r="J6" i="11"/>
  <c r="H6" i="11"/>
  <c r="J5" i="11"/>
  <c r="J4" i="11"/>
  <c r="H4" i="11"/>
  <c r="J3" i="11"/>
  <c r="J2" i="11"/>
  <c r="H2" i="11"/>
  <c r="J136" i="10"/>
  <c r="F136" i="10"/>
  <c r="J135" i="10" s="1"/>
  <c r="F135" i="10"/>
  <c r="J134" i="10" s="1"/>
  <c r="F134" i="10"/>
  <c r="J133" i="10" s="1"/>
  <c r="F133" i="10"/>
  <c r="J132" i="10" s="1"/>
  <c r="F132" i="10"/>
  <c r="J131" i="10" s="1"/>
  <c r="J130" i="10"/>
  <c r="H121" i="10"/>
  <c r="I116" i="10"/>
  <c r="I117" i="10" s="1"/>
  <c r="I118" i="10" s="1"/>
  <c r="I119" i="10" s="1"/>
  <c r="I120" i="10" s="1"/>
  <c r="J113" i="10"/>
  <c r="F113" i="10"/>
  <c r="J112" i="10" s="1"/>
  <c r="F112" i="10"/>
  <c r="J111" i="10" s="1"/>
  <c r="F111" i="10"/>
  <c r="J110" i="10" s="1"/>
  <c r="F110" i="10"/>
  <c r="J109" i="10" s="1"/>
  <c r="F109" i="10"/>
  <c r="J108" i="10" s="1"/>
  <c r="F108" i="10"/>
  <c r="J107" i="10" s="1"/>
  <c r="F107" i="10"/>
  <c r="J106" i="10" s="1"/>
  <c r="F106" i="10"/>
  <c r="J105" i="10" s="1"/>
  <c r="F105" i="10"/>
  <c r="J104" i="10" s="1"/>
  <c r="F104" i="10"/>
  <c r="J103" i="10" s="1"/>
  <c r="F103" i="10"/>
  <c r="J102" i="10" s="1"/>
  <c r="F102" i="10"/>
  <c r="J101" i="10" s="1"/>
  <c r="F101" i="10"/>
  <c r="J100" i="10" s="1"/>
  <c r="F100" i="10"/>
  <c r="J99" i="10" s="1"/>
  <c r="F99" i="10"/>
  <c r="J98" i="10" s="1"/>
  <c r="F98" i="10"/>
  <c r="J97" i="10" s="1"/>
  <c r="F97" i="10"/>
  <c r="J96" i="10" s="1"/>
  <c r="F96" i="10"/>
  <c r="J95" i="10" s="1"/>
  <c r="F95" i="10"/>
  <c r="J94" i="10" s="1"/>
  <c r="F94" i="10"/>
  <c r="J93" i="10" s="1"/>
  <c r="F93" i="10"/>
  <c r="J92" i="10" s="1"/>
  <c r="F92" i="10"/>
  <c r="J91" i="10" s="1"/>
  <c r="F91" i="10"/>
  <c r="J90" i="10" s="1"/>
  <c r="F90" i="10"/>
  <c r="J89" i="10" s="1"/>
  <c r="F89" i="10"/>
  <c r="J88" i="10" s="1"/>
  <c r="F88" i="10"/>
  <c r="J87" i="10" s="1"/>
  <c r="F87" i="10"/>
  <c r="J86" i="10" s="1"/>
  <c r="F86" i="10"/>
  <c r="I72" i="10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J70" i="10"/>
  <c r="J69" i="10"/>
  <c r="F69" i="10"/>
  <c r="F68" i="10"/>
  <c r="B68" i="10"/>
  <c r="F67" i="10"/>
  <c r="I66" i="10"/>
  <c r="I67" i="10" s="1"/>
  <c r="I68" i="10" s="1"/>
  <c r="F66" i="10"/>
  <c r="I62" i="10"/>
  <c r="I63" i="10" s="1"/>
  <c r="I64" i="10" s="1"/>
  <c r="J59" i="10"/>
  <c r="F59" i="10"/>
  <c r="H58" i="10"/>
  <c r="F58" i="10"/>
  <c r="I57" i="10"/>
  <c r="J54" i="10"/>
  <c r="F54" i="10"/>
  <c r="J53" i="10" s="1"/>
  <c r="F53" i="10"/>
  <c r="J52" i="10" s="1"/>
  <c r="F52" i="10"/>
  <c r="J51" i="10" s="1"/>
  <c r="F51" i="10"/>
  <c r="J50" i="10" s="1"/>
  <c r="F50" i="10"/>
  <c r="J49" i="10" s="1"/>
  <c r="F49" i="10"/>
  <c r="F48" i="10"/>
  <c r="F47" i="10"/>
  <c r="B47" i="10"/>
  <c r="F46" i="10"/>
  <c r="F45" i="10"/>
  <c r="I40" i="10"/>
  <c r="I41" i="10" s="1"/>
  <c r="I42" i="10" s="1"/>
  <c r="I43" i="10" s="1"/>
  <c r="I44" i="10" s="1"/>
  <c r="I45" i="10" s="1"/>
  <c r="I46" i="10" s="1"/>
  <c r="I47" i="10" s="1"/>
  <c r="I48" i="10" s="1"/>
  <c r="I49" i="10" s="1"/>
  <c r="J38" i="10"/>
  <c r="B36" i="10"/>
  <c r="I30" i="10"/>
  <c r="I31" i="10" s="1"/>
  <c r="I32" i="10" s="1"/>
  <c r="I33" i="10" s="1"/>
  <c r="I34" i="10" s="1"/>
  <c r="I35" i="10" s="1"/>
  <c r="I36" i="10" s="1"/>
  <c r="I37" i="10" s="1"/>
  <c r="J27" i="10"/>
  <c r="F27" i="10"/>
  <c r="J26" i="10" s="1"/>
  <c r="F26" i="10"/>
  <c r="J25" i="10" s="1"/>
  <c r="F25" i="10"/>
  <c r="J24" i="10" s="1"/>
  <c r="F24" i="10"/>
  <c r="J23" i="10" s="1"/>
  <c r="F23" i="10"/>
  <c r="J22" i="10" s="1"/>
  <c r="F22" i="10"/>
  <c r="J21" i="10" s="1"/>
  <c r="F21" i="10"/>
  <c r="J20" i="10" s="1"/>
  <c r="F20" i="10"/>
  <c r="J19" i="10" s="1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I6" i="10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F6" i="10"/>
  <c r="F5" i="10"/>
  <c r="G534" i="9"/>
  <c r="N533" i="9"/>
  <c r="L533" i="9"/>
  <c r="K533" i="9"/>
  <c r="J533" i="9"/>
  <c r="I533" i="9"/>
  <c r="H533" i="9"/>
  <c r="D533" i="9"/>
  <c r="C10" i="7" s="1"/>
  <c r="N532" i="9"/>
  <c r="L532" i="9"/>
  <c r="K532" i="9"/>
  <c r="J532" i="9"/>
  <c r="I532" i="9"/>
  <c r="H532" i="9"/>
  <c r="N531" i="9"/>
  <c r="L531" i="9"/>
  <c r="K531" i="9"/>
  <c r="J531" i="9"/>
  <c r="I531" i="9"/>
  <c r="H531" i="9"/>
  <c r="N530" i="9"/>
  <c r="L530" i="9"/>
  <c r="K530" i="9"/>
  <c r="J530" i="9"/>
  <c r="I530" i="9"/>
  <c r="H530" i="9"/>
  <c r="N529" i="9"/>
  <c r="L529" i="9"/>
  <c r="K529" i="9"/>
  <c r="J529" i="9"/>
  <c r="I529" i="9"/>
  <c r="H529" i="9"/>
  <c r="N528" i="9"/>
  <c r="L528" i="9"/>
  <c r="K528" i="9"/>
  <c r="J528" i="9"/>
  <c r="I528" i="9"/>
  <c r="H528" i="9"/>
  <c r="D528" i="9"/>
  <c r="N527" i="9"/>
  <c r="L527" i="9"/>
  <c r="K527" i="9"/>
  <c r="J527" i="9"/>
  <c r="I527" i="9"/>
  <c r="H527" i="9"/>
  <c r="N526" i="9"/>
  <c r="L526" i="9"/>
  <c r="K526" i="9"/>
  <c r="J526" i="9"/>
  <c r="I526" i="9"/>
  <c r="H526" i="9"/>
  <c r="N525" i="9"/>
  <c r="L525" i="9"/>
  <c r="K525" i="9"/>
  <c r="J525" i="9"/>
  <c r="I525" i="9"/>
  <c r="H525" i="9"/>
  <c r="N524" i="9"/>
  <c r="L524" i="9"/>
  <c r="K524" i="9"/>
  <c r="J524" i="9"/>
  <c r="I524" i="9"/>
  <c r="H524" i="9"/>
  <c r="N370" i="9"/>
  <c r="L370" i="9"/>
  <c r="K370" i="9"/>
  <c r="J370" i="9"/>
  <c r="I370" i="9"/>
  <c r="H370" i="9"/>
  <c r="N523" i="9"/>
  <c r="L523" i="9"/>
  <c r="K523" i="9"/>
  <c r="J523" i="9"/>
  <c r="I523" i="9"/>
  <c r="H523" i="9"/>
  <c r="N522" i="9"/>
  <c r="L522" i="9"/>
  <c r="K522" i="9"/>
  <c r="J522" i="9"/>
  <c r="I522" i="9"/>
  <c r="H522" i="9"/>
  <c r="D522" i="9"/>
  <c r="N521" i="9"/>
  <c r="L521" i="9"/>
  <c r="K521" i="9"/>
  <c r="J521" i="9"/>
  <c r="I521" i="9"/>
  <c r="H521" i="9"/>
  <c r="N520" i="9"/>
  <c r="N519" i="9"/>
  <c r="N518" i="9"/>
  <c r="L518" i="9"/>
  <c r="K518" i="9"/>
  <c r="J518" i="9"/>
  <c r="I518" i="9"/>
  <c r="H518" i="9"/>
  <c r="N517" i="9"/>
  <c r="M517" i="9"/>
  <c r="L517" i="9"/>
  <c r="K517" i="9"/>
  <c r="J517" i="9"/>
  <c r="I517" i="9"/>
  <c r="H517" i="9"/>
  <c r="N516" i="9"/>
  <c r="L516" i="9"/>
  <c r="K516" i="9"/>
  <c r="J516" i="9"/>
  <c r="I516" i="9"/>
  <c r="H516" i="9"/>
  <c r="N515" i="9"/>
  <c r="L515" i="9"/>
  <c r="K515" i="9"/>
  <c r="J515" i="9"/>
  <c r="I515" i="9"/>
  <c r="H515" i="9"/>
  <c r="N514" i="9"/>
  <c r="L514" i="9"/>
  <c r="K514" i="9"/>
  <c r="J514" i="9"/>
  <c r="I514" i="9"/>
  <c r="H514" i="9"/>
  <c r="D514" i="9"/>
  <c r="N513" i="9"/>
  <c r="L513" i="9"/>
  <c r="K513" i="9"/>
  <c r="J513" i="9"/>
  <c r="I513" i="9"/>
  <c r="H513" i="9"/>
  <c r="D513" i="9"/>
  <c r="N512" i="9"/>
  <c r="L512" i="9"/>
  <c r="K512" i="9"/>
  <c r="J512" i="9"/>
  <c r="I512" i="9"/>
  <c r="H512" i="9"/>
  <c r="C7" i="7"/>
  <c r="N511" i="9"/>
  <c r="L511" i="9"/>
  <c r="K511" i="9"/>
  <c r="J511" i="9"/>
  <c r="I511" i="9"/>
  <c r="H511" i="9"/>
  <c r="N510" i="9"/>
  <c r="L510" i="9"/>
  <c r="K510" i="9"/>
  <c r="J510" i="9"/>
  <c r="I510" i="9"/>
  <c r="H510" i="9"/>
  <c r="N509" i="9"/>
  <c r="L509" i="9"/>
  <c r="K509" i="9"/>
  <c r="J509" i="9"/>
  <c r="I509" i="9"/>
  <c r="H509" i="9"/>
  <c r="C57" i="7"/>
  <c r="E57" i="7" s="1"/>
  <c r="F57" i="7" s="1"/>
  <c r="N508" i="9"/>
  <c r="L508" i="9"/>
  <c r="K508" i="9"/>
  <c r="J508" i="9"/>
  <c r="I508" i="9"/>
  <c r="H508" i="9"/>
  <c r="N507" i="9"/>
  <c r="L507" i="9"/>
  <c r="K507" i="9"/>
  <c r="J507" i="9"/>
  <c r="I507" i="9"/>
  <c r="H507" i="9"/>
  <c r="N506" i="9"/>
  <c r="L506" i="9"/>
  <c r="K506" i="9"/>
  <c r="J506" i="9"/>
  <c r="I506" i="9"/>
  <c r="H506" i="9"/>
  <c r="N505" i="9"/>
  <c r="M505" i="9"/>
  <c r="L505" i="9"/>
  <c r="K505" i="9"/>
  <c r="J505" i="9"/>
  <c r="I505" i="9"/>
  <c r="H505" i="9"/>
  <c r="N504" i="9"/>
  <c r="M504" i="9"/>
  <c r="L504" i="9"/>
  <c r="K504" i="9"/>
  <c r="J504" i="9"/>
  <c r="I504" i="9"/>
  <c r="H504" i="9"/>
  <c r="N503" i="9"/>
  <c r="M503" i="9"/>
  <c r="L503" i="9"/>
  <c r="K503" i="9"/>
  <c r="J503" i="9"/>
  <c r="I503" i="9"/>
  <c r="H503" i="9"/>
  <c r="N502" i="9"/>
  <c r="M502" i="9"/>
  <c r="L502" i="9"/>
  <c r="K502" i="9"/>
  <c r="J502" i="9"/>
  <c r="I502" i="9"/>
  <c r="H502" i="9"/>
  <c r="N501" i="9"/>
  <c r="L501" i="9"/>
  <c r="K501" i="9"/>
  <c r="J501" i="9"/>
  <c r="I501" i="9"/>
  <c r="H501" i="9"/>
  <c r="D501" i="9"/>
  <c r="N500" i="9"/>
  <c r="L500" i="9"/>
  <c r="K500" i="9"/>
  <c r="J500" i="9"/>
  <c r="I500" i="9"/>
  <c r="H500" i="9"/>
  <c r="D500" i="9"/>
  <c r="N499" i="9"/>
  <c r="L499" i="9"/>
  <c r="K499" i="9"/>
  <c r="J499" i="9"/>
  <c r="I499" i="9"/>
  <c r="H499" i="9"/>
  <c r="D499" i="9"/>
  <c r="N498" i="9"/>
  <c r="L498" i="9"/>
  <c r="K498" i="9"/>
  <c r="J498" i="9"/>
  <c r="I498" i="9"/>
  <c r="H498" i="9"/>
  <c r="D498" i="9"/>
  <c r="N497" i="9"/>
  <c r="L497" i="9"/>
  <c r="K497" i="9"/>
  <c r="J497" i="9"/>
  <c r="I497" i="9"/>
  <c r="H497" i="9"/>
  <c r="D497" i="9"/>
  <c r="N496" i="9"/>
  <c r="L496" i="9"/>
  <c r="K496" i="9"/>
  <c r="J496" i="9"/>
  <c r="I496" i="9"/>
  <c r="H496" i="9"/>
  <c r="D496" i="9"/>
  <c r="N495" i="9"/>
  <c r="L495" i="9"/>
  <c r="K495" i="9"/>
  <c r="J495" i="9"/>
  <c r="I495" i="9"/>
  <c r="H495" i="9"/>
  <c r="D495" i="9"/>
  <c r="N494" i="9"/>
  <c r="L494" i="9"/>
  <c r="K494" i="9"/>
  <c r="J494" i="9"/>
  <c r="I494" i="9"/>
  <c r="H494" i="9"/>
  <c r="D494" i="9"/>
  <c r="N493" i="9"/>
  <c r="L493" i="9"/>
  <c r="K493" i="9"/>
  <c r="J493" i="9"/>
  <c r="I493" i="9"/>
  <c r="H493" i="9"/>
  <c r="D493" i="9"/>
  <c r="N492" i="9"/>
  <c r="L492" i="9"/>
  <c r="K492" i="9"/>
  <c r="J492" i="9"/>
  <c r="I492" i="9"/>
  <c r="H492" i="9"/>
  <c r="D492" i="9"/>
  <c r="N491" i="9"/>
  <c r="L491" i="9"/>
  <c r="K491" i="9"/>
  <c r="J491" i="9"/>
  <c r="I491" i="9"/>
  <c r="H491" i="9"/>
  <c r="D491" i="9"/>
  <c r="N490" i="9"/>
  <c r="L490" i="9"/>
  <c r="K490" i="9"/>
  <c r="J490" i="9"/>
  <c r="I490" i="9"/>
  <c r="H490" i="9"/>
  <c r="D490" i="9"/>
  <c r="N489" i="9"/>
  <c r="L489" i="9"/>
  <c r="K489" i="9"/>
  <c r="J489" i="9"/>
  <c r="I489" i="9"/>
  <c r="H489" i="9"/>
  <c r="D489" i="9"/>
  <c r="N488" i="9"/>
  <c r="L488" i="9"/>
  <c r="K488" i="9"/>
  <c r="J488" i="9"/>
  <c r="I488" i="9"/>
  <c r="H488" i="9"/>
  <c r="D488" i="9"/>
  <c r="M487" i="9"/>
  <c r="G486" i="9"/>
  <c r="N485" i="9"/>
  <c r="L485" i="9"/>
  <c r="K485" i="9"/>
  <c r="J485" i="9"/>
  <c r="I485" i="9"/>
  <c r="H485" i="9"/>
  <c r="N484" i="9"/>
  <c r="L484" i="9"/>
  <c r="K484" i="9"/>
  <c r="J484" i="9"/>
  <c r="I484" i="9"/>
  <c r="H484" i="9"/>
  <c r="N483" i="9"/>
  <c r="L483" i="9"/>
  <c r="K483" i="9"/>
  <c r="J483" i="9"/>
  <c r="I483" i="9"/>
  <c r="H483" i="9"/>
  <c r="D483" i="9"/>
  <c r="N482" i="9"/>
  <c r="L482" i="9"/>
  <c r="K482" i="9"/>
  <c r="J482" i="9"/>
  <c r="I482" i="9"/>
  <c r="H482" i="9"/>
  <c r="D482" i="9"/>
  <c r="N481" i="9"/>
  <c r="L481" i="9"/>
  <c r="K481" i="9"/>
  <c r="J481" i="9"/>
  <c r="I481" i="9"/>
  <c r="H481" i="9"/>
  <c r="N480" i="9"/>
  <c r="L480" i="9"/>
  <c r="K480" i="9"/>
  <c r="J480" i="9"/>
  <c r="I480" i="9"/>
  <c r="H480" i="9"/>
  <c r="D480" i="9"/>
  <c r="N479" i="9"/>
  <c r="L479" i="9"/>
  <c r="K479" i="9"/>
  <c r="J479" i="9"/>
  <c r="I479" i="9"/>
  <c r="H479" i="9"/>
  <c r="N478" i="9"/>
  <c r="L478" i="9"/>
  <c r="K478" i="9"/>
  <c r="J478" i="9"/>
  <c r="I478" i="9"/>
  <c r="H478" i="9"/>
  <c r="G476" i="9"/>
  <c r="N475" i="9"/>
  <c r="L475" i="9"/>
  <c r="K475" i="9"/>
  <c r="J475" i="9"/>
  <c r="I475" i="9"/>
  <c r="H475" i="9"/>
  <c r="N474" i="9"/>
  <c r="L474" i="9"/>
  <c r="K474" i="9"/>
  <c r="J474" i="9"/>
  <c r="I474" i="9"/>
  <c r="H474" i="9"/>
  <c r="N473" i="9"/>
  <c r="L473" i="9"/>
  <c r="K473" i="9"/>
  <c r="J473" i="9"/>
  <c r="I473" i="9"/>
  <c r="H473" i="9"/>
  <c r="N472" i="9"/>
  <c r="L472" i="9"/>
  <c r="K472" i="9"/>
  <c r="J472" i="9"/>
  <c r="I472" i="9"/>
  <c r="H472" i="9"/>
  <c r="D472" i="9"/>
  <c r="N471" i="9"/>
  <c r="M471" i="9"/>
  <c r="L471" i="9"/>
  <c r="K471" i="9"/>
  <c r="J471" i="9"/>
  <c r="I471" i="9"/>
  <c r="H471" i="9"/>
  <c r="D471" i="9"/>
  <c r="N470" i="9"/>
  <c r="L470" i="9"/>
  <c r="K470" i="9"/>
  <c r="J470" i="9"/>
  <c r="I470" i="9"/>
  <c r="H470" i="9"/>
  <c r="N469" i="9"/>
  <c r="L469" i="9"/>
  <c r="K469" i="9"/>
  <c r="J469" i="9"/>
  <c r="I469" i="9"/>
  <c r="H469" i="9"/>
  <c r="G467" i="9"/>
  <c r="N466" i="9"/>
  <c r="L466" i="9"/>
  <c r="K466" i="9"/>
  <c r="J466" i="9"/>
  <c r="I466" i="9"/>
  <c r="H466" i="9"/>
  <c r="N465" i="9"/>
  <c r="L465" i="9"/>
  <c r="K465" i="9"/>
  <c r="J465" i="9"/>
  <c r="I465" i="9"/>
  <c r="H465" i="9"/>
  <c r="N464" i="9"/>
  <c r="L464" i="9"/>
  <c r="K464" i="9"/>
  <c r="J464" i="9"/>
  <c r="I464" i="9"/>
  <c r="H464" i="9"/>
  <c r="N463" i="9"/>
  <c r="L463" i="9"/>
  <c r="K463" i="9"/>
  <c r="J463" i="9"/>
  <c r="I463" i="9"/>
  <c r="H463" i="9"/>
  <c r="N462" i="9"/>
  <c r="L462" i="9"/>
  <c r="K462" i="9"/>
  <c r="J462" i="9"/>
  <c r="I462" i="9"/>
  <c r="H462" i="9"/>
  <c r="D462" i="9"/>
  <c r="N461" i="9"/>
  <c r="L461" i="9"/>
  <c r="K461" i="9"/>
  <c r="J461" i="9"/>
  <c r="I461" i="9"/>
  <c r="H461" i="9"/>
  <c r="D461" i="9"/>
  <c r="N460" i="9"/>
  <c r="L460" i="9"/>
  <c r="K460" i="9"/>
  <c r="J460" i="9"/>
  <c r="I460" i="9"/>
  <c r="H460" i="9"/>
  <c r="D460" i="9"/>
  <c r="N459" i="9"/>
  <c r="L459" i="9"/>
  <c r="K459" i="9"/>
  <c r="J459" i="9"/>
  <c r="I459" i="9"/>
  <c r="H459" i="9"/>
  <c r="D459" i="9"/>
  <c r="N458" i="9"/>
  <c r="L458" i="9"/>
  <c r="K458" i="9"/>
  <c r="J458" i="9"/>
  <c r="I458" i="9"/>
  <c r="H458" i="9"/>
  <c r="D458" i="9"/>
  <c r="N457" i="9"/>
  <c r="L457" i="9"/>
  <c r="K457" i="9"/>
  <c r="J457" i="9"/>
  <c r="I457" i="9"/>
  <c r="H457" i="9"/>
  <c r="N455" i="9"/>
  <c r="L455" i="9"/>
  <c r="K455" i="9"/>
  <c r="J455" i="9"/>
  <c r="I455" i="9"/>
  <c r="H455" i="9"/>
  <c r="G453" i="9"/>
  <c r="N452" i="9"/>
  <c r="L452" i="9"/>
  <c r="K452" i="9"/>
  <c r="J452" i="9"/>
  <c r="I452" i="9"/>
  <c r="H452" i="9"/>
  <c r="N451" i="9"/>
  <c r="L451" i="9"/>
  <c r="K451" i="9"/>
  <c r="J451" i="9"/>
  <c r="I451" i="9"/>
  <c r="H451" i="9"/>
  <c r="N450" i="9"/>
  <c r="L450" i="9"/>
  <c r="K450" i="9"/>
  <c r="J450" i="9"/>
  <c r="I450" i="9"/>
  <c r="H450" i="9"/>
  <c r="N449" i="9"/>
  <c r="L449" i="9"/>
  <c r="K449" i="9"/>
  <c r="J449" i="9"/>
  <c r="I449" i="9"/>
  <c r="H449" i="9"/>
  <c r="N448" i="9"/>
  <c r="L448" i="9"/>
  <c r="K448" i="9"/>
  <c r="J448" i="9"/>
  <c r="I448" i="9"/>
  <c r="H448" i="9"/>
  <c r="D448" i="9"/>
  <c r="N447" i="9"/>
  <c r="L447" i="9"/>
  <c r="K447" i="9"/>
  <c r="J447" i="9"/>
  <c r="I447" i="9"/>
  <c r="H447" i="9"/>
  <c r="D447" i="9"/>
  <c r="J306" i="9"/>
  <c r="I306" i="9"/>
  <c r="H306" i="9"/>
  <c r="D306" i="9"/>
  <c r="K306" i="9" s="1"/>
  <c r="N446" i="9"/>
  <c r="L446" i="9"/>
  <c r="K446" i="9"/>
  <c r="J446" i="9"/>
  <c r="I446" i="9"/>
  <c r="H446" i="9"/>
  <c r="D446" i="9"/>
  <c r="N445" i="9"/>
  <c r="L445" i="9"/>
  <c r="K445" i="9"/>
  <c r="J445" i="9"/>
  <c r="I445" i="9"/>
  <c r="H445" i="9"/>
  <c r="D445" i="9"/>
  <c r="N444" i="9"/>
  <c r="L444" i="9"/>
  <c r="K444" i="9"/>
  <c r="J444" i="9"/>
  <c r="I444" i="9"/>
  <c r="H444" i="9"/>
  <c r="D444" i="9"/>
  <c r="N443" i="9"/>
  <c r="L443" i="9"/>
  <c r="K443" i="9"/>
  <c r="J443" i="9"/>
  <c r="I443" i="9"/>
  <c r="H443" i="9"/>
  <c r="N440" i="9"/>
  <c r="L440" i="9"/>
  <c r="K440" i="9"/>
  <c r="J440" i="9"/>
  <c r="I440" i="9"/>
  <c r="H440" i="9"/>
  <c r="G438" i="9"/>
  <c r="N437" i="9"/>
  <c r="L437" i="9"/>
  <c r="K437" i="9"/>
  <c r="J437" i="9"/>
  <c r="I437" i="9"/>
  <c r="H437" i="9"/>
  <c r="D437" i="9"/>
  <c r="N436" i="9"/>
  <c r="L436" i="9"/>
  <c r="K436" i="9"/>
  <c r="J436" i="9"/>
  <c r="I436" i="9"/>
  <c r="H436" i="9"/>
  <c r="N435" i="9"/>
  <c r="L435" i="9"/>
  <c r="K435" i="9"/>
  <c r="J435" i="9"/>
  <c r="I435" i="9"/>
  <c r="H435" i="9"/>
  <c r="D435" i="9"/>
  <c r="N434" i="9"/>
  <c r="L434" i="9"/>
  <c r="K434" i="9"/>
  <c r="J434" i="9"/>
  <c r="I434" i="9"/>
  <c r="H434" i="9"/>
  <c r="N433" i="9"/>
  <c r="L433" i="9"/>
  <c r="K433" i="9"/>
  <c r="J433" i="9"/>
  <c r="I433" i="9"/>
  <c r="H433" i="9"/>
  <c r="N432" i="9"/>
  <c r="L432" i="9"/>
  <c r="K432" i="9"/>
  <c r="J432" i="9"/>
  <c r="I432" i="9"/>
  <c r="H432" i="9"/>
  <c r="N431" i="9"/>
  <c r="L431" i="9"/>
  <c r="K431" i="9"/>
  <c r="J431" i="9"/>
  <c r="I431" i="9"/>
  <c r="H431" i="9"/>
  <c r="D431" i="9"/>
  <c r="N430" i="9"/>
  <c r="L430" i="9"/>
  <c r="K430" i="9"/>
  <c r="J430" i="9"/>
  <c r="I430" i="9"/>
  <c r="H430" i="9"/>
  <c r="D430" i="9"/>
  <c r="N429" i="9"/>
  <c r="L429" i="9"/>
  <c r="K429" i="9"/>
  <c r="J429" i="9"/>
  <c r="I429" i="9"/>
  <c r="H429" i="9"/>
  <c r="N428" i="9"/>
  <c r="L428" i="9"/>
  <c r="K428" i="9"/>
  <c r="J428" i="9"/>
  <c r="I428" i="9"/>
  <c r="H428" i="9"/>
  <c r="D428" i="9"/>
  <c r="N427" i="9"/>
  <c r="L427" i="9"/>
  <c r="K427" i="9"/>
  <c r="J427" i="9"/>
  <c r="I427" i="9"/>
  <c r="H427" i="9"/>
  <c r="D427" i="9"/>
  <c r="N426" i="9"/>
  <c r="L426" i="9"/>
  <c r="K426" i="9"/>
  <c r="J426" i="9"/>
  <c r="I426" i="9"/>
  <c r="H426" i="9"/>
  <c r="D426" i="9"/>
  <c r="N425" i="9"/>
  <c r="L425" i="9"/>
  <c r="K425" i="9"/>
  <c r="J425" i="9"/>
  <c r="I425" i="9"/>
  <c r="H425" i="9"/>
  <c r="D425" i="9"/>
  <c r="N424" i="9"/>
  <c r="L424" i="9"/>
  <c r="K424" i="9"/>
  <c r="J424" i="9"/>
  <c r="I424" i="9"/>
  <c r="H424" i="9"/>
  <c r="D424" i="9"/>
  <c r="N423" i="9"/>
  <c r="M423" i="9"/>
  <c r="L423" i="9"/>
  <c r="K423" i="9"/>
  <c r="J423" i="9"/>
  <c r="I423" i="9"/>
  <c r="H423" i="9"/>
  <c r="D423" i="9"/>
  <c r="N422" i="9"/>
  <c r="L422" i="9"/>
  <c r="K422" i="9"/>
  <c r="J422" i="9"/>
  <c r="I422" i="9"/>
  <c r="H422" i="9"/>
  <c r="D422" i="9"/>
  <c r="N419" i="9"/>
  <c r="L419" i="9"/>
  <c r="K419" i="9"/>
  <c r="J419" i="9"/>
  <c r="I419" i="9"/>
  <c r="H419" i="9"/>
  <c r="N418" i="9"/>
  <c r="L418" i="9"/>
  <c r="K418" i="9"/>
  <c r="J418" i="9"/>
  <c r="I418" i="9"/>
  <c r="H418" i="9"/>
  <c r="N414" i="9"/>
  <c r="L414" i="9"/>
  <c r="K414" i="9"/>
  <c r="J414" i="9"/>
  <c r="I414" i="9"/>
  <c r="H414" i="9"/>
  <c r="G412" i="9"/>
  <c r="N411" i="9"/>
  <c r="L411" i="9"/>
  <c r="K411" i="9"/>
  <c r="J411" i="9"/>
  <c r="I411" i="9"/>
  <c r="H411" i="9"/>
  <c r="D411" i="9"/>
  <c r="N410" i="9"/>
  <c r="L410" i="9"/>
  <c r="K410" i="9"/>
  <c r="J410" i="9"/>
  <c r="I410" i="9"/>
  <c r="H410" i="9"/>
  <c r="N409" i="9"/>
  <c r="L409" i="9"/>
  <c r="K409" i="9"/>
  <c r="J409" i="9"/>
  <c r="I409" i="9"/>
  <c r="H409" i="9"/>
  <c r="N308" i="9"/>
  <c r="L308" i="9"/>
  <c r="K308" i="9"/>
  <c r="J308" i="9"/>
  <c r="I308" i="9"/>
  <c r="H308" i="9"/>
  <c r="N408" i="9"/>
  <c r="L408" i="9"/>
  <c r="K408" i="9"/>
  <c r="J408" i="9"/>
  <c r="I408" i="9"/>
  <c r="H408" i="9"/>
  <c r="N384" i="9"/>
  <c r="L384" i="9"/>
  <c r="K384" i="9"/>
  <c r="J384" i="9"/>
  <c r="I384" i="9"/>
  <c r="H384" i="9"/>
  <c r="N376" i="9"/>
  <c r="L376" i="9"/>
  <c r="K376" i="9"/>
  <c r="J376" i="9"/>
  <c r="I376" i="9"/>
  <c r="H376" i="9"/>
  <c r="N421" i="9"/>
  <c r="L421" i="9"/>
  <c r="K421" i="9"/>
  <c r="J421" i="9"/>
  <c r="I421" i="9"/>
  <c r="H421" i="9"/>
  <c r="D421" i="9"/>
  <c r="N407" i="9"/>
  <c r="L407" i="9"/>
  <c r="K407" i="9"/>
  <c r="J407" i="9"/>
  <c r="I407" i="9"/>
  <c r="H407" i="9"/>
  <c r="D407" i="9"/>
  <c r="N406" i="9"/>
  <c r="L406" i="9"/>
  <c r="K406" i="9"/>
  <c r="J406" i="9"/>
  <c r="I406" i="9"/>
  <c r="H406" i="9"/>
  <c r="D406" i="9"/>
  <c r="N405" i="9"/>
  <c r="L405" i="9"/>
  <c r="K405" i="9"/>
  <c r="J405" i="9"/>
  <c r="I405" i="9"/>
  <c r="H405" i="9"/>
  <c r="D405" i="9"/>
  <c r="N404" i="9"/>
  <c r="L404" i="9"/>
  <c r="K404" i="9"/>
  <c r="J404" i="9"/>
  <c r="I404" i="9"/>
  <c r="H404" i="9"/>
  <c r="D404" i="9"/>
  <c r="N403" i="9"/>
  <c r="M403" i="9"/>
  <c r="L403" i="9"/>
  <c r="K403" i="9"/>
  <c r="J403" i="9"/>
  <c r="I403" i="9"/>
  <c r="H403" i="9"/>
  <c r="D403" i="9"/>
  <c r="N402" i="9"/>
  <c r="L402" i="9"/>
  <c r="K402" i="9"/>
  <c r="J402" i="9"/>
  <c r="I402" i="9"/>
  <c r="H402" i="9"/>
  <c r="D402" i="9"/>
  <c r="N401" i="9"/>
  <c r="L401" i="9"/>
  <c r="K401" i="9"/>
  <c r="J401" i="9"/>
  <c r="H401" i="9"/>
  <c r="D401" i="9"/>
  <c r="N400" i="9"/>
  <c r="L400" i="9"/>
  <c r="K400" i="9"/>
  <c r="J400" i="9"/>
  <c r="I400" i="9"/>
  <c r="H400" i="9"/>
  <c r="D400" i="9"/>
  <c r="N399" i="9"/>
  <c r="L399" i="9"/>
  <c r="K399" i="9"/>
  <c r="J399" i="9"/>
  <c r="I399" i="9"/>
  <c r="H399" i="9"/>
  <c r="N398" i="9"/>
  <c r="L398" i="9"/>
  <c r="K398" i="9"/>
  <c r="J398" i="9"/>
  <c r="I398" i="9"/>
  <c r="H398" i="9"/>
  <c r="N397" i="9"/>
  <c r="L397" i="9"/>
  <c r="K397" i="9"/>
  <c r="J397" i="9"/>
  <c r="I397" i="9"/>
  <c r="H397" i="9"/>
  <c r="D397" i="9"/>
  <c r="N396" i="9"/>
  <c r="L396" i="9"/>
  <c r="K396" i="9"/>
  <c r="J396" i="9"/>
  <c r="I396" i="9"/>
  <c r="H396" i="9"/>
  <c r="N395" i="9"/>
  <c r="L395" i="9"/>
  <c r="K395" i="9"/>
  <c r="J395" i="9"/>
  <c r="I395" i="9"/>
  <c r="H395" i="9"/>
  <c r="N394" i="9"/>
  <c r="L394" i="9"/>
  <c r="K394" i="9"/>
  <c r="J394" i="9"/>
  <c r="I394" i="9"/>
  <c r="H394" i="9"/>
  <c r="N375" i="9"/>
  <c r="L375" i="9"/>
  <c r="K375" i="9"/>
  <c r="J375" i="9"/>
  <c r="I375" i="9"/>
  <c r="H375" i="9"/>
  <c r="G373" i="9"/>
  <c r="N372" i="9"/>
  <c r="L372" i="9"/>
  <c r="K372" i="9"/>
  <c r="J372" i="9"/>
  <c r="I372" i="9"/>
  <c r="H372" i="9"/>
  <c r="N369" i="9"/>
  <c r="L369" i="9"/>
  <c r="K369" i="9"/>
  <c r="J369" i="9"/>
  <c r="I369" i="9"/>
  <c r="H369" i="9"/>
  <c r="N368" i="9"/>
  <c r="L368" i="9"/>
  <c r="K368" i="9"/>
  <c r="J368" i="9"/>
  <c r="I368" i="9"/>
  <c r="H368" i="9"/>
  <c r="N367" i="9"/>
  <c r="L367" i="9"/>
  <c r="K367" i="9"/>
  <c r="J367" i="9"/>
  <c r="I367" i="9"/>
  <c r="H367" i="9"/>
  <c r="N303" i="9"/>
  <c r="L303" i="9"/>
  <c r="K303" i="9"/>
  <c r="J303" i="9"/>
  <c r="I303" i="9"/>
  <c r="H303" i="9"/>
  <c r="N366" i="9"/>
  <c r="M366" i="9"/>
  <c r="L366" i="9"/>
  <c r="K366" i="9"/>
  <c r="J366" i="9"/>
  <c r="I366" i="9"/>
  <c r="H366" i="9"/>
  <c r="N365" i="9"/>
  <c r="L365" i="9"/>
  <c r="K365" i="9"/>
  <c r="J365" i="9"/>
  <c r="I365" i="9"/>
  <c r="H365" i="9"/>
  <c r="N364" i="9"/>
  <c r="L364" i="9"/>
  <c r="K364" i="9"/>
  <c r="J364" i="9"/>
  <c r="I364" i="9"/>
  <c r="H364" i="9"/>
  <c r="N363" i="9"/>
  <c r="L363" i="9"/>
  <c r="K363" i="9"/>
  <c r="J363" i="9"/>
  <c r="I363" i="9"/>
  <c r="H363" i="9"/>
  <c r="D363" i="9"/>
  <c r="N362" i="9"/>
  <c r="L362" i="9"/>
  <c r="K362" i="9"/>
  <c r="J362" i="9"/>
  <c r="I362" i="9"/>
  <c r="H362" i="9"/>
  <c r="D362" i="9"/>
  <c r="N361" i="9"/>
  <c r="L361" i="9"/>
  <c r="K361" i="9"/>
  <c r="J361" i="9"/>
  <c r="I361" i="9"/>
  <c r="H361" i="9"/>
  <c r="D361" i="9"/>
  <c r="N359" i="9"/>
  <c r="L359" i="9"/>
  <c r="K359" i="9"/>
  <c r="J359" i="9"/>
  <c r="I359" i="9"/>
  <c r="H359" i="9"/>
  <c r="D359" i="9"/>
  <c r="N325" i="9"/>
  <c r="L325" i="9"/>
  <c r="K325" i="9"/>
  <c r="J325" i="9"/>
  <c r="I325" i="9"/>
  <c r="H325" i="9"/>
  <c r="L324" i="9"/>
  <c r="K324" i="9"/>
  <c r="I324" i="9"/>
  <c r="H324" i="9"/>
  <c r="D324" i="9"/>
  <c r="J324" i="9" s="1"/>
  <c r="M305" i="9"/>
  <c r="K305" i="9"/>
  <c r="J305" i="9"/>
  <c r="I305" i="9"/>
  <c r="H305" i="9"/>
  <c r="D305" i="9"/>
  <c r="N305" i="9" s="1"/>
  <c r="N323" i="9"/>
  <c r="M323" i="9"/>
  <c r="L323" i="9"/>
  <c r="K323" i="9"/>
  <c r="J323" i="9"/>
  <c r="I323" i="9"/>
  <c r="H323" i="9"/>
  <c r="D323" i="9"/>
  <c r="N360" i="9"/>
  <c r="M360" i="9"/>
  <c r="L360" i="9"/>
  <c r="K360" i="9"/>
  <c r="J360" i="9"/>
  <c r="I360" i="9"/>
  <c r="H360" i="9"/>
  <c r="D360" i="9"/>
  <c r="N312" i="9"/>
  <c r="L312" i="9"/>
  <c r="K312" i="9"/>
  <c r="J312" i="9"/>
  <c r="I312" i="9"/>
  <c r="H312" i="9"/>
  <c r="N307" i="9"/>
  <c r="L307" i="9"/>
  <c r="K307" i="9"/>
  <c r="J307" i="9"/>
  <c r="I307" i="9"/>
  <c r="H307" i="9"/>
  <c r="L304" i="9"/>
  <c r="K304" i="9"/>
  <c r="J304" i="9"/>
  <c r="I304" i="9"/>
  <c r="H304" i="9"/>
  <c r="N297" i="9"/>
  <c r="L297" i="9"/>
  <c r="K297" i="9"/>
  <c r="J297" i="9"/>
  <c r="I297" i="9"/>
  <c r="H297" i="9"/>
  <c r="N296" i="9"/>
  <c r="L296" i="9"/>
  <c r="K296" i="9"/>
  <c r="J296" i="9"/>
  <c r="I296" i="9"/>
  <c r="H296" i="9"/>
  <c r="N295" i="9"/>
  <c r="L295" i="9"/>
  <c r="K295" i="9"/>
  <c r="J295" i="9"/>
  <c r="I295" i="9"/>
  <c r="H295" i="9"/>
  <c r="L301" i="9"/>
  <c r="K301" i="9"/>
  <c r="J301" i="9"/>
  <c r="I301" i="9"/>
  <c r="N294" i="9"/>
  <c r="L294" i="9"/>
  <c r="K294" i="9"/>
  <c r="J294" i="9"/>
  <c r="I294" i="9"/>
  <c r="H294" i="9"/>
  <c r="N293" i="9"/>
  <c r="L293" i="9"/>
  <c r="K293" i="9"/>
  <c r="J293" i="9"/>
  <c r="I293" i="9"/>
  <c r="H293" i="9"/>
  <c r="N292" i="9"/>
  <c r="L292" i="9"/>
  <c r="K292" i="9"/>
  <c r="J292" i="9"/>
  <c r="I292" i="9"/>
  <c r="H292" i="9"/>
  <c r="L300" i="9"/>
  <c r="K300" i="9"/>
  <c r="I300" i="9"/>
  <c r="H300" i="9"/>
  <c r="K302" i="9"/>
  <c r="J302" i="9"/>
  <c r="I302" i="9"/>
  <c r="H302" i="9"/>
  <c r="N290" i="9"/>
  <c r="L290" i="9"/>
  <c r="K290" i="9"/>
  <c r="J290" i="9"/>
  <c r="I290" i="9"/>
  <c r="H290" i="9"/>
  <c r="N289" i="9"/>
  <c r="L289" i="9"/>
  <c r="K289" i="9"/>
  <c r="J289" i="9"/>
  <c r="I289" i="9"/>
  <c r="H289" i="9"/>
  <c r="L286" i="9"/>
  <c r="K286" i="9"/>
  <c r="I286" i="9"/>
  <c r="H286" i="9"/>
  <c r="D286" i="9"/>
  <c r="J286" i="9" s="1"/>
  <c r="N285" i="9"/>
  <c r="L285" i="9"/>
  <c r="K285" i="9"/>
  <c r="J285" i="9"/>
  <c r="I285" i="9"/>
  <c r="H285" i="9"/>
  <c r="N284" i="9"/>
  <c r="L284" i="9"/>
  <c r="K284" i="9"/>
  <c r="J284" i="9"/>
  <c r="I284" i="9"/>
  <c r="H284" i="9"/>
  <c r="N283" i="9"/>
  <c r="M283" i="9"/>
  <c r="L283" i="9"/>
  <c r="K283" i="9"/>
  <c r="J283" i="9"/>
  <c r="I283" i="9"/>
  <c r="H283" i="9"/>
  <c r="D283" i="9"/>
  <c r="N282" i="9"/>
  <c r="M282" i="9"/>
  <c r="L282" i="9"/>
  <c r="K282" i="9"/>
  <c r="J282" i="9"/>
  <c r="I282" i="9"/>
  <c r="H282" i="9"/>
  <c r="N281" i="9"/>
  <c r="M281" i="9"/>
  <c r="L281" i="9"/>
  <c r="K281" i="9"/>
  <c r="J281" i="9"/>
  <c r="I281" i="9"/>
  <c r="H281" i="9"/>
  <c r="K280" i="9"/>
  <c r="J280" i="9"/>
  <c r="I280" i="9"/>
  <c r="H280" i="9"/>
  <c r="D280" i="9"/>
  <c r="N280" i="9" s="1"/>
  <c r="K279" i="9"/>
  <c r="J279" i="9"/>
  <c r="I279" i="9"/>
  <c r="H279" i="9"/>
  <c r="N279" i="9"/>
  <c r="N278" i="9"/>
  <c r="M278" i="9"/>
  <c r="L278" i="9"/>
  <c r="K278" i="9"/>
  <c r="J278" i="9"/>
  <c r="I278" i="9"/>
  <c r="H278" i="9"/>
  <c r="N277" i="9"/>
  <c r="M277" i="9"/>
  <c r="L277" i="9"/>
  <c r="K277" i="9"/>
  <c r="J277" i="9"/>
  <c r="I277" i="9"/>
  <c r="H277" i="9"/>
  <c r="N276" i="9"/>
  <c r="M276" i="9"/>
  <c r="L276" i="9"/>
  <c r="K276" i="9"/>
  <c r="J276" i="9"/>
  <c r="I276" i="9"/>
  <c r="H276" i="9"/>
  <c r="N275" i="9"/>
  <c r="M275" i="9"/>
  <c r="L275" i="9"/>
  <c r="K275" i="9"/>
  <c r="J275" i="9"/>
  <c r="I275" i="9"/>
  <c r="H275" i="9"/>
  <c r="N274" i="9"/>
  <c r="M274" i="9"/>
  <c r="L274" i="9"/>
  <c r="K274" i="9"/>
  <c r="J274" i="9"/>
  <c r="I274" i="9"/>
  <c r="H274" i="9"/>
  <c r="N273" i="9"/>
  <c r="M273" i="9"/>
  <c r="L273" i="9"/>
  <c r="K273" i="9"/>
  <c r="J273" i="9"/>
  <c r="I273" i="9"/>
  <c r="H273" i="9"/>
  <c r="N272" i="9"/>
  <c r="M272" i="9"/>
  <c r="L272" i="9"/>
  <c r="K272" i="9"/>
  <c r="J272" i="9"/>
  <c r="I272" i="9"/>
  <c r="H272" i="9"/>
  <c r="N271" i="9"/>
  <c r="M271" i="9"/>
  <c r="L271" i="9"/>
  <c r="K271" i="9"/>
  <c r="J271" i="9"/>
  <c r="I271" i="9"/>
  <c r="H271" i="9"/>
  <c r="D271" i="9"/>
  <c r="N270" i="9"/>
  <c r="M270" i="9"/>
  <c r="L270" i="9"/>
  <c r="K270" i="9"/>
  <c r="J270" i="9"/>
  <c r="I270" i="9"/>
  <c r="H270" i="9"/>
  <c r="L269" i="9"/>
  <c r="K269" i="9"/>
  <c r="J269" i="9"/>
  <c r="I269" i="9"/>
  <c r="H269" i="9"/>
  <c r="N268" i="9"/>
  <c r="L268" i="9"/>
  <c r="K268" i="9"/>
  <c r="J268" i="9"/>
  <c r="I268" i="9"/>
  <c r="H268" i="9"/>
  <c r="N267" i="9"/>
  <c r="L267" i="9"/>
  <c r="K267" i="9"/>
  <c r="J267" i="9"/>
  <c r="I267" i="9"/>
  <c r="H267" i="9"/>
  <c r="N266" i="9"/>
  <c r="L266" i="9"/>
  <c r="K266" i="9"/>
  <c r="J266" i="9"/>
  <c r="I266" i="9"/>
  <c r="H266" i="9"/>
  <c r="N265" i="9"/>
  <c r="L265" i="9"/>
  <c r="K265" i="9"/>
  <c r="J265" i="9"/>
  <c r="I265" i="9"/>
  <c r="H265" i="9"/>
  <c r="N264" i="9"/>
  <c r="L264" i="9"/>
  <c r="K264" i="9"/>
  <c r="J264" i="9"/>
  <c r="I264" i="9"/>
  <c r="H264" i="9"/>
  <c r="N263" i="9"/>
  <c r="L263" i="9"/>
  <c r="K263" i="9"/>
  <c r="J263" i="9"/>
  <c r="I263" i="9"/>
  <c r="H263" i="9"/>
  <c r="N262" i="9"/>
  <c r="L262" i="9"/>
  <c r="K262" i="9"/>
  <c r="J262" i="9"/>
  <c r="I262" i="9"/>
  <c r="H262" i="9"/>
  <c r="K261" i="9"/>
  <c r="J261" i="9"/>
  <c r="I261" i="9"/>
  <c r="H261" i="9"/>
  <c r="D261" i="9"/>
  <c r="N261" i="9" s="1"/>
  <c r="N260" i="9"/>
  <c r="L260" i="9"/>
  <c r="K260" i="9"/>
  <c r="J260" i="9"/>
  <c r="I260" i="9"/>
  <c r="H260" i="9"/>
  <c r="N259" i="9"/>
  <c r="L259" i="9"/>
  <c r="K259" i="9"/>
  <c r="J259" i="9"/>
  <c r="I259" i="9"/>
  <c r="H259" i="9"/>
  <c r="L258" i="9"/>
  <c r="K258" i="9"/>
  <c r="J258" i="9"/>
  <c r="I258" i="9"/>
  <c r="D258" i="9"/>
  <c r="H258" i="9" s="1"/>
  <c r="N257" i="9"/>
  <c r="L257" i="9"/>
  <c r="K257" i="9"/>
  <c r="J257" i="9"/>
  <c r="I257" i="9"/>
  <c r="H257" i="9"/>
  <c r="L256" i="9"/>
  <c r="K256" i="9"/>
  <c r="J256" i="9"/>
  <c r="H256" i="9"/>
  <c r="N255" i="9"/>
  <c r="L255" i="9"/>
  <c r="K255" i="9"/>
  <c r="J255" i="9"/>
  <c r="I255" i="9"/>
  <c r="H255" i="9"/>
  <c r="L254" i="9"/>
  <c r="K254" i="9"/>
  <c r="I254" i="9"/>
  <c r="H254" i="9"/>
  <c r="L253" i="9"/>
  <c r="K253" i="9"/>
  <c r="J253" i="9"/>
  <c r="I253" i="9"/>
  <c r="L252" i="9"/>
  <c r="J252" i="9"/>
  <c r="I252" i="9"/>
  <c r="H252" i="9"/>
  <c r="D252" i="9"/>
  <c r="N252" i="9" s="1"/>
  <c r="L251" i="9"/>
  <c r="J251" i="9"/>
  <c r="I251" i="9"/>
  <c r="H251" i="9"/>
  <c r="D251" i="9"/>
  <c r="N251" i="9" s="1"/>
  <c r="N250" i="9"/>
  <c r="L250" i="9"/>
  <c r="K250" i="9"/>
  <c r="J250" i="9"/>
  <c r="I250" i="9"/>
  <c r="H250" i="9"/>
  <c r="N249" i="9"/>
  <c r="L249" i="9"/>
  <c r="K249" i="9"/>
  <c r="J249" i="9"/>
  <c r="I249" i="9"/>
  <c r="H249" i="9"/>
  <c r="N248" i="9"/>
  <c r="L248" i="9"/>
  <c r="K248" i="9"/>
  <c r="J248" i="9"/>
  <c r="I248" i="9"/>
  <c r="H248" i="9"/>
  <c r="N247" i="9"/>
  <c r="L247" i="9"/>
  <c r="K247" i="9"/>
  <c r="J247" i="9"/>
  <c r="I247" i="9"/>
  <c r="H247" i="9"/>
  <c r="N246" i="9"/>
  <c r="L246" i="9"/>
  <c r="K246" i="9"/>
  <c r="J246" i="9"/>
  <c r="I246" i="9"/>
  <c r="H246" i="9"/>
  <c r="N245" i="9"/>
  <c r="L245" i="9"/>
  <c r="K245" i="9"/>
  <c r="J245" i="9"/>
  <c r="I245" i="9"/>
  <c r="H245" i="9"/>
  <c r="N244" i="9"/>
  <c r="L244" i="9"/>
  <c r="K244" i="9"/>
  <c r="J244" i="9"/>
  <c r="I244" i="9"/>
  <c r="H244" i="9"/>
  <c r="N243" i="9"/>
  <c r="L243" i="9"/>
  <c r="K243" i="9"/>
  <c r="J243" i="9"/>
  <c r="I243" i="9"/>
  <c r="H243" i="9"/>
  <c r="N242" i="9"/>
  <c r="M242" i="9"/>
  <c r="L242" i="9"/>
  <c r="K242" i="9"/>
  <c r="J242" i="9"/>
  <c r="I242" i="9"/>
  <c r="H242" i="9"/>
  <c r="L241" i="9"/>
  <c r="K241" i="9"/>
  <c r="J241" i="9"/>
  <c r="I241" i="9"/>
  <c r="D241" i="9"/>
  <c r="N241" i="9" s="1"/>
  <c r="N240" i="9"/>
  <c r="M240" i="9"/>
  <c r="L240" i="9"/>
  <c r="K240" i="9"/>
  <c r="J240" i="9"/>
  <c r="I240" i="9"/>
  <c r="H240" i="9"/>
  <c r="N239" i="9"/>
  <c r="M239" i="9"/>
  <c r="L239" i="9"/>
  <c r="K239" i="9"/>
  <c r="J239" i="9"/>
  <c r="I239" i="9"/>
  <c r="H239" i="9"/>
  <c r="N238" i="9"/>
  <c r="M238" i="9"/>
  <c r="L238" i="9"/>
  <c r="K238" i="9"/>
  <c r="J238" i="9"/>
  <c r="I238" i="9"/>
  <c r="H238" i="9"/>
  <c r="N237" i="9"/>
  <c r="M237" i="9"/>
  <c r="L237" i="9"/>
  <c r="K237" i="9"/>
  <c r="J237" i="9"/>
  <c r="I237" i="9"/>
  <c r="H237" i="9"/>
  <c r="M236" i="9"/>
  <c r="L236" i="9"/>
  <c r="J236" i="9"/>
  <c r="I236" i="9"/>
  <c r="H236" i="9"/>
  <c r="D236" i="9"/>
  <c r="K236" i="9" s="1"/>
  <c r="N235" i="9"/>
  <c r="L235" i="9"/>
  <c r="K235" i="9"/>
  <c r="J235" i="9"/>
  <c r="I235" i="9"/>
  <c r="H235" i="9"/>
  <c r="N234" i="9"/>
  <c r="L234" i="9"/>
  <c r="K234" i="9"/>
  <c r="J234" i="9"/>
  <c r="I234" i="9"/>
  <c r="H234" i="9"/>
  <c r="N233" i="9"/>
  <c r="L233" i="9"/>
  <c r="K233" i="9"/>
  <c r="J233" i="9"/>
  <c r="I233" i="9"/>
  <c r="H233" i="9"/>
  <c r="N232" i="9"/>
  <c r="M232" i="9"/>
  <c r="L232" i="9"/>
  <c r="K232" i="9"/>
  <c r="J232" i="9"/>
  <c r="I232" i="9"/>
  <c r="H232" i="9"/>
  <c r="N231" i="9"/>
  <c r="M231" i="9"/>
  <c r="L231" i="9"/>
  <c r="K231" i="9"/>
  <c r="J231" i="9"/>
  <c r="I231" i="9"/>
  <c r="H231" i="9"/>
  <c r="N230" i="9"/>
  <c r="M230" i="9"/>
  <c r="L230" i="9"/>
  <c r="K230" i="9"/>
  <c r="J230" i="9"/>
  <c r="I230" i="9"/>
  <c r="H230" i="9"/>
  <c r="N229" i="9"/>
  <c r="M229" i="9"/>
  <c r="L229" i="9"/>
  <c r="K229" i="9"/>
  <c r="J229" i="9"/>
  <c r="I229" i="9"/>
  <c r="H229" i="9"/>
  <c r="N228" i="9"/>
  <c r="M228" i="9"/>
  <c r="L228" i="9"/>
  <c r="K228" i="9"/>
  <c r="J228" i="9"/>
  <c r="I228" i="9"/>
  <c r="H228" i="9"/>
  <c r="M227" i="9"/>
  <c r="L227" i="9"/>
  <c r="K227" i="9"/>
  <c r="I227" i="9"/>
  <c r="H227" i="9"/>
  <c r="D227" i="9"/>
  <c r="M226" i="9"/>
  <c r="L226" i="9"/>
  <c r="K226" i="9"/>
  <c r="J226" i="9"/>
  <c r="I226" i="9"/>
  <c r="D226" i="9"/>
  <c r="N226" i="9" s="1"/>
  <c r="N225" i="9"/>
  <c r="M225" i="9"/>
  <c r="L225" i="9"/>
  <c r="K225" i="9"/>
  <c r="J225" i="9"/>
  <c r="I225" i="9"/>
  <c r="H225" i="9"/>
  <c r="M224" i="9"/>
  <c r="L224" i="9"/>
  <c r="K224" i="9"/>
  <c r="J224" i="9"/>
  <c r="I224" i="9"/>
  <c r="D224" i="9"/>
  <c r="N224" i="9" s="1"/>
  <c r="M223" i="9"/>
  <c r="L223" i="9"/>
  <c r="K223" i="9"/>
  <c r="J223" i="9"/>
  <c r="I223" i="9"/>
  <c r="D223" i="9"/>
  <c r="N222" i="9"/>
  <c r="L222" i="9"/>
  <c r="K222" i="9"/>
  <c r="J222" i="9"/>
  <c r="I222" i="9"/>
  <c r="H222" i="9"/>
  <c r="N221" i="9"/>
  <c r="L221" i="9"/>
  <c r="K221" i="9"/>
  <c r="J221" i="9"/>
  <c r="I221" i="9"/>
  <c r="H221" i="9"/>
  <c r="N220" i="9"/>
  <c r="L220" i="9"/>
  <c r="K220" i="9"/>
  <c r="J220" i="9"/>
  <c r="I220" i="9"/>
  <c r="H220" i="9"/>
  <c r="N217" i="9"/>
  <c r="M217" i="9"/>
  <c r="L217" i="9"/>
  <c r="K217" i="9"/>
  <c r="J217" i="9"/>
  <c r="I217" i="9"/>
  <c r="H217" i="9"/>
  <c r="M216" i="9"/>
  <c r="L216" i="9"/>
  <c r="K216" i="9"/>
  <c r="J216" i="9"/>
  <c r="I216" i="9"/>
  <c r="D216" i="9"/>
  <c r="N215" i="9"/>
  <c r="M215" i="9"/>
  <c r="L215" i="9"/>
  <c r="K215" i="9"/>
  <c r="J215" i="9"/>
  <c r="I215" i="9"/>
  <c r="H215" i="9"/>
  <c r="N214" i="9"/>
  <c r="M214" i="9"/>
  <c r="L214" i="9"/>
  <c r="K214" i="9"/>
  <c r="J214" i="9"/>
  <c r="I214" i="9"/>
  <c r="H214" i="9"/>
  <c r="N213" i="9"/>
  <c r="M213" i="9"/>
  <c r="L213" i="9"/>
  <c r="K213" i="9"/>
  <c r="J213" i="9"/>
  <c r="I213" i="9"/>
  <c r="H213" i="9"/>
  <c r="N212" i="9"/>
  <c r="L212" i="9"/>
  <c r="K212" i="9"/>
  <c r="J212" i="9"/>
  <c r="I212" i="9"/>
  <c r="H212" i="9"/>
  <c r="N211" i="9"/>
  <c r="L211" i="9"/>
  <c r="K211" i="9"/>
  <c r="J211" i="9"/>
  <c r="I211" i="9"/>
  <c r="H211" i="9"/>
  <c r="N210" i="9"/>
  <c r="L210" i="9"/>
  <c r="K210" i="9"/>
  <c r="J210" i="9"/>
  <c r="I210" i="9"/>
  <c r="H210" i="9"/>
  <c r="N209" i="9"/>
  <c r="L209" i="9"/>
  <c r="K209" i="9"/>
  <c r="J209" i="9"/>
  <c r="I209" i="9"/>
  <c r="H209" i="9"/>
  <c r="N208" i="9"/>
  <c r="L208" i="9"/>
  <c r="K208" i="9"/>
  <c r="J208" i="9"/>
  <c r="I208" i="9"/>
  <c r="H208" i="9"/>
  <c r="N207" i="9"/>
  <c r="L207" i="9"/>
  <c r="K207" i="9"/>
  <c r="J207" i="9"/>
  <c r="I207" i="9"/>
  <c r="H207" i="9"/>
  <c r="N206" i="9"/>
  <c r="L206" i="9"/>
  <c r="K206" i="9"/>
  <c r="J206" i="9"/>
  <c r="I206" i="9"/>
  <c r="H206" i="9"/>
  <c r="N205" i="9"/>
  <c r="L205" i="9"/>
  <c r="K205" i="9"/>
  <c r="J205" i="9"/>
  <c r="I205" i="9"/>
  <c r="H205" i="9"/>
  <c r="N204" i="9"/>
  <c r="L204" i="9"/>
  <c r="K204" i="9"/>
  <c r="J204" i="9"/>
  <c r="I204" i="9"/>
  <c r="H204" i="9"/>
  <c r="N203" i="9"/>
  <c r="L203" i="9"/>
  <c r="K203" i="9"/>
  <c r="J203" i="9"/>
  <c r="I203" i="9"/>
  <c r="H203" i="9"/>
  <c r="N202" i="9"/>
  <c r="L202" i="9"/>
  <c r="K202" i="9"/>
  <c r="J202" i="9"/>
  <c r="I202" i="9"/>
  <c r="H202" i="9"/>
  <c r="L201" i="9"/>
  <c r="J201" i="9"/>
  <c r="I201" i="9"/>
  <c r="H201" i="9"/>
  <c r="D201" i="9"/>
  <c r="N200" i="9"/>
  <c r="L200" i="9"/>
  <c r="K200" i="9"/>
  <c r="J200" i="9"/>
  <c r="I200" i="9"/>
  <c r="H200" i="9"/>
  <c r="N199" i="9"/>
  <c r="L199" i="9"/>
  <c r="K199" i="9"/>
  <c r="J199" i="9"/>
  <c r="I199" i="9"/>
  <c r="H199" i="9"/>
  <c r="N198" i="9"/>
  <c r="L198" i="9"/>
  <c r="K198" i="9"/>
  <c r="J198" i="9"/>
  <c r="I198" i="9"/>
  <c r="H198" i="9"/>
  <c r="N197" i="9"/>
  <c r="L197" i="9"/>
  <c r="K197" i="9"/>
  <c r="J197" i="9"/>
  <c r="I197" i="9"/>
  <c r="H197" i="9"/>
  <c r="N196" i="9"/>
  <c r="L196" i="9"/>
  <c r="K196" i="9"/>
  <c r="J196" i="9"/>
  <c r="I196" i="9"/>
  <c r="H196" i="9"/>
  <c r="N195" i="9"/>
  <c r="L195" i="9"/>
  <c r="K195" i="9"/>
  <c r="J195" i="9"/>
  <c r="I195" i="9"/>
  <c r="H195" i="9"/>
  <c r="N194" i="9"/>
  <c r="L194" i="9"/>
  <c r="K194" i="9"/>
  <c r="J194" i="9"/>
  <c r="I194" i="9"/>
  <c r="H194" i="9"/>
  <c r="N193" i="9"/>
  <c r="L193" i="9"/>
  <c r="K193" i="9"/>
  <c r="J193" i="9"/>
  <c r="I193" i="9"/>
  <c r="H193" i="9"/>
  <c r="N192" i="9"/>
  <c r="M192" i="9"/>
  <c r="L192" i="9"/>
  <c r="K192" i="9"/>
  <c r="J192" i="9"/>
  <c r="I192" i="9"/>
  <c r="H192" i="9"/>
  <c r="N191" i="9"/>
  <c r="L191" i="9"/>
  <c r="K191" i="9"/>
  <c r="J191" i="9"/>
  <c r="I191" i="9"/>
  <c r="H191" i="9"/>
  <c r="N190" i="9"/>
  <c r="L190" i="9"/>
  <c r="K190" i="9"/>
  <c r="J190" i="9"/>
  <c r="I190" i="9"/>
  <c r="H190" i="9"/>
  <c r="L189" i="9"/>
  <c r="K189" i="9"/>
  <c r="J189" i="9"/>
  <c r="I189" i="9"/>
  <c r="D189" i="9"/>
  <c r="N189" i="9" s="1"/>
  <c r="N188" i="9"/>
  <c r="M188" i="9"/>
  <c r="L188" i="9"/>
  <c r="K188" i="9"/>
  <c r="J188" i="9"/>
  <c r="I188" i="9"/>
  <c r="H188" i="9"/>
  <c r="N187" i="9"/>
  <c r="L187" i="9"/>
  <c r="K187" i="9"/>
  <c r="J187" i="9"/>
  <c r="I187" i="9"/>
  <c r="H187" i="9"/>
  <c r="N186" i="9"/>
  <c r="M186" i="9"/>
  <c r="L186" i="9"/>
  <c r="K186" i="9"/>
  <c r="J186" i="9"/>
  <c r="I186" i="9"/>
  <c r="H186" i="9"/>
  <c r="N185" i="9"/>
  <c r="M185" i="9"/>
  <c r="L185" i="9"/>
  <c r="K185" i="9"/>
  <c r="J185" i="9"/>
  <c r="I185" i="9"/>
  <c r="H185" i="9"/>
  <c r="N184" i="9"/>
  <c r="M184" i="9"/>
  <c r="L184" i="9"/>
  <c r="K184" i="9"/>
  <c r="J184" i="9"/>
  <c r="I184" i="9"/>
  <c r="H184" i="9"/>
  <c r="N183" i="9"/>
  <c r="M183" i="9"/>
  <c r="L183" i="9"/>
  <c r="K183" i="9"/>
  <c r="J183" i="9"/>
  <c r="I183" i="9"/>
  <c r="H183" i="9"/>
  <c r="N182" i="9"/>
  <c r="M182" i="9"/>
  <c r="L182" i="9"/>
  <c r="K182" i="9"/>
  <c r="J182" i="9"/>
  <c r="I182" i="9"/>
  <c r="H182" i="9"/>
  <c r="N181" i="9"/>
  <c r="L181" i="9"/>
  <c r="K181" i="9"/>
  <c r="J181" i="9"/>
  <c r="I181" i="9"/>
  <c r="H181" i="9"/>
  <c r="N180" i="9"/>
  <c r="L180" i="9"/>
  <c r="K180" i="9"/>
  <c r="J180" i="9"/>
  <c r="I180" i="9"/>
  <c r="H180" i="9"/>
  <c r="N179" i="9"/>
  <c r="L179" i="9"/>
  <c r="K179" i="9"/>
  <c r="J179" i="9"/>
  <c r="I179" i="9"/>
  <c r="H179" i="9"/>
  <c r="N178" i="9"/>
  <c r="L178" i="9"/>
  <c r="K178" i="9"/>
  <c r="J178" i="9"/>
  <c r="I178" i="9"/>
  <c r="H178" i="9"/>
  <c r="N177" i="9"/>
  <c r="L177" i="9"/>
  <c r="K177" i="9"/>
  <c r="J177" i="9"/>
  <c r="I177" i="9"/>
  <c r="H177" i="9"/>
  <c r="N176" i="9"/>
  <c r="L176" i="9"/>
  <c r="K176" i="9"/>
  <c r="J176" i="9"/>
  <c r="I176" i="9"/>
  <c r="H176" i="9"/>
  <c r="K175" i="9"/>
  <c r="J175" i="9"/>
  <c r="I175" i="9"/>
  <c r="H175" i="9"/>
  <c r="D175" i="9"/>
  <c r="N175" i="9" s="1"/>
  <c r="N174" i="9"/>
  <c r="L174" i="9"/>
  <c r="K174" i="9"/>
  <c r="J174" i="9"/>
  <c r="I174" i="9"/>
  <c r="H174" i="9"/>
  <c r="L173" i="9"/>
  <c r="K173" i="9"/>
  <c r="J173" i="9"/>
  <c r="I173" i="9"/>
  <c r="D173" i="9"/>
  <c r="H173" i="9" s="1"/>
  <c r="N172" i="9"/>
  <c r="L172" i="9"/>
  <c r="K172" i="9"/>
  <c r="J172" i="9"/>
  <c r="I172" i="9"/>
  <c r="H172" i="9"/>
  <c r="L171" i="9"/>
  <c r="K171" i="9"/>
  <c r="J171" i="9"/>
  <c r="I171" i="9"/>
  <c r="D171" i="9"/>
  <c r="N171" i="9" s="1"/>
  <c r="N170" i="9"/>
  <c r="L170" i="9"/>
  <c r="K170" i="9"/>
  <c r="J170" i="9"/>
  <c r="I170" i="9"/>
  <c r="H170" i="9"/>
  <c r="D170" i="9"/>
  <c r="L169" i="9"/>
  <c r="K169" i="9"/>
  <c r="J169" i="9"/>
  <c r="I169" i="9"/>
  <c r="D169" i="9"/>
  <c r="H169" i="9" s="1"/>
  <c r="N168" i="9"/>
  <c r="M168" i="9"/>
  <c r="L168" i="9"/>
  <c r="K168" i="9"/>
  <c r="J168" i="9"/>
  <c r="I168" i="9"/>
  <c r="H168" i="9"/>
  <c r="N167" i="9"/>
  <c r="M167" i="9"/>
  <c r="L167" i="9"/>
  <c r="K167" i="9"/>
  <c r="J167" i="9"/>
  <c r="I167" i="9"/>
  <c r="H167" i="9"/>
  <c r="N166" i="9"/>
  <c r="M166" i="9"/>
  <c r="L166" i="9"/>
  <c r="K166" i="9"/>
  <c r="J166" i="9"/>
  <c r="I166" i="9"/>
  <c r="H166" i="9"/>
  <c r="N165" i="9"/>
  <c r="M165" i="9"/>
  <c r="L165" i="9"/>
  <c r="K165" i="9"/>
  <c r="J165" i="9"/>
  <c r="I165" i="9"/>
  <c r="H165" i="9"/>
  <c r="N164" i="9"/>
  <c r="M164" i="9"/>
  <c r="L164" i="9"/>
  <c r="K164" i="9"/>
  <c r="J164" i="9"/>
  <c r="I164" i="9"/>
  <c r="H164" i="9"/>
  <c r="N163" i="9"/>
  <c r="M163" i="9"/>
  <c r="L163" i="9"/>
  <c r="K163" i="9"/>
  <c r="J163" i="9"/>
  <c r="I163" i="9"/>
  <c r="H163" i="9"/>
  <c r="N162" i="9"/>
  <c r="M162" i="9"/>
  <c r="L162" i="9"/>
  <c r="K162" i="9"/>
  <c r="J162" i="9"/>
  <c r="I162" i="9"/>
  <c r="H162" i="9"/>
  <c r="N161" i="9"/>
  <c r="M161" i="9"/>
  <c r="L161" i="9"/>
  <c r="K161" i="9"/>
  <c r="J161" i="9"/>
  <c r="I161" i="9"/>
  <c r="H161" i="9"/>
  <c r="N160" i="9"/>
  <c r="M160" i="9"/>
  <c r="L160" i="9"/>
  <c r="K160" i="9"/>
  <c r="J160" i="9"/>
  <c r="I160" i="9"/>
  <c r="H160" i="9"/>
  <c r="N159" i="9"/>
  <c r="M159" i="9"/>
  <c r="L159" i="9"/>
  <c r="K159" i="9"/>
  <c r="J159" i="9"/>
  <c r="I159" i="9"/>
  <c r="H159" i="9"/>
  <c r="N158" i="9"/>
  <c r="M158" i="9"/>
  <c r="L158" i="9"/>
  <c r="K158" i="9"/>
  <c r="J158" i="9"/>
  <c r="I158" i="9"/>
  <c r="H158" i="9"/>
  <c r="N157" i="9"/>
  <c r="M157" i="9"/>
  <c r="L157" i="9"/>
  <c r="K157" i="9"/>
  <c r="J157" i="9"/>
  <c r="I157" i="9"/>
  <c r="H157" i="9"/>
  <c r="N156" i="9"/>
  <c r="L156" i="9"/>
  <c r="K156" i="9"/>
  <c r="J156" i="9"/>
  <c r="I156" i="9"/>
  <c r="H156" i="9"/>
  <c r="N155" i="9"/>
  <c r="L155" i="9"/>
  <c r="K155" i="9"/>
  <c r="J155" i="9"/>
  <c r="I155" i="9"/>
  <c r="H155" i="9"/>
  <c r="L154" i="9"/>
  <c r="J154" i="9"/>
  <c r="I154" i="9"/>
  <c r="H154" i="9"/>
  <c r="D154" i="9"/>
  <c r="N154" i="9" s="1"/>
  <c r="N153" i="9"/>
  <c r="L153" i="9"/>
  <c r="K153" i="9"/>
  <c r="J153" i="9"/>
  <c r="I153" i="9"/>
  <c r="H153" i="9"/>
  <c r="N152" i="9"/>
  <c r="L152" i="9"/>
  <c r="K152" i="9"/>
  <c r="J152" i="9"/>
  <c r="I152" i="9"/>
  <c r="H152" i="9"/>
  <c r="N151" i="9"/>
  <c r="L151" i="9"/>
  <c r="K151" i="9"/>
  <c r="J151" i="9"/>
  <c r="I151" i="9"/>
  <c r="H151" i="9"/>
  <c r="N150" i="9"/>
  <c r="L150" i="9"/>
  <c r="K150" i="9"/>
  <c r="J150" i="9"/>
  <c r="I150" i="9"/>
  <c r="H150" i="9"/>
  <c r="N149" i="9"/>
  <c r="L149" i="9"/>
  <c r="K149" i="9"/>
  <c r="J149" i="9"/>
  <c r="I149" i="9"/>
  <c r="H149" i="9"/>
  <c r="N148" i="9"/>
  <c r="L148" i="9"/>
  <c r="K148" i="9"/>
  <c r="J148" i="9"/>
  <c r="I148" i="9"/>
  <c r="H148" i="9"/>
  <c r="N147" i="9"/>
  <c r="L147" i="9"/>
  <c r="K147" i="9"/>
  <c r="J147" i="9"/>
  <c r="I147" i="9"/>
  <c r="H147" i="9"/>
  <c r="L146" i="9"/>
  <c r="K146" i="9"/>
  <c r="J146" i="9"/>
  <c r="I146" i="9"/>
  <c r="D146" i="9"/>
  <c r="N145" i="9"/>
  <c r="L145" i="9"/>
  <c r="K145" i="9"/>
  <c r="J145" i="9"/>
  <c r="I145" i="9"/>
  <c r="H145" i="9"/>
  <c r="N144" i="9"/>
  <c r="L144" i="9"/>
  <c r="K144" i="9"/>
  <c r="J144" i="9"/>
  <c r="I144" i="9"/>
  <c r="H144" i="9"/>
  <c r="N143" i="9"/>
  <c r="L143" i="9"/>
  <c r="K143" i="9"/>
  <c r="J143" i="9"/>
  <c r="I143" i="9"/>
  <c r="H143" i="9"/>
  <c r="N142" i="9"/>
  <c r="L142" i="9"/>
  <c r="K142" i="9"/>
  <c r="J142" i="9"/>
  <c r="I142" i="9"/>
  <c r="H142" i="9"/>
  <c r="N141" i="9"/>
  <c r="L141" i="9"/>
  <c r="K141" i="9"/>
  <c r="J141" i="9"/>
  <c r="I141" i="9"/>
  <c r="H141" i="9"/>
  <c r="N140" i="9"/>
  <c r="L140" i="9"/>
  <c r="K140" i="9"/>
  <c r="J140" i="9"/>
  <c r="I140" i="9"/>
  <c r="H140" i="9"/>
  <c r="N139" i="9"/>
  <c r="L139" i="9"/>
  <c r="K139" i="9"/>
  <c r="J139" i="9"/>
  <c r="I139" i="9"/>
  <c r="H139" i="9"/>
  <c r="N138" i="9"/>
  <c r="L138" i="9"/>
  <c r="K138" i="9"/>
  <c r="J138" i="9"/>
  <c r="I138" i="9"/>
  <c r="H138" i="9"/>
  <c r="N137" i="9"/>
  <c r="L137" i="9"/>
  <c r="K137" i="9"/>
  <c r="J137" i="9"/>
  <c r="I137" i="9"/>
  <c r="H137" i="9"/>
  <c r="N136" i="9"/>
  <c r="L136" i="9"/>
  <c r="K136" i="9"/>
  <c r="J136" i="9"/>
  <c r="I136" i="9"/>
  <c r="H136" i="9"/>
  <c r="N135" i="9"/>
  <c r="M135" i="9"/>
  <c r="L135" i="9"/>
  <c r="K135" i="9"/>
  <c r="J135" i="9"/>
  <c r="I135" i="9"/>
  <c r="H135" i="9"/>
  <c r="N134" i="9"/>
  <c r="L134" i="9"/>
  <c r="K134" i="9"/>
  <c r="J134" i="9"/>
  <c r="I134" i="9"/>
  <c r="H134" i="9"/>
  <c r="N133" i="9"/>
  <c r="L133" i="9"/>
  <c r="K133" i="9"/>
  <c r="J133" i="9"/>
  <c r="I133" i="9"/>
  <c r="H133" i="9"/>
  <c r="N132" i="9"/>
  <c r="L132" i="9"/>
  <c r="K132" i="9"/>
  <c r="J132" i="9"/>
  <c r="I132" i="9"/>
  <c r="H132" i="9"/>
  <c r="N131" i="9"/>
  <c r="L131" i="9"/>
  <c r="K131" i="9"/>
  <c r="J131" i="9"/>
  <c r="I131" i="9"/>
  <c r="H131" i="9"/>
  <c r="N130" i="9"/>
  <c r="L130" i="9"/>
  <c r="K130" i="9"/>
  <c r="J130" i="9"/>
  <c r="I130" i="9"/>
  <c r="H130" i="9"/>
  <c r="N127" i="9"/>
  <c r="M127" i="9"/>
  <c r="L127" i="9"/>
  <c r="K127" i="9"/>
  <c r="J127" i="9"/>
  <c r="I127" i="9"/>
  <c r="H127" i="9"/>
  <c r="N126" i="9"/>
  <c r="M126" i="9"/>
  <c r="L126" i="9"/>
  <c r="K126" i="9"/>
  <c r="J126" i="9"/>
  <c r="I126" i="9"/>
  <c r="H126" i="9"/>
  <c r="N125" i="9"/>
  <c r="M125" i="9"/>
  <c r="L125" i="9"/>
  <c r="K125" i="9"/>
  <c r="J125" i="9"/>
  <c r="I125" i="9"/>
  <c r="H125" i="9"/>
  <c r="N124" i="9"/>
  <c r="M124" i="9"/>
  <c r="L124" i="9"/>
  <c r="K124" i="9"/>
  <c r="J124" i="9"/>
  <c r="I124" i="9"/>
  <c r="H124" i="9"/>
  <c r="N123" i="9"/>
  <c r="M123" i="9"/>
  <c r="L123" i="9"/>
  <c r="K123" i="9"/>
  <c r="J123" i="9"/>
  <c r="I123" i="9"/>
  <c r="H123" i="9"/>
  <c r="N122" i="9"/>
  <c r="M122" i="9"/>
  <c r="L122" i="9"/>
  <c r="K122" i="9"/>
  <c r="J122" i="9"/>
  <c r="I122" i="9"/>
  <c r="H122" i="9"/>
  <c r="N121" i="9"/>
  <c r="L121" i="9"/>
  <c r="K121" i="9"/>
  <c r="J121" i="9"/>
  <c r="I121" i="9"/>
  <c r="H121" i="9"/>
  <c r="N120" i="9"/>
  <c r="L120" i="9"/>
  <c r="K120" i="9"/>
  <c r="J120" i="9"/>
  <c r="I120" i="9"/>
  <c r="H120" i="9"/>
  <c r="N119" i="9"/>
  <c r="M119" i="9"/>
  <c r="L119" i="9"/>
  <c r="K119" i="9"/>
  <c r="J119" i="9"/>
  <c r="I119" i="9"/>
  <c r="H119" i="9"/>
  <c r="N118" i="9"/>
  <c r="M118" i="9"/>
  <c r="L118" i="9"/>
  <c r="K118" i="9"/>
  <c r="J118" i="9"/>
  <c r="I118" i="9"/>
  <c r="H118" i="9"/>
  <c r="M117" i="9"/>
  <c r="K117" i="9"/>
  <c r="J117" i="9"/>
  <c r="I117" i="9"/>
  <c r="H117" i="9"/>
  <c r="D117" i="9"/>
  <c r="N117" i="9" s="1"/>
  <c r="N116" i="9"/>
  <c r="M116" i="9"/>
  <c r="L116" i="9"/>
  <c r="K116" i="9"/>
  <c r="J116" i="9"/>
  <c r="I116" i="9"/>
  <c r="H116" i="9"/>
  <c r="N115" i="9"/>
  <c r="M115" i="9"/>
  <c r="L115" i="9"/>
  <c r="K115" i="9"/>
  <c r="J115" i="9"/>
  <c r="I115" i="9"/>
  <c r="H115" i="9"/>
  <c r="N114" i="9"/>
  <c r="M114" i="9"/>
  <c r="L114" i="9"/>
  <c r="K114" i="9"/>
  <c r="J114" i="9"/>
  <c r="I114" i="9"/>
  <c r="H114" i="9"/>
  <c r="N113" i="9"/>
  <c r="M113" i="9"/>
  <c r="L113" i="9"/>
  <c r="K113" i="9"/>
  <c r="J113" i="9"/>
  <c r="I113" i="9"/>
  <c r="H113" i="9"/>
  <c r="N112" i="9"/>
  <c r="M112" i="9"/>
  <c r="L112" i="9"/>
  <c r="K112" i="9"/>
  <c r="J112" i="9"/>
  <c r="I112" i="9"/>
  <c r="H112" i="9"/>
  <c r="N111" i="9"/>
  <c r="M111" i="9"/>
  <c r="L111" i="9"/>
  <c r="K111" i="9"/>
  <c r="J111" i="9"/>
  <c r="I111" i="9"/>
  <c r="H111" i="9"/>
  <c r="N110" i="9"/>
  <c r="M110" i="9"/>
  <c r="L110" i="9"/>
  <c r="K110" i="9"/>
  <c r="J110" i="9"/>
  <c r="I110" i="9"/>
  <c r="H110" i="9"/>
  <c r="N109" i="9"/>
  <c r="M109" i="9"/>
  <c r="L109" i="9"/>
  <c r="K109" i="9"/>
  <c r="J109" i="9"/>
  <c r="I109" i="9"/>
  <c r="H109" i="9"/>
  <c r="N108" i="9"/>
  <c r="L108" i="9"/>
  <c r="K108" i="9"/>
  <c r="J108" i="9"/>
  <c r="I108" i="9"/>
  <c r="H108" i="9"/>
  <c r="N107" i="9"/>
  <c r="M107" i="9"/>
  <c r="L107" i="9"/>
  <c r="K107" i="9"/>
  <c r="J107" i="9"/>
  <c r="I107" i="9"/>
  <c r="H107" i="9"/>
  <c r="N106" i="9"/>
  <c r="M106" i="9"/>
  <c r="L106" i="9"/>
  <c r="K106" i="9"/>
  <c r="J106" i="9"/>
  <c r="I106" i="9"/>
  <c r="H106" i="9"/>
  <c r="N105" i="9"/>
  <c r="M105" i="9"/>
  <c r="L105" i="9"/>
  <c r="K105" i="9"/>
  <c r="J105" i="9"/>
  <c r="I105" i="9"/>
  <c r="H105" i="9"/>
  <c r="N104" i="9"/>
  <c r="M104" i="9"/>
  <c r="L104" i="9"/>
  <c r="K104" i="9"/>
  <c r="J104" i="9"/>
  <c r="I104" i="9"/>
  <c r="H104" i="9"/>
  <c r="N103" i="9"/>
  <c r="M103" i="9"/>
  <c r="L103" i="9"/>
  <c r="K103" i="9"/>
  <c r="J103" i="9"/>
  <c r="I103" i="9"/>
  <c r="H103" i="9"/>
  <c r="N102" i="9"/>
  <c r="M102" i="9"/>
  <c r="L102" i="9"/>
  <c r="K102" i="9"/>
  <c r="J102" i="9"/>
  <c r="I102" i="9"/>
  <c r="H102" i="9"/>
  <c r="N101" i="9"/>
  <c r="M101" i="9"/>
  <c r="L101" i="9"/>
  <c r="K101" i="9"/>
  <c r="J101" i="9"/>
  <c r="I101" i="9"/>
  <c r="H101" i="9"/>
  <c r="N100" i="9"/>
  <c r="M100" i="9"/>
  <c r="L100" i="9"/>
  <c r="K100" i="9"/>
  <c r="J100" i="9"/>
  <c r="I100" i="9"/>
  <c r="H100" i="9"/>
  <c r="N99" i="9"/>
  <c r="M99" i="9"/>
  <c r="L99" i="9"/>
  <c r="K99" i="9"/>
  <c r="J99" i="9"/>
  <c r="I99" i="9"/>
  <c r="H99" i="9"/>
  <c r="N98" i="9"/>
  <c r="M98" i="9"/>
  <c r="L98" i="9"/>
  <c r="K98" i="9"/>
  <c r="J98" i="9"/>
  <c r="I98" i="9"/>
  <c r="H98" i="9"/>
  <c r="N97" i="9"/>
  <c r="M97" i="9"/>
  <c r="L97" i="9"/>
  <c r="K97" i="9"/>
  <c r="J97" i="9"/>
  <c r="I97" i="9"/>
  <c r="H97" i="9"/>
  <c r="N96" i="9"/>
  <c r="M96" i="9"/>
  <c r="L96" i="9"/>
  <c r="K96" i="9"/>
  <c r="J96" i="9"/>
  <c r="I96" i="9"/>
  <c r="H96" i="9"/>
  <c r="N95" i="9"/>
  <c r="M95" i="9"/>
  <c r="L95" i="9"/>
  <c r="K95" i="9"/>
  <c r="J95" i="9"/>
  <c r="I95" i="9"/>
  <c r="H95" i="9"/>
  <c r="N94" i="9"/>
  <c r="M94" i="9"/>
  <c r="L94" i="9"/>
  <c r="K94" i="9"/>
  <c r="J94" i="9"/>
  <c r="I94" i="9"/>
  <c r="H94" i="9"/>
  <c r="N93" i="9"/>
  <c r="M93" i="9"/>
  <c r="L93" i="9"/>
  <c r="K93" i="9"/>
  <c r="J93" i="9"/>
  <c r="I93" i="9"/>
  <c r="H93" i="9"/>
  <c r="N92" i="9"/>
  <c r="M92" i="9"/>
  <c r="L92" i="9"/>
  <c r="K92" i="9"/>
  <c r="J92" i="9"/>
  <c r="I92" i="9"/>
  <c r="H92" i="9"/>
  <c r="N91" i="9"/>
  <c r="M91" i="9"/>
  <c r="L91" i="9"/>
  <c r="K91" i="9"/>
  <c r="J91" i="9"/>
  <c r="I91" i="9"/>
  <c r="H91" i="9"/>
  <c r="N90" i="9"/>
  <c r="M90" i="9"/>
  <c r="L90" i="9"/>
  <c r="K90" i="9"/>
  <c r="J90" i="9"/>
  <c r="I90" i="9"/>
  <c r="H90" i="9"/>
  <c r="N89" i="9"/>
  <c r="M89" i="9"/>
  <c r="L89" i="9"/>
  <c r="K89" i="9"/>
  <c r="J89" i="9"/>
  <c r="I89" i="9"/>
  <c r="H89" i="9"/>
  <c r="N88" i="9"/>
  <c r="M88" i="9"/>
  <c r="L88" i="9"/>
  <c r="K88" i="9"/>
  <c r="J88" i="9"/>
  <c r="I88" i="9"/>
  <c r="H88" i="9"/>
  <c r="N87" i="9"/>
  <c r="M87" i="9"/>
  <c r="L87" i="9"/>
  <c r="K87" i="9"/>
  <c r="J87" i="9"/>
  <c r="I87" i="9"/>
  <c r="H87" i="9"/>
  <c r="N86" i="9"/>
  <c r="M86" i="9"/>
  <c r="L86" i="9"/>
  <c r="K86" i="9"/>
  <c r="J86" i="9"/>
  <c r="I86" i="9"/>
  <c r="H86" i="9"/>
  <c r="N85" i="9"/>
  <c r="M85" i="9"/>
  <c r="L85" i="9"/>
  <c r="K85" i="9"/>
  <c r="J85" i="9"/>
  <c r="I85" i="9"/>
  <c r="H85" i="9"/>
  <c r="N84" i="9"/>
  <c r="M84" i="9"/>
  <c r="L84" i="9"/>
  <c r="K84" i="9"/>
  <c r="J84" i="9"/>
  <c r="I84" i="9"/>
  <c r="H84" i="9"/>
  <c r="N83" i="9"/>
  <c r="M83" i="9"/>
  <c r="L83" i="9"/>
  <c r="K83" i="9"/>
  <c r="J83" i="9"/>
  <c r="I83" i="9"/>
  <c r="H83" i="9"/>
  <c r="N82" i="9"/>
  <c r="M82" i="9"/>
  <c r="L82" i="9"/>
  <c r="K82" i="9"/>
  <c r="J82" i="9"/>
  <c r="I82" i="9"/>
  <c r="H82" i="9"/>
  <c r="N81" i="9"/>
  <c r="M81" i="9"/>
  <c r="L81" i="9"/>
  <c r="K81" i="9"/>
  <c r="J81" i="9"/>
  <c r="I81" i="9"/>
  <c r="H81" i="9"/>
  <c r="N80" i="9"/>
  <c r="M80" i="9"/>
  <c r="L80" i="9"/>
  <c r="K80" i="9"/>
  <c r="J80" i="9"/>
  <c r="I80" i="9"/>
  <c r="H80" i="9"/>
  <c r="N79" i="9"/>
  <c r="M79" i="9"/>
  <c r="L79" i="9"/>
  <c r="K79" i="9"/>
  <c r="J79" i="9"/>
  <c r="I79" i="9"/>
  <c r="H79" i="9"/>
  <c r="N78" i="9"/>
  <c r="M78" i="9"/>
  <c r="L78" i="9"/>
  <c r="K78" i="9"/>
  <c r="J78" i="9"/>
  <c r="I78" i="9"/>
  <c r="H78" i="9"/>
  <c r="N77" i="9"/>
  <c r="M77" i="9"/>
  <c r="L77" i="9"/>
  <c r="K77" i="9"/>
  <c r="J77" i="9"/>
  <c r="I77" i="9"/>
  <c r="H77" i="9"/>
  <c r="N76" i="9"/>
  <c r="M76" i="9"/>
  <c r="L76" i="9"/>
  <c r="K76" i="9"/>
  <c r="J76" i="9"/>
  <c r="I76" i="9"/>
  <c r="H76" i="9"/>
  <c r="N75" i="9"/>
  <c r="M75" i="9"/>
  <c r="L75" i="9"/>
  <c r="K75" i="9"/>
  <c r="J75" i="9"/>
  <c r="I75" i="9"/>
  <c r="H75" i="9"/>
  <c r="N74" i="9"/>
  <c r="M74" i="9"/>
  <c r="L74" i="9"/>
  <c r="K74" i="9"/>
  <c r="J74" i="9"/>
  <c r="I74" i="9"/>
  <c r="H74" i="9"/>
  <c r="N73" i="9"/>
  <c r="M73" i="9"/>
  <c r="L73" i="9"/>
  <c r="K73" i="9"/>
  <c r="J73" i="9"/>
  <c r="I73" i="9"/>
  <c r="H73" i="9"/>
  <c r="N72" i="9"/>
  <c r="M72" i="9"/>
  <c r="L72" i="9"/>
  <c r="K72" i="9"/>
  <c r="J72" i="9"/>
  <c r="I72" i="9"/>
  <c r="H72" i="9"/>
  <c r="N71" i="9"/>
  <c r="M71" i="9"/>
  <c r="L71" i="9"/>
  <c r="K71" i="9"/>
  <c r="J71" i="9"/>
  <c r="I71" i="9"/>
  <c r="H71" i="9"/>
  <c r="N70" i="9"/>
  <c r="M70" i="9"/>
  <c r="L70" i="9"/>
  <c r="K70" i="9"/>
  <c r="J70" i="9"/>
  <c r="I70" i="9"/>
  <c r="H70" i="9"/>
  <c r="N69" i="9"/>
  <c r="M69" i="9"/>
  <c r="L69" i="9"/>
  <c r="K69" i="9"/>
  <c r="J69" i="9"/>
  <c r="I69" i="9"/>
  <c r="H69" i="9"/>
  <c r="N68" i="9"/>
  <c r="M68" i="9"/>
  <c r="L68" i="9"/>
  <c r="K68" i="9"/>
  <c r="J68" i="9"/>
  <c r="I68" i="9"/>
  <c r="H68" i="9"/>
  <c r="N67" i="9"/>
  <c r="M67" i="9"/>
  <c r="L67" i="9"/>
  <c r="K67" i="9"/>
  <c r="J67" i="9"/>
  <c r="I67" i="9"/>
  <c r="H67" i="9"/>
  <c r="N66" i="9"/>
  <c r="M66" i="9"/>
  <c r="L66" i="9"/>
  <c r="K66" i="9"/>
  <c r="J66" i="9"/>
  <c r="I66" i="9"/>
  <c r="H66" i="9"/>
  <c r="N65" i="9"/>
  <c r="M65" i="9"/>
  <c r="L65" i="9"/>
  <c r="K65" i="9"/>
  <c r="J65" i="9"/>
  <c r="I65" i="9"/>
  <c r="H65" i="9"/>
  <c r="N64" i="9"/>
  <c r="M64" i="9"/>
  <c r="L64" i="9"/>
  <c r="K64" i="9"/>
  <c r="J64" i="9"/>
  <c r="I64" i="9"/>
  <c r="H64" i="9"/>
  <c r="N63" i="9"/>
  <c r="M63" i="9"/>
  <c r="L63" i="9"/>
  <c r="K63" i="9"/>
  <c r="J63" i="9"/>
  <c r="I63" i="9"/>
  <c r="H63" i="9"/>
  <c r="N62" i="9"/>
  <c r="M62" i="9"/>
  <c r="L62" i="9"/>
  <c r="K62" i="9"/>
  <c r="J62" i="9"/>
  <c r="I62" i="9"/>
  <c r="H62" i="9"/>
  <c r="N61" i="9"/>
  <c r="M61" i="9"/>
  <c r="L61" i="9"/>
  <c r="K61" i="9"/>
  <c r="J61" i="9"/>
  <c r="I61" i="9"/>
  <c r="H61" i="9"/>
  <c r="N60" i="9"/>
  <c r="M60" i="9"/>
  <c r="L60" i="9"/>
  <c r="K60" i="9"/>
  <c r="J60" i="9"/>
  <c r="I60" i="9"/>
  <c r="H60" i="9"/>
  <c r="M59" i="9"/>
  <c r="L59" i="9"/>
  <c r="J59" i="9"/>
  <c r="I59" i="9"/>
  <c r="H59" i="9"/>
  <c r="D59" i="9"/>
  <c r="N58" i="9"/>
  <c r="M58" i="9"/>
  <c r="L58" i="9"/>
  <c r="K58" i="9"/>
  <c r="J58" i="9"/>
  <c r="I58" i="9"/>
  <c r="H58" i="9"/>
  <c r="N57" i="9"/>
  <c r="M57" i="9"/>
  <c r="L57" i="9"/>
  <c r="K57" i="9"/>
  <c r="J57" i="9"/>
  <c r="I57" i="9"/>
  <c r="H57" i="9"/>
  <c r="N56" i="9"/>
  <c r="M56" i="9"/>
  <c r="L56" i="9"/>
  <c r="K56" i="9"/>
  <c r="J56" i="9"/>
  <c r="I56" i="9"/>
  <c r="H56" i="9"/>
  <c r="N55" i="9"/>
  <c r="M55" i="9"/>
  <c r="L55" i="9"/>
  <c r="K55" i="9"/>
  <c r="J55" i="9"/>
  <c r="I55" i="9"/>
  <c r="H55" i="9"/>
  <c r="N54" i="9"/>
  <c r="M54" i="9"/>
  <c r="L54" i="9"/>
  <c r="K54" i="9"/>
  <c r="J54" i="9"/>
  <c r="I54" i="9"/>
  <c r="H54" i="9"/>
  <c r="N53" i="9"/>
  <c r="M53" i="9"/>
  <c r="L53" i="9"/>
  <c r="K53" i="9"/>
  <c r="J53" i="9"/>
  <c r="I53" i="9"/>
  <c r="H53" i="9"/>
  <c r="N52" i="9"/>
  <c r="M52" i="9"/>
  <c r="L52" i="9"/>
  <c r="K52" i="9"/>
  <c r="J52" i="9"/>
  <c r="I52" i="9"/>
  <c r="H52" i="9"/>
  <c r="M51" i="9"/>
  <c r="L51" i="9"/>
  <c r="K51" i="9"/>
  <c r="J51" i="9"/>
  <c r="I51" i="9"/>
  <c r="D51" i="9"/>
  <c r="N51" i="9" s="1"/>
  <c r="N50" i="9"/>
  <c r="M50" i="9"/>
  <c r="L50" i="9"/>
  <c r="K50" i="9"/>
  <c r="J50" i="9"/>
  <c r="I50" i="9"/>
  <c r="H50" i="9"/>
  <c r="M49" i="9"/>
  <c r="L49" i="9"/>
  <c r="K49" i="9"/>
  <c r="J49" i="9"/>
  <c r="I49" i="9"/>
  <c r="D49" i="9"/>
  <c r="N49" i="9" s="1"/>
  <c r="N48" i="9"/>
  <c r="M48" i="9"/>
  <c r="L48" i="9"/>
  <c r="K48" i="9"/>
  <c r="J48" i="9"/>
  <c r="I48" i="9"/>
  <c r="H48" i="9"/>
  <c r="N47" i="9"/>
  <c r="M47" i="9"/>
  <c r="L47" i="9"/>
  <c r="K47" i="9"/>
  <c r="J47" i="9"/>
  <c r="I47" i="9"/>
  <c r="H47" i="9"/>
  <c r="M46" i="9"/>
  <c r="L46" i="9"/>
  <c r="J46" i="9"/>
  <c r="I46" i="9"/>
  <c r="H46" i="9"/>
  <c r="D46" i="9"/>
  <c r="N46" i="9" s="1"/>
  <c r="N45" i="9"/>
  <c r="M45" i="9"/>
  <c r="L45" i="9"/>
  <c r="K45" i="9"/>
  <c r="J45" i="9"/>
  <c r="I45" i="9"/>
  <c r="H45" i="9"/>
  <c r="N44" i="9"/>
  <c r="M44" i="9"/>
  <c r="L44" i="9"/>
  <c r="K44" i="9"/>
  <c r="J44" i="9"/>
  <c r="I44" i="9"/>
  <c r="H44" i="9"/>
  <c r="N43" i="9"/>
  <c r="M43" i="9"/>
  <c r="L43" i="9"/>
  <c r="K43" i="9"/>
  <c r="J43" i="9"/>
  <c r="I43" i="9"/>
  <c r="H43" i="9"/>
  <c r="N42" i="9"/>
  <c r="M42" i="9"/>
  <c r="L42" i="9"/>
  <c r="K42" i="9"/>
  <c r="J42" i="9"/>
  <c r="I42" i="9"/>
  <c r="H42" i="9"/>
  <c r="M41" i="9"/>
  <c r="L41" i="9"/>
  <c r="K41" i="9"/>
  <c r="J41" i="9"/>
  <c r="I41" i="9"/>
  <c r="D41" i="9"/>
  <c r="D17" i="7" s="1"/>
  <c r="N40" i="9"/>
  <c r="M40" i="9"/>
  <c r="L40" i="9"/>
  <c r="K40" i="9"/>
  <c r="J40" i="9"/>
  <c r="I40" i="9"/>
  <c r="H40" i="9"/>
  <c r="N39" i="9"/>
  <c r="M39" i="9"/>
  <c r="L39" i="9"/>
  <c r="K39" i="9"/>
  <c r="J39" i="9"/>
  <c r="I39" i="9"/>
  <c r="H39" i="9"/>
  <c r="N38" i="9"/>
  <c r="M38" i="9"/>
  <c r="L38" i="9"/>
  <c r="K38" i="9"/>
  <c r="J38" i="9"/>
  <c r="I38" i="9"/>
  <c r="H38" i="9"/>
  <c r="N37" i="9"/>
  <c r="M37" i="9"/>
  <c r="L37" i="9"/>
  <c r="K37" i="9"/>
  <c r="J37" i="9"/>
  <c r="I37" i="9"/>
  <c r="H37" i="9"/>
  <c r="N36" i="9"/>
  <c r="M36" i="9"/>
  <c r="L36" i="9"/>
  <c r="K36" i="9"/>
  <c r="J36" i="9"/>
  <c r="I36" i="9"/>
  <c r="H36" i="9"/>
  <c r="N35" i="9"/>
  <c r="M35" i="9"/>
  <c r="L35" i="9"/>
  <c r="K35" i="9"/>
  <c r="J35" i="9"/>
  <c r="I35" i="9"/>
  <c r="H35" i="9"/>
  <c r="N34" i="9"/>
  <c r="M34" i="9"/>
  <c r="L34" i="9"/>
  <c r="K34" i="9"/>
  <c r="J34" i="9"/>
  <c r="I34" i="9"/>
  <c r="H34" i="9"/>
  <c r="N33" i="9"/>
  <c r="M33" i="9"/>
  <c r="L33" i="9"/>
  <c r="K33" i="9"/>
  <c r="J33" i="9"/>
  <c r="I33" i="9"/>
  <c r="H33" i="9"/>
  <c r="N32" i="9"/>
  <c r="M32" i="9"/>
  <c r="L32" i="9"/>
  <c r="K32" i="9"/>
  <c r="J32" i="9"/>
  <c r="I32" i="9"/>
  <c r="H32" i="9"/>
  <c r="N31" i="9"/>
  <c r="M31" i="9"/>
  <c r="L31" i="9"/>
  <c r="K31" i="9"/>
  <c r="J31" i="9"/>
  <c r="I31" i="9"/>
  <c r="H31" i="9"/>
  <c r="N30" i="9"/>
  <c r="M30" i="9"/>
  <c r="L30" i="9"/>
  <c r="K30" i="9"/>
  <c r="J30" i="9"/>
  <c r="I30" i="9"/>
  <c r="H30" i="9"/>
  <c r="N29" i="9"/>
  <c r="M29" i="9"/>
  <c r="L29" i="9"/>
  <c r="K29" i="9"/>
  <c r="J29" i="9"/>
  <c r="I29" i="9"/>
  <c r="H29" i="9"/>
  <c r="N28" i="9"/>
  <c r="M28" i="9"/>
  <c r="L28" i="9"/>
  <c r="K28" i="9"/>
  <c r="J28" i="9"/>
  <c r="I28" i="9"/>
  <c r="H28" i="9"/>
  <c r="N27" i="9"/>
  <c r="M27" i="9"/>
  <c r="L27" i="9"/>
  <c r="K27" i="9"/>
  <c r="J27" i="9"/>
  <c r="I27" i="9"/>
  <c r="H27" i="9"/>
  <c r="N26" i="9"/>
  <c r="M26" i="9"/>
  <c r="L26" i="9"/>
  <c r="K26" i="9"/>
  <c r="J26" i="9"/>
  <c r="I26" i="9"/>
  <c r="H26" i="9"/>
  <c r="N25" i="9"/>
  <c r="M25" i="9"/>
  <c r="L25" i="9"/>
  <c r="K25" i="9"/>
  <c r="J25" i="9"/>
  <c r="I25" i="9"/>
  <c r="H25" i="9"/>
  <c r="N24" i="9"/>
  <c r="M24" i="9"/>
  <c r="L24" i="9"/>
  <c r="K24" i="9"/>
  <c r="J24" i="9"/>
  <c r="I24" i="9"/>
  <c r="H24" i="9"/>
  <c r="N23" i="9"/>
  <c r="M23" i="9"/>
  <c r="L23" i="9"/>
  <c r="K23" i="9"/>
  <c r="J23" i="9"/>
  <c r="I23" i="9"/>
  <c r="H23" i="9"/>
  <c r="N22" i="9"/>
  <c r="M22" i="9"/>
  <c r="L22" i="9"/>
  <c r="K22" i="9"/>
  <c r="J22" i="9"/>
  <c r="I22" i="9"/>
  <c r="H22" i="9"/>
  <c r="N21" i="9"/>
  <c r="M21" i="9"/>
  <c r="L21" i="9"/>
  <c r="K21" i="9"/>
  <c r="J21" i="9"/>
  <c r="I21" i="9"/>
  <c r="H21" i="9"/>
  <c r="N20" i="9"/>
  <c r="M20" i="9"/>
  <c r="L20" i="9"/>
  <c r="K20" i="9"/>
  <c r="J20" i="9"/>
  <c r="I20" i="9"/>
  <c r="H20" i="9"/>
  <c r="N19" i="9"/>
  <c r="M19" i="9"/>
  <c r="L19" i="9"/>
  <c r="K19" i="9"/>
  <c r="J19" i="9"/>
  <c r="I19" i="9"/>
  <c r="H19" i="9"/>
  <c r="N18" i="9"/>
  <c r="M18" i="9"/>
  <c r="L18" i="9"/>
  <c r="K18" i="9"/>
  <c r="J18" i="9"/>
  <c r="I18" i="9"/>
  <c r="H18" i="9"/>
  <c r="N17" i="9"/>
  <c r="M17" i="9"/>
  <c r="L17" i="9"/>
  <c r="K17" i="9"/>
  <c r="J17" i="9"/>
  <c r="I17" i="9"/>
  <c r="H17" i="9"/>
  <c r="N16" i="9"/>
  <c r="M16" i="9"/>
  <c r="L16" i="9"/>
  <c r="K16" i="9"/>
  <c r="J16" i="9"/>
  <c r="I16" i="9"/>
  <c r="H16" i="9"/>
  <c r="N15" i="9"/>
  <c r="M15" i="9"/>
  <c r="L15" i="9"/>
  <c r="K15" i="9"/>
  <c r="J15" i="9"/>
  <c r="I15" i="9"/>
  <c r="H15" i="9"/>
  <c r="N14" i="9"/>
  <c r="M14" i="9"/>
  <c r="L14" i="9"/>
  <c r="K14" i="9"/>
  <c r="J14" i="9"/>
  <c r="I14" i="9"/>
  <c r="H14" i="9"/>
  <c r="N13" i="9"/>
  <c r="M13" i="9"/>
  <c r="L13" i="9"/>
  <c r="K13" i="9"/>
  <c r="J13" i="9"/>
  <c r="I13" i="9"/>
  <c r="H13" i="9"/>
  <c r="N12" i="9"/>
  <c r="M12" i="9"/>
  <c r="L12" i="9"/>
  <c r="K12" i="9"/>
  <c r="J12" i="9"/>
  <c r="I12" i="9"/>
  <c r="H12" i="9"/>
  <c r="N11" i="9"/>
  <c r="M11" i="9"/>
  <c r="L11" i="9"/>
  <c r="K11" i="9"/>
  <c r="J11" i="9"/>
  <c r="I11" i="9"/>
  <c r="H11" i="9"/>
  <c r="M10" i="9"/>
  <c r="L10" i="9"/>
  <c r="J10" i="9"/>
  <c r="I10" i="9"/>
  <c r="H10" i="9"/>
  <c r="D10" i="9"/>
  <c r="N10" i="9" s="1"/>
  <c r="G8" i="9"/>
  <c r="N7" i="9"/>
  <c r="M7" i="9"/>
  <c r="L7" i="9"/>
  <c r="K7" i="9"/>
  <c r="J7" i="9"/>
  <c r="I7" i="9"/>
  <c r="H7" i="9"/>
  <c r="N6" i="9"/>
  <c r="M6" i="9"/>
  <c r="L6" i="9"/>
  <c r="K6" i="9"/>
  <c r="J6" i="9"/>
  <c r="I6" i="9"/>
  <c r="H6" i="9"/>
  <c r="N5" i="9"/>
  <c r="M5" i="9"/>
  <c r="L5" i="9"/>
  <c r="K5" i="9"/>
  <c r="J5" i="9"/>
  <c r="I5" i="9"/>
  <c r="H5" i="9"/>
  <c r="M4" i="9"/>
  <c r="L4" i="9"/>
  <c r="K4" i="9"/>
  <c r="I4" i="9"/>
  <c r="H4" i="9"/>
  <c r="D4" i="9"/>
  <c r="I8" i="9" s="1"/>
  <c r="L2" i="9"/>
  <c r="N2" i="9" s="1"/>
  <c r="L8" i="7"/>
  <c r="I8" i="7"/>
  <c r="L7" i="7"/>
  <c r="I7" i="7"/>
  <c r="L6" i="7"/>
  <c r="D6" i="7"/>
  <c r="L5" i="7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L1000" i="3"/>
  <c r="G993" i="3"/>
  <c r="G873" i="3"/>
  <c r="G823" i="3"/>
  <c r="G824" i="3" s="1"/>
  <c r="L822" i="3"/>
  <c r="L821" i="3"/>
  <c r="E800" i="3"/>
  <c r="E799" i="3"/>
  <c r="G791" i="3"/>
  <c r="L791" i="3" s="1"/>
  <c r="L785" i="3"/>
  <c r="L784" i="3"/>
  <c r="L782" i="3"/>
  <c r="L780" i="3"/>
  <c r="G768" i="3"/>
  <c r="L765" i="3"/>
  <c r="G762" i="3"/>
  <c r="G763" i="3" s="1"/>
  <c r="E761" i="3"/>
  <c r="L759" i="3"/>
  <c r="G753" i="3"/>
  <c r="G750" i="3"/>
  <c r="G754" i="3" s="1"/>
  <c r="L744" i="3"/>
  <c r="G745" i="3" s="1"/>
  <c r="G720" i="3"/>
  <c r="M721" i="3" s="1"/>
  <c r="M722" i="3" s="1"/>
  <c r="M723" i="3" s="1"/>
  <c r="M725" i="3" s="1"/>
  <c r="M727" i="3" s="1"/>
  <c r="L712" i="3"/>
  <c r="G707" i="3"/>
  <c r="G709" i="3" s="1"/>
  <c r="G708" i="3" s="1"/>
  <c r="L705" i="3"/>
  <c r="L691" i="3"/>
  <c r="G691" i="3"/>
  <c r="G690" i="3" s="1"/>
  <c r="L690" i="3"/>
  <c r="L679" i="3"/>
  <c r="L678" i="3"/>
  <c r="L677" i="3"/>
  <c r="L676" i="3"/>
  <c r="L675" i="3"/>
  <c r="L674" i="3"/>
  <c r="L673" i="3"/>
  <c r="L672" i="3"/>
  <c r="G671" i="3"/>
  <c r="L670" i="3"/>
  <c r="G644" i="3"/>
  <c r="L582" i="3"/>
  <c r="L581" i="3"/>
  <c r="L556" i="3"/>
  <c r="E556" i="3"/>
  <c r="E549" i="3"/>
  <c r="E539" i="3"/>
  <c r="L537" i="3"/>
  <c r="L534" i="3"/>
  <c r="G535" i="3" s="1"/>
  <c r="E531" i="3"/>
  <c r="E530" i="3"/>
  <c r="E525" i="3"/>
  <c r="L511" i="3"/>
  <c r="G505" i="3"/>
  <c r="E500" i="3"/>
  <c r="L493" i="3"/>
  <c r="L486" i="3"/>
  <c r="L485" i="3"/>
  <c r="L477" i="3"/>
  <c r="L476" i="3"/>
  <c r="L475" i="3"/>
  <c r="L473" i="3"/>
  <c r="L472" i="3"/>
  <c r="L471" i="3"/>
  <c r="L470" i="3"/>
  <c r="L469" i="3"/>
  <c r="L468" i="3"/>
  <c r="L467" i="3"/>
  <c r="L466" i="3"/>
  <c r="L465" i="3"/>
  <c r="L464" i="3"/>
  <c r="L463" i="3"/>
  <c r="E463" i="3"/>
  <c r="L462" i="3"/>
  <c r="L461" i="3"/>
  <c r="L460" i="3"/>
  <c r="L459" i="3"/>
  <c r="L458" i="3"/>
  <c r="L457" i="3"/>
  <c r="L456" i="3"/>
  <c r="E456" i="3"/>
  <c r="L455" i="3"/>
  <c r="G404" i="3"/>
  <c r="G397" i="3"/>
  <c r="G393" i="3"/>
  <c r="G383" i="3"/>
  <c r="L366" i="3"/>
  <c r="L363" i="3"/>
  <c r="L361" i="3"/>
  <c r="L360" i="3"/>
  <c r="G358" i="3"/>
  <c r="G355" i="3"/>
  <c r="L354" i="3"/>
  <c r="G354" i="3"/>
  <c r="E341" i="3"/>
  <c r="G340" i="3"/>
  <c r="G312" i="3"/>
  <c r="G305" i="3"/>
  <c r="G303" i="3"/>
  <c r="L286" i="3"/>
  <c r="G288" i="3" s="1"/>
  <c r="L285" i="3"/>
  <c r="G284" i="3"/>
  <c r="L268" i="3"/>
  <c r="G256" i="3"/>
  <c r="G219" i="3"/>
  <c r="G220" i="3" s="1"/>
  <c r="G176" i="3"/>
  <c r="G178" i="3" s="1"/>
  <c r="G143" i="3"/>
  <c r="G144" i="3" s="1"/>
  <c r="L140" i="3"/>
  <c r="G141" i="3" s="1"/>
  <c r="L124" i="3"/>
  <c r="L120" i="3"/>
  <c r="L65" i="3"/>
  <c r="G65" i="3"/>
  <c r="L35" i="3"/>
  <c r="L34" i="3"/>
  <c r="L33" i="3"/>
  <c r="E32" i="3"/>
  <c r="D21" i="7" l="1"/>
  <c r="N324" i="9"/>
  <c r="D55" i="7"/>
  <c r="C60" i="7"/>
  <c r="E60" i="7" s="1"/>
  <c r="F60" i="7" s="1"/>
  <c r="D50" i="7"/>
  <c r="D54" i="7"/>
  <c r="D51" i="7"/>
  <c r="C31" i="7"/>
  <c r="E31" i="7" s="1"/>
  <c r="F31" i="7" s="1"/>
  <c r="C35" i="7"/>
  <c r="E35" i="7" s="1"/>
  <c r="F35" i="7" s="1"/>
  <c r="D24" i="7"/>
  <c r="D52" i="7"/>
  <c r="C20" i="7"/>
  <c r="E20" i="7" s="1"/>
  <c r="F20" i="7" s="1"/>
  <c r="D25" i="7"/>
  <c r="D19" i="7"/>
  <c r="D18" i="7"/>
  <c r="C9" i="7"/>
  <c r="E9" i="7" s="1"/>
  <c r="F9" i="7" s="1"/>
  <c r="D53" i="7"/>
  <c r="N227" i="9"/>
  <c r="D26" i="7"/>
  <c r="C30" i="7"/>
  <c r="E30" i="7" s="1"/>
  <c r="F30" i="7" s="1"/>
  <c r="C34" i="7"/>
  <c r="E34" i="7" s="1"/>
  <c r="F34" i="7" s="1"/>
  <c r="C22" i="7"/>
  <c r="E22" i="7" s="1"/>
  <c r="F22" i="7" s="1"/>
  <c r="C27" i="7"/>
  <c r="E27" i="7" s="1"/>
  <c r="F27" i="7" s="1"/>
  <c r="C41" i="7"/>
  <c r="E41" i="7" s="1"/>
  <c r="F41" i="7" s="1"/>
  <c r="L302" i="9"/>
  <c r="L306" i="9"/>
  <c r="C56" i="7"/>
  <c r="E56" i="7" s="1"/>
  <c r="F56" i="7" s="1"/>
  <c r="C55" i="7"/>
  <c r="C58" i="7"/>
  <c r="E58" i="7" s="1"/>
  <c r="F58" i="7" s="1"/>
  <c r="N301" i="9"/>
  <c r="N59" i="9"/>
  <c r="N201" i="9"/>
  <c r="C53" i="7"/>
  <c r="C26" i="7"/>
  <c r="C19" i="7"/>
  <c r="C47" i="7"/>
  <c r="E47" i="7" s="1"/>
  <c r="F47" i="7" s="1"/>
  <c r="C24" i="7"/>
  <c r="C23" i="7"/>
  <c r="E23" i="7" s="1"/>
  <c r="F23" i="7" s="1"/>
  <c r="C36" i="7"/>
  <c r="E36" i="7" s="1"/>
  <c r="F36" i="7" s="1"/>
  <c r="C38" i="7"/>
  <c r="E38" i="7" s="1"/>
  <c r="F38" i="7" s="1"/>
  <c r="C37" i="7"/>
  <c r="E37" i="7" s="1"/>
  <c r="F37" i="7" s="1"/>
  <c r="C40" i="7"/>
  <c r="E40" i="7" s="1"/>
  <c r="F40" i="7" s="1"/>
  <c r="E13" i="7"/>
  <c r="F13" i="7" s="1"/>
  <c r="L305" i="9"/>
  <c r="N306" i="9"/>
  <c r="L261" i="9"/>
  <c r="H241" i="9"/>
  <c r="N236" i="9"/>
  <c r="K154" i="9"/>
  <c r="K252" i="9"/>
  <c r="L279" i="9"/>
  <c r="C33" i="7"/>
  <c r="E33" i="7" s="1"/>
  <c r="F33" i="7" s="1"/>
  <c r="C16" i="7"/>
  <c r="E16" i="7" s="1"/>
  <c r="F16" i="7" s="1"/>
  <c r="E7" i="7"/>
  <c r="F7" i="7" s="1"/>
  <c r="D477" i="9"/>
  <c r="I486" i="9"/>
  <c r="K486" i="9" s="1"/>
  <c r="J4" i="9"/>
  <c r="J9" i="9" s="1"/>
  <c r="J129" i="9" s="1"/>
  <c r="J219" i="9" s="1"/>
  <c r="K46" i="9"/>
  <c r="C32" i="7"/>
  <c r="E32" i="7" s="1"/>
  <c r="F32" i="7" s="1"/>
  <c r="D129" i="9"/>
  <c r="D3" i="9"/>
  <c r="N8" i="9" s="1"/>
  <c r="C28" i="7"/>
  <c r="E28" i="7" s="1"/>
  <c r="F28" i="7" s="1"/>
  <c r="N4" i="9"/>
  <c r="H41" i="9"/>
  <c r="N41" i="9"/>
  <c r="L117" i="9"/>
  <c r="E10" i="7"/>
  <c r="F10" i="7" s="1"/>
  <c r="E8" i="7"/>
  <c r="F8" i="7" s="1"/>
  <c r="G289" i="3"/>
  <c r="G287" i="3"/>
  <c r="H216" i="9"/>
  <c r="N216" i="9"/>
  <c r="H226" i="9"/>
  <c r="C29" i="7"/>
  <c r="E29" i="7" s="1"/>
  <c r="F29" i="7" s="1"/>
  <c r="C17" i="7"/>
  <c r="E17" i="7" s="1"/>
  <c r="F17" i="7" s="1"/>
  <c r="L175" i="9"/>
  <c r="C45" i="7"/>
  <c r="G287" i="9"/>
  <c r="I58" i="10"/>
  <c r="I121" i="10"/>
  <c r="I122" i="10" s="1"/>
  <c r="I123" i="10" s="1"/>
  <c r="I124" i="10" s="1"/>
  <c r="I125" i="10" s="1"/>
  <c r="I126" i="10" s="1"/>
  <c r="I127" i="10" s="1"/>
  <c r="I128" i="10" s="1"/>
  <c r="I129" i="10" s="1"/>
  <c r="I130" i="10" s="1"/>
  <c r="N24" i="13"/>
  <c r="C44" i="7"/>
  <c r="H189" i="9"/>
  <c r="H224" i="9"/>
  <c r="I476" i="9"/>
  <c r="K476" i="9" s="1"/>
  <c r="P477" i="9" s="1"/>
  <c r="G128" i="9"/>
  <c r="G218" i="9"/>
  <c r="H171" i="9"/>
  <c r="J227" i="9"/>
  <c r="C50" i="7"/>
  <c r="N20" i="13"/>
  <c r="P4" i="13" s="1"/>
  <c r="C21" i="7"/>
  <c r="N25" i="13"/>
  <c r="C39" i="7"/>
  <c r="E39" i="7" s="1"/>
  <c r="F39" i="7" s="1"/>
  <c r="K9" i="9"/>
  <c r="D413" i="9"/>
  <c r="C25" i="7"/>
  <c r="L9" i="9"/>
  <c r="D439" i="9"/>
  <c r="D454" i="9"/>
  <c r="C18" i="7"/>
  <c r="H9" i="9"/>
  <c r="I9" i="9"/>
  <c r="I129" i="9" s="1"/>
  <c r="I219" i="9" s="1"/>
  <c r="D256" i="9" s="1"/>
  <c r="M129" i="9"/>
  <c r="M219" i="9" s="1"/>
  <c r="M288" i="9" s="1"/>
  <c r="M374" i="9" s="1"/>
  <c r="M413" i="9" s="1"/>
  <c r="E11" i="7"/>
  <c r="F11" i="7" s="1"/>
  <c r="E12" i="7"/>
  <c r="F12" i="7" s="1"/>
  <c r="E6" i="7"/>
  <c r="F6" i="7" s="1"/>
  <c r="E15" i="7"/>
  <c r="F15" i="7" s="1"/>
  <c r="E14" i="7"/>
  <c r="F14" i="7" s="1"/>
  <c r="G752" i="3"/>
  <c r="K8" i="9"/>
  <c r="P9" i="9" s="1"/>
  <c r="I128" i="9"/>
  <c r="N173" i="9"/>
  <c r="I218" i="9"/>
  <c r="J300" i="9"/>
  <c r="D9" i="9"/>
  <c r="K10" i="9"/>
  <c r="H51" i="9"/>
  <c r="K59" i="9"/>
  <c r="N146" i="9"/>
  <c r="H223" i="9"/>
  <c r="N223" i="9"/>
  <c r="I467" i="9"/>
  <c r="K467" i="9" s="1"/>
  <c r="H146" i="9"/>
  <c r="K201" i="9"/>
  <c r="K251" i="9"/>
  <c r="L280" i="9"/>
  <c r="I438" i="9"/>
  <c r="K438" i="9" s="1"/>
  <c r="I453" i="9"/>
  <c r="K453" i="9" s="1"/>
  <c r="N169" i="9"/>
  <c r="N258" i="9"/>
  <c r="H49" i="9"/>
  <c r="D468" i="9"/>
  <c r="E55" i="7" l="1"/>
  <c r="F55" i="7" s="1"/>
  <c r="E50" i="7"/>
  <c r="F50" i="7" s="1"/>
  <c r="E24" i="7"/>
  <c r="F24" i="7" s="1"/>
  <c r="C54" i="7"/>
  <c r="E54" i="7" s="1"/>
  <c r="F54" i="7" s="1"/>
  <c r="E18" i="7"/>
  <c r="F18" i="7" s="1"/>
  <c r="C52" i="7"/>
  <c r="E52" i="7" s="1"/>
  <c r="F52" i="7" s="1"/>
  <c r="E26" i="7"/>
  <c r="F26" i="7" s="1"/>
  <c r="C51" i="7"/>
  <c r="E51" i="7" s="1"/>
  <c r="F51" i="7" s="1"/>
  <c r="E25" i="7"/>
  <c r="F25" i="7" s="1"/>
  <c r="E53" i="7"/>
  <c r="F53" i="7" s="1"/>
  <c r="E19" i="7"/>
  <c r="F19" i="7" s="1"/>
  <c r="C42" i="7"/>
  <c r="E42" i="7" s="1"/>
  <c r="F42" i="7" s="1"/>
  <c r="C49" i="7"/>
  <c r="C48" i="7"/>
  <c r="E48" i="7" s="1"/>
  <c r="F48" i="7" s="1"/>
  <c r="C46" i="7"/>
  <c r="E46" i="7" s="1"/>
  <c r="F46" i="7" s="1"/>
  <c r="C43" i="7"/>
  <c r="E43" i="7" s="1"/>
  <c r="F43" i="7" s="1"/>
  <c r="P23" i="13"/>
  <c r="P26" i="13" s="1"/>
  <c r="L129" i="9"/>
  <c r="L219" i="9" s="1"/>
  <c r="L288" i="9" s="1"/>
  <c r="L374" i="9" s="1"/>
  <c r="K128" i="9"/>
  <c r="D487" i="9"/>
  <c r="N9" i="9"/>
  <c r="N128" i="9" s="1"/>
  <c r="E45" i="7"/>
  <c r="F45" i="7" s="1"/>
  <c r="D254" i="9"/>
  <c r="J254" i="9" s="1"/>
  <c r="J288" i="9" s="1"/>
  <c r="J374" i="9" s="1"/>
  <c r="E21" i="7"/>
  <c r="F21" i="7" s="1"/>
  <c r="K129" i="9"/>
  <c r="K219" i="9" s="1"/>
  <c r="K288" i="9" s="1"/>
  <c r="K374" i="9" s="1"/>
  <c r="K413" i="9" s="1"/>
  <c r="K439" i="9" s="1"/>
  <c r="K454" i="9" s="1"/>
  <c r="K468" i="9" s="1"/>
  <c r="K477" i="9" s="1"/>
  <c r="K487" i="9" s="1"/>
  <c r="K535" i="9" s="1"/>
  <c r="E44" i="7"/>
  <c r="F44" i="7" s="1"/>
  <c r="K218" i="9"/>
  <c r="H129" i="9"/>
  <c r="H219" i="9" s="1"/>
  <c r="I256" i="9"/>
  <c r="I288" i="9" s="1"/>
  <c r="I374" i="9" s="1"/>
  <c r="N256" i="9"/>
  <c r="D391" i="9" l="1"/>
  <c r="D390" i="9"/>
  <c r="D389" i="9"/>
  <c r="E49" i="7"/>
  <c r="F49" i="7" s="1"/>
  <c r="P129" i="9"/>
  <c r="P219" i="9" s="1"/>
  <c r="N254" i="9"/>
  <c r="N129" i="9"/>
  <c r="N218" i="9" s="1"/>
  <c r="N219" i="9"/>
  <c r="D253" i="9"/>
  <c r="N391" i="9" l="1"/>
  <c r="L391" i="9"/>
  <c r="L413" i="9" s="1"/>
  <c r="L439" i="9" s="1"/>
  <c r="L454" i="9" s="1"/>
  <c r="L468" i="9" s="1"/>
  <c r="L477" i="9" s="1"/>
  <c r="L487" i="9" s="1"/>
  <c r="L535" i="9" s="1"/>
  <c r="N390" i="9"/>
  <c r="J390" i="9"/>
  <c r="J413" i="9" s="1"/>
  <c r="J439" i="9" s="1"/>
  <c r="J454" i="9" s="1"/>
  <c r="J468" i="9" s="1"/>
  <c r="J477" i="9" s="1"/>
  <c r="J487" i="9" s="1"/>
  <c r="J535" i="9" s="1"/>
  <c r="N389" i="9"/>
  <c r="I389" i="9"/>
  <c r="I413" i="9" s="1"/>
  <c r="I439" i="9" s="1"/>
  <c r="I454" i="9" s="1"/>
  <c r="I468" i="9" s="1"/>
  <c r="I477" i="9" s="1"/>
  <c r="I487" i="9" s="1"/>
  <c r="I535" i="9" s="1"/>
  <c r="I287" i="9"/>
  <c r="K287" i="9" s="1"/>
  <c r="P288" i="9" s="1"/>
  <c r="D219" i="9"/>
  <c r="N287" i="9" s="1"/>
  <c r="H253" i="9"/>
  <c r="H288" i="9" s="1"/>
  <c r="N253" i="9"/>
  <c r="N288" i="9" l="1"/>
  <c r="I373" i="9"/>
  <c r="K373" i="9" s="1"/>
  <c r="P374" i="9" s="1"/>
  <c r="N316" i="9"/>
  <c r="D288" i="9"/>
  <c r="H316" i="9"/>
  <c r="H374" i="9" s="1"/>
  <c r="D388" i="9" s="1"/>
  <c r="I534" i="9" s="1"/>
  <c r="K534" i="9" s="1"/>
  <c r="N388" i="9" l="1"/>
  <c r="H388" i="9"/>
  <c r="H413" i="9" s="1"/>
  <c r="I412" i="9"/>
  <c r="K412" i="9" s="1"/>
  <c r="P413" i="9" s="1"/>
  <c r="P439" i="9" s="1"/>
  <c r="P454" i="9" s="1"/>
  <c r="P468" i="9" s="1"/>
  <c r="P487" i="9" s="1"/>
  <c r="P535" i="9" s="1"/>
  <c r="D374" i="9"/>
  <c r="N373" i="9"/>
  <c r="N374" i="9"/>
  <c r="N412" i="9" l="1"/>
  <c r="N413" i="9"/>
  <c r="N438" i="9" s="1"/>
  <c r="H439" i="9"/>
  <c r="H454" i="9" l="1"/>
  <c r="N439" i="9"/>
  <c r="N453" i="9" s="1"/>
  <c r="N454" i="9" l="1"/>
  <c r="N467" i="9" s="1"/>
  <c r="H468" i="9"/>
  <c r="N468" i="9" l="1"/>
  <c r="N476" i="9" s="1"/>
  <c r="H477" i="9"/>
  <c r="N477" i="9" l="1"/>
  <c r="H487" i="9"/>
  <c r="H535" i="9" s="1"/>
  <c r="N535" i="9" s="1"/>
  <c r="N486" i="9" l="1"/>
  <c r="N487" i="9"/>
  <c r="N53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Ufficio</author>
  </authors>
  <commentList>
    <comment ref="C10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 xml:space="preserve">TIM: 28.5
AUTO BANK: 523.5
KUWAIT 662+620
VERISURE 259.05
TELEPASS 278.52
CARTA BCC: 604.56
OLIMPIA 210.49
</t>
        </r>
      </text>
    </comment>
    <comment ref="C188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TIM: 28.5
AUTO BANK: 523.5
KUWAIT 662+620
VERISURE 259.05
TELEPASS 278.52
CARTA BCC: 604.56
OLIMPIA 210.49
</t>
        </r>
      </text>
    </comment>
    <comment ref="C205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Ufficio:
TIM
VERISURE 
FCA BANK 523.50</t>
        </r>
      </text>
    </comment>
    <comment ref="C27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 xml:space="preserve">TIM: 28.5
AUTO BANK: 523.5
KUWAIT 662+620
VERISURE 259.05
TELEPASS 278.52
CARTA BCC: 604.56
OLIMPIA 210.49
</t>
        </r>
      </text>
    </comment>
    <comment ref="C27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 xml:space="preserve">TIM: 28.5
AUTO BANK: 523.5
KUWAIT 662+620
VERISURE 259.05
TELEPASS 278.52
CARTA BCC: 604.56
OLIMPIA 210.49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9A1917-6EBB-40FA-A452-3E4AA46B0088}" keepAlive="1" name="Query - attuale foglio" description="Connessione alla query 'attuale foglio' nella cartella di lavoro." type="5" refreshedVersion="8" background="1" saveData="1">
    <dbPr connection="Provider=Microsoft.Mashup.OleDb.1;Data Source=$Workbook$;Location=&quot;attuale foglio&quot;;Extended Properties=&quot;&quot;" command="SELECT * FROM [attuale foglio]"/>
  </connection>
  <connection id="2" xr16:uid="{3CA7D519-3C25-4A9E-9BC6-A92EC57A22BA}" keepAlive="1" name="Query - report_xml" description="Connessione alla query 'report_xml' nella cartella di lavoro." type="5" refreshedVersion="8" background="1" saveData="1">
    <dbPr connection="Provider=Microsoft.Mashup.OleDb.1;Data Source=$Workbook$;Location=report_xml;Extended Properties=&quot;&quot;" command="SELECT * FROM [report_xml]"/>
  </connection>
  <connection id="3" xr16:uid="{0599F571-181E-4F29-AB00-843490D5463E}" keepAlive="1" name="Query - tania_fornitori" description="Connessione alla query 'tania_fornitori' nella cartella di lavoro." type="5" refreshedVersion="8" background="1" saveData="1">
    <dbPr connection="Provider=Microsoft.Mashup.OleDb.1;Data Source=$Workbook$;Location=tania_fornitori;Extended Properties=&quot;&quot;" command="SELECT * FROM [tania_fornitori]"/>
  </connection>
  <connection id="4" xr16:uid="{EB41FCDE-6051-43CE-87CC-EA035FBEEC84}" keepAlive="1" name="Query - Tbl_Fatture_statico" description="Connessione alla query 'Tbl_Fatture_statico' nella cartella di lavoro." type="5" refreshedVersion="0" background="1">
    <dbPr connection="Provider=Microsoft.Mashup.OleDb.1;Data Source=$Workbook$;Location=Tbl_Fatture_statico;Extended Properties=&quot;&quot;" command="SELECT * FROM [Tbl_Fatture_statico]"/>
  </connection>
  <connection id="5" xr16:uid="{BA6371B3-746F-4951-B7EC-B3F771424D95}" keepAlive="1" name="Query - unione_report_main" description="Connessione alla query 'unione_report_main' nella cartella di lavoro." type="5" refreshedVersion="8" background="1" saveData="1">
    <dbPr connection="Provider=Microsoft.Mashup.OleDb.1;Data Source=$Workbook$;Location=unione_report_main;Extended Properties=&quot;&quot;" command="SELECT * FROM [unione_report_main]"/>
  </connection>
  <connection id="6" xr16:uid="{F7D617DD-39AE-4302-B1BE-2F6A3C458C7F}" keepAlive="1" name="Query - unione_tania_main" description="Connessione alla query 'unione_tania_main' nella cartella di lavoro." type="5" refreshedVersion="8" background="1" saveData="1">
    <dbPr connection="Provider=Microsoft.Mashup.OleDb.1;Data Source=$Workbook$;Location=unione_tania_main;Extended Properties=&quot;&quot;" command="SELECT * FROM [unione_tania_main]"/>
  </connection>
</connections>
</file>

<file path=xl/sharedStrings.xml><?xml version="1.0" encoding="utf-8"?>
<sst xmlns="http://schemas.openxmlformats.org/spreadsheetml/2006/main" count="31474" uniqueCount="4345">
  <si>
    <t>Column1</t>
  </si>
  <si>
    <t>fornitore</t>
  </si>
  <si>
    <t>fattura nr</t>
  </si>
  <si>
    <t>del</t>
  </si>
  <si>
    <t>Scadenza</t>
  </si>
  <si>
    <t>Sdo</t>
  </si>
  <si>
    <t>Importo</t>
  </si>
  <si>
    <t>Ft in pdf</t>
  </si>
  <si>
    <t>Cantiere</t>
  </si>
  <si>
    <t>Modalità
pagamento</t>
  </si>
  <si>
    <t>Data
pagamento</t>
  </si>
  <si>
    <t>Importo
pagamento</t>
  </si>
  <si>
    <t>NOTE</t>
  </si>
  <si>
    <t>OK</t>
  </si>
  <si>
    <t>abaco spa</t>
  </si>
  <si>
    <t>326259100070161020</t>
  </si>
  <si>
    <t>x</t>
  </si>
  <si>
    <t xml:space="preserve">proc . Fermo amm. Autocarro FX 155 TF </t>
  </si>
  <si>
    <t>CBILL</t>
  </si>
  <si>
    <t>BCC 601460</t>
  </si>
  <si>
    <t>agostani srl con socio unico</t>
  </si>
  <si>
    <t>VOF00048162</t>
  </si>
  <si>
    <t>..\..\Acquisti\2025\EV\FATTURE\EV - AGOSTANI SRL ft 4162 del 09-10-2025.pdf</t>
  </si>
  <si>
    <t xml:space="preserve">ufficio-caffe+ palette </t>
  </si>
  <si>
    <t>Carta di credito</t>
  </si>
  <si>
    <t>agriristorante sant'alessandro s.r.l.</t>
  </si>
  <si>
    <t>8</t>
  </si>
  <si>
    <t>..\..\Acquisti\2025\EV\FATTURE\EV - AGRIRISTORANTE SANT'ALESSANDRO ft 8 del 18-01-2025.pdf</t>
  </si>
  <si>
    <t xml:space="preserve">ILARIA </t>
  </si>
  <si>
    <t>169</t>
  </si>
  <si>
    <t>01/09/225</t>
  </si>
  <si>
    <t>..\..\Acquisti\2025\EV\FATTURE\EV - AGRIRISTORANTE SANT'ALESSANDRO ft 169 del 01-09-2025.pdf</t>
  </si>
  <si>
    <t>ag. serena di marseu serena &amp; c.</t>
  </si>
  <si>
    <t>1551_25</t>
  </si>
  <si>
    <t xml:space="preserve">ilaria </t>
  </si>
  <si>
    <t xml:space="preserve">carta di credito </t>
  </si>
  <si>
    <t>ak informatica tech srl</t>
  </si>
  <si>
    <t>521/2025</t>
  </si>
  <si>
    <t>..\..\Acquisti\2025\EV\FATTURE\EV - AK INFORMATICA TEK ft 521 del 11-02-2025.pdf</t>
  </si>
  <si>
    <t>al garghet sas di cipolla emanuela  e c.</t>
  </si>
  <si>
    <t>849</t>
  </si>
  <si>
    <t>..\..\Acquisti\2025\EV\FATTURE\EV - AL GARGHET SAS DI CIPOLLA EMANUELA ft 849 del 23-05-2025.pdf</t>
  </si>
  <si>
    <t>Pranzo</t>
  </si>
  <si>
    <t>Carta di Pagamento</t>
  </si>
  <si>
    <t>amazon businness</t>
  </si>
  <si>
    <t>IT5382TEABEI</t>
  </si>
  <si>
    <t xml:space="preserve">UFFICIO </t>
  </si>
  <si>
    <t xml:space="preserve">CARTA </t>
  </si>
  <si>
    <t>IT53HCK3ABEI</t>
  </si>
  <si>
    <t>X</t>
  </si>
  <si>
    <t>UFFICIO</t>
  </si>
  <si>
    <t>IT53HIF2ABEI</t>
  </si>
  <si>
    <t>andrea losa giardini s.r.l.</t>
  </si>
  <si>
    <t>153</t>
  </si>
  <si>
    <t>C:\Users\Ufficio\Desktop\Amministrazione\Acquisti\2024\EV\Fatture\EV - ANDREA LOSA ft 153 del 21-12-204.pdf</t>
  </si>
  <si>
    <t>Bergamo, via Ghislandi</t>
  </si>
  <si>
    <t>Bonifico</t>
  </si>
  <si>
    <t>antonio giannetta notaio</t>
  </si>
  <si>
    <t>PR9</t>
  </si>
  <si>
    <t>..\..\Acquisti\2025\EV\PROFORME\antonio giannetta - proforma n.9 del 29-01-2025.pdf</t>
  </si>
  <si>
    <t>atto Bergamo Michele Bianchi</t>
  </si>
  <si>
    <t xml:space="preserve">dilazionata con i pag. sotto </t>
  </si>
  <si>
    <t>anselmo s.r.l.</t>
  </si>
  <si>
    <t>490</t>
  </si>
  <si>
    <t>..\..\Acquisti\2025\EV\FATTURE\EV - ANSELMO SRL ft 490 del 31-07-2025.pdf</t>
  </si>
  <si>
    <t>VARIGOTTI</t>
  </si>
  <si>
    <t>bonifico</t>
  </si>
  <si>
    <t xml:space="preserve">manca contabile </t>
  </si>
  <si>
    <t>rif 480+ mail 30.06.25</t>
  </si>
  <si>
    <t>varigotti</t>
  </si>
  <si>
    <t>bpm</t>
  </si>
  <si>
    <t>bcc</t>
  </si>
  <si>
    <t>aon spa</t>
  </si>
  <si>
    <t>POLIZZA</t>
  </si>
  <si>
    <t>RCT/RCO _  47878304</t>
  </si>
  <si>
    <t>BONIFICO</t>
  </si>
  <si>
    <t>armici fabrizio</t>
  </si>
  <si>
    <t>172</t>
  </si>
  <si>
    <t>..\..\Acquisti\2025\EV\FATTURE\EV - ARMICI FABRIZIO ft 172 del 12-06-2025.pdf</t>
  </si>
  <si>
    <t>manutenzione GD763GG</t>
  </si>
  <si>
    <t>NC</t>
  </si>
  <si>
    <t>296</t>
  </si>
  <si>
    <t>NOTA CREDITO FT 172</t>
  </si>
  <si>
    <t xml:space="preserve">BONIFICO </t>
  </si>
  <si>
    <t>artes s.r.l.</t>
  </si>
  <si>
    <t>483</t>
  </si>
  <si>
    <t>C:\Users\Ufficio\Desktop\Amministrazione\Acquisti\2024\EV\Fatture\EV - ARTES ft 783 del 12-11-2024.pdf</t>
  </si>
  <si>
    <t>Torre Boldone, Via Kennedy</t>
  </si>
  <si>
    <t>RESIDUO FT 483</t>
  </si>
  <si>
    <t xml:space="preserve">RESIDUO AL 7/11/2025 _ VIA KENNEDY </t>
  </si>
  <si>
    <t xml:space="preserve">DA PAGARE </t>
  </si>
  <si>
    <t>519</t>
  </si>
  <si>
    <t>C:\Users\Ufficio\Desktop\Amministrazione\Acquisti\2024\EV\Fatture\EV - ARTES ft 519 del 30-11-2024.pdf</t>
  </si>
  <si>
    <t>277</t>
  </si>
  <si>
    <t>..\..\Acquisti\2025\EV\FATTURE\EV - ARTES SRL ft 277 del 09-06-2025.pdf</t>
  </si>
  <si>
    <t>Trezzano Rosa, Via Marangoni</t>
  </si>
  <si>
    <t>180+39.6</t>
  </si>
  <si>
    <t>Bcc+Bpm</t>
  </si>
  <si>
    <t>308</t>
  </si>
  <si>
    <t>..\..\Acquisti\2025\EV\FATTURE\EV - ARTES SRL ft 308 del 23-06-2025.pdf</t>
  </si>
  <si>
    <t>??????</t>
  </si>
  <si>
    <t>assolari domenico e c. snc</t>
  </si>
  <si>
    <t>72</t>
  </si>
  <si>
    <t>..\..\Acquisti\2025\EV\FATTURE\EV - ASSOLARI DOMENICO ft 72 del 31-01-2025.pdf</t>
  </si>
  <si>
    <t>Bg, Torre Boldone Gaito e Kennedy</t>
  </si>
  <si>
    <t>Assegno</t>
  </si>
  <si>
    <t>assegno BPM _ NR 0210440588-07</t>
  </si>
  <si>
    <t>2223</t>
  </si>
  <si>
    <t>C:\Users\Ufficio\Desktop\Amministrazione\Acquisti\2024\EV\Fatture\EV - ASSOLARI DOMENICO ft 2223 del 24-12-2024.pdf</t>
  </si>
  <si>
    <t>scanzo, torre boldone</t>
  </si>
  <si>
    <t>Riba</t>
  </si>
  <si>
    <t>BPM</t>
  </si>
  <si>
    <t>2358</t>
  </si>
  <si>
    <t>C:\Users\Ufficio\Desktop\Amministrazione\Acquisti\2024\EV\Fatture\EV - ASSOLARI DOMENICO ft 2358 del 31-12-2024.pdf</t>
  </si>
  <si>
    <t>Alzano</t>
  </si>
  <si>
    <t>259</t>
  </si>
  <si>
    <t>..\..\Acquisti\2025\EV\FATTURE\EV - ASSOLARI DOMENICO ft 259 del 28-02-2025.pdf</t>
  </si>
  <si>
    <t>Torre Boldone Via Kennedye via Gaito - Bergamo</t>
  </si>
  <si>
    <t>447</t>
  </si>
  <si>
    <t>..\..\Acquisti\2025\EV\FATTURE\EV - ASSOLARI DOMENICO ft 447 del 31-03-2025.pdf</t>
  </si>
  <si>
    <t>bergamo/gaito/kennedy</t>
  </si>
  <si>
    <t>ASSEGNO BCC_  NR 0013800860-08</t>
  </si>
  <si>
    <t>635</t>
  </si>
  <si>
    <t>..\..\Acquisti\2025\EV\FATTURE\EV - ASSOLARI DOMENICO ft 635 del 30-04-2025.pdf</t>
  </si>
  <si>
    <t xml:space="preserve">VIA KENNEDY </t>
  </si>
  <si>
    <t>RIBA</t>
  </si>
  <si>
    <t>riba addebitata che compensa con nota di credito DI 543,22_BCC 601460</t>
  </si>
  <si>
    <t>Nota di credito 752</t>
  </si>
  <si>
    <t>..\..\Acquisti\2025\EV\FATTURE\EV - ASSOLARI DOMENICO nc 752 del 30-04-2025.pdf</t>
  </si>
  <si>
    <t>COMPENSATA CON FT 635 IL 10 /07/2025</t>
  </si>
  <si>
    <t>827</t>
  </si>
  <si>
    <t>..\..\Acquisti\2025\EV\FATTURE\EV - ASSOLARI DOMENICO ft 827 del 31-05-2025.pdf</t>
  </si>
  <si>
    <t xml:space="preserve">gaito/ kennedy </t>
  </si>
  <si>
    <t>assegno BCC_  NR 0013801739_03</t>
  </si>
  <si>
    <t>1022</t>
  </si>
  <si>
    <t>..\..\Acquisti\2025\EV\FATTURE\EV - ASSOLARI DOMENICO ft 1022 del 30-06-2025.pdf</t>
  </si>
  <si>
    <t>1417</t>
  </si>
  <si>
    <t>..\..\Acquisti\2025\EV\FATTURE\EV - ASSOLARI DOMENICO ft 1417 del 31-08-2025.pdf</t>
  </si>
  <si>
    <t>KENNEDY</t>
  </si>
  <si>
    <t>1215</t>
  </si>
  <si>
    <t>..\..\Acquisti\2025\EV\FATTURE\EV _ ASSOLARI DOMENICO ft 1215 del 31-07-2025.pdf</t>
  </si>
  <si>
    <t>KENNEDI/BERGAMO/ALZANO</t>
  </si>
  <si>
    <t xml:space="preserve">ASSEGNO </t>
  </si>
  <si>
    <t>ASSEGNO NUMERO 0013803084-09_ BCC 601460</t>
  </si>
  <si>
    <t>1606</t>
  </si>
  <si>
    <t>..\..\Acquisti\2025\EV\FATTURE\EV - ASSOLARI DOMENICO ft 1606 del 30-09-2025.pdf</t>
  </si>
  <si>
    <t>autostrade per l'italia spa</t>
  </si>
  <si>
    <t>565668D</t>
  </si>
  <si>
    <t>..\..\Acquisti\2025\EV\FATTURE\EV - AUTOSTRADE PER L'ITALIA SPA ft 565668 del 30-01-2025.pdf</t>
  </si>
  <si>
    <t>Pedaggi autostradali</t>
  </si>
  <si>
    <t>Sepa Direct</t>
  </si>
  <si>
    <t>banca popolare di sondrio 2384x38</t>
  </si>
  <si>
    <t>1278316D</t>
  </si>
  <si>
    <t>..\..\Acquisti\2025\EV\FATTURE\EV - AUTOSTRADE PER L'ITALIA SPA ft 1278316 del 28-02-2025.pdf</t>
  </si>
  <si>
    <t>Sepa direct</t>
  </si>
  <si>
    <t>30/02/2025</t>
  </si>
  <si>
    <t>1789130D</t>
  </si>
  <si>
    <t>..\..\Acquisti\2025\EV\FATTURE\EV - AUTOSTRADE PER L'ITALIA SPA ft 1789130 del 30-03-2025.pdf</t>
  </si>
  <si>
    <t>pedaggi autostradali</t>
  </si>
  <si>
    <t>2880628D</t>
  </si>
  <si>
    <t>..\..\Acquisti\2025\EV\FATTURE\EV - AUTOSTRADE PER L'ITALIA SPA ft 2880628 del 30-04-2025.pdf</t>
  </si>
  <si>
    <t>3436352D</t>
  </si>
  <si>
    <t>..\..\Acquisti\2025\EV\FATTURE\EV - AUTOSTRADE PER L'ITALIA SPA ft 3436352 del 30-05-2025.pdf</t>
  </si>
  <si>
    <t>4585906</t>
  </si>
  <si>
    <t>..\..\Acquisti\2025\EV\FATTURE\EV - AUTOSTRADE PER L'ITALIA SPA ft 4585906 del 30-06-2025.pdf</t>
  </si>
  <si>
    <t>4857452D</t>
  </si>
  <si>
    <t>..\..\Acquisti\2025\EV\FATTURE\EV - AUTOSTRADE PER L'ITALIA ft 4857452D del 30-07-2025.pdf</t>
  </si>
  <si>
    <t>5897417D</t>
  </si>
  <si>
    <t>..\..\Acquisti\2025\EV\FATTURE\EV - AUTOSTRADE PER L'ITALIA ft 5897417D del 30-08-2025.pdf</t>
  </si>
  <si>
    <t>6660810D</t>
  </si>
  <si>
    <t>..\..\Acquisti\2025\EV\FATTURE\EV - AUTOSTRADE PER L'ITALIA ft 6660810D del 30-09-2025.pdf</t>
  </si>
  <si>
    <t>8014037D</t>
  </si>
  <si>
    <t>8664058D</t>
  </si>
  <si>
    <t>autostrada pedemontane</t>
  </si>
  <si>
    <t>avv. 100073157669</t>
  </si>
  <si>
    <t>sollecito nr 10073157669</t>
  </si>
  <si>
    <t>cbill</t>
  </si>
  <si>
    <t>avvocato alberto ferrari</t>
  </si>
  <si>
    <t>Proforma257</t>
  </si>
  <si>
    <t>avvocato antonio giannetta</t>
  </si>
  <si>
    <t>..\..\Acquisti\2025\EV\FATTURE\EV - GIANNETTA ANTONIO ft 153 del 24-02-2025.pdf</t>
  </si>
  <si>
    <t>atto notarile</t>
  </si>
  <si>
    <t>baccino marco</t>
  </si>
  <si>
    <t>16</t>
  </si>
  <si>
    <t>EV vs Colombini</t>
  </si>
  <si>
    <t>RIT. ACCONTO</t>
  </si>
  <si>
    <t>ballan spa</t>
  </si>
  <si>
    <t>273</t>
  </si>
  <si>
    <t>31/02/2025</t>
  </si>
  <si>
    <t>..\..\Acquisti\2025\EV\FATTURE\EV - BALLAN ft 273 del 17-01-2025.pdf</t>
  </si>
  <si>
    <t>Bergamo Via Ghislandi</t>
  </si>
  <si>
    <t>ASSEGNO BCC 0014283148-09            ASSEGNO BPM 0210440585-04</t>
  </si>
  <si>
    <t>ASSEGNO BCC 0014283149-10</t>
  </si>
  <si>
    <t>banco bpm</t>
  </si>
  <si>
    <t>BBVFLX00009365</t>
  </si>
  <si>
    <t>..\..\Acquisti\2025\EV\FATTURE\EV - BANCO BPM ft 9365 del 08-01-2025.pdf</t>
  </si>
  <si>
    <t xml:space="preserve">canone mensile </t>
  </si>
  <si>
    <t>RID</t>
  </si>
  <si>
    <t>BPM 1980</t>
  </si>
  <si>
    <t>MANCA FT NEL FALDONE</t>
  </si>
  <si>
    <t>BPM 1981</t>
  </si>
  <si>
    <t>BPM 1982</t>
  </si>
  <si>
    <t>BBVFLX00159827</t>
  </si>
  <si>
    <t>BPM 1983</t>
  </si>
  <si>
    <t>BBVFLX00309108</t>
  </si>
  <si>
    <t>..\..\Acquisti\2025\EV\FATTURE\EV - BANCA BPM ft 309108 del 07-07-2025.pdf</t>
  </si>
  <si>
    <t>BPM 1984</t>
  </si>
  <si>
    <t>BPM 1985</t>
  </si>
  <si>
    <t>BBVFLX00457699</t>
  </si>
  <si>
    <t>..\..\Acquisti\2025\EV\FATTURE\EV - BANCO BPM ft 457699 del 07-10-2025.pdf</t>
  </si>
  <si>
    <t>BPM 1986</t>
  </si>
  <si>
    <t>barazzoni spa</t>
  </si>
  <si>
    <t>N05F/34</t>
  </si>
  <si>
    <t>..\..\Acquisti\2025\EV\FATTURE\EV - BARAZZONI ft 34 del 04-08-2025.pdf</t>
  </si>
  <si>
    <t>varie Ilaria</t>
  </si>
  <si>
    <t>carta di pagamento</t>
  </si>
  <si>
    <t>barcella elettroforniture spa</t>
  </si>
  <si>
    <t>2523489</t>
  </si>
  <si>
    <t xml:space="preserve">varie </t>
  </si>
  <si>
    <t xml:space="preserve">carta </t>
  </si>
  <si>
    <t>bcc di milano</t>
  </si>
  <si>
    <t>84530256900040</t>
  </si>
  <si>
    <t>..\..\Acquisti\2025\EV\FATTURE\EV - BCC DI MILANO ft 0040 del 31-01-2025.pdf</t>
  </si>
  <si>
    <t>SDD</t>
  </si>
  <si>
    <t>84530256900402</t>
  </si>
  <si>
    <t>..\..\Acquisti\2025\EV\FATTURE\EV - BCC DI MILANO ft 6900402 del 28-02-2025.pdf</t>
  </si>
  <si>
    <t>84530256901130</t>
  </si>
  <si>
    <t>..\..\Acquisti\2025\EV\FATTURE\EV - BCC DI MILANO ft 6901130 del 30-04-2025.pdf</t>
  </si>
  <si>
    <t>84530256901486</t>
  </si>
  <si>
    <t>..\..\Acquisti\2025\EV\FATTURE\EV - BCC DI MILANO ft 6901486 del 30-05-2025.pdf</t>
  </si>
  <si>
    <t>84530256901844</t>
  </si>
  <si>
    <t>..\..\Acquisti\2025\EV\FATTURE\EV - BCC DI MILANO ft 1844 del 30-06-2025.pdf</t>
  </si>
  <si>
    <t>84530256902218</t>
  </si>
  <si>
    <t>..\..\Acquisti\2025\EV\FATTURE\EV - BCC DI MILANO ft 56902218 del 31-07-2025.pdf</t>
  </si>
  <si>
    <t>84530256902568</t>
  </si>
  <si>
    <t>..\..\Acquisti\2025\EV\FATTURE\EV - BCC DI MILANO ft 2568 del 29-08-2025.pdf</t>
  </si>
  <si>
    <t>84530256902922</t>
  </si>
  <si>
    <t>..\..\Acquisti\2025\EV\FATTURE\EV - BCC DI MILANO ft 902922 del 30-09-2025.pdf</t>
  </si>
  <si>
    <t>84530256903276</t>
  </si>
  <si>
    <t>84530256903626</t>
  </si>
  <si>
    <t>bellini e associati</t>
  </si>
  <si>
    <t>nota provv. 173/2023</t>
  </si>
  <si>
    <t>C:\Users\Ufficio\Desktop\Amministrazione\Acquisti\2023\EV\Proforme\Bellini 173-edilvertova-prog-via ghislandiBG-L10.pdf</t>
  </si>
  <si>
    <t>progetto impianti meccanici 8 unità BG, via Ghislandi</t>
  </si>
  <si>
    <t>223/25</t>
  </si>
  <si>
    <t xml:space="preserve">lanfranchi </t>
  </si>
  <si>
    <t>POP SO 2384X38</t>
  </si>
  <si>
    <t>224/25</t>
  </si>
  <si>
    <t xml:space="preserve">ghislandi </t>
  </si>
  <si>
    <t>230/25</t>
  </si>
  <si>
    <t>PROGETTO IMP.MECCANICI _ VIA GHISLANDI BG</t>
  </si>
  <si>
    <t>belloli attilio</t>
  </si>
  <si>
    <t>doc. 4139</t>
  </si>
  <si>
    <t>EV/Checchin</t>
  </si>
  <si>
    <t>studio legale belloli e associati</t>
  </si>
  <si>
    <t>doc. 4162</t>
  </si>
  <si>
    <t>..\..\..\Acquisti\2023\EV\Proforme\BELLOLI 4162 nota 27.10.23 - Colombini_Gagliolo.pdf</t>
  </si>
  <si>
    <t>EV/Colombini-Gagliolo</t>
  </si>
  <si>
    <t>doc. 4173</t>
  </si>
  <si>
    <t>..\..\..\Acquisti\2023\EV\Proforme\BELLOLI nota 4173 06.11.23-dm.pdf</t>
  </si>
  <si>
    <t>doc. 4185</t>
  </si>
  <si>
    <t>..\..\..\Acquisti\2023\EV\Proforme\BELLOLI doc 4185 del 20-11-2023-dm.pdf</t>
  </si>
  <si>
    <t>doc. 4195</t>
  </si>
  <si>
    <t>..\..\..\Acquisti\2023\EV\Proforme\Belloli doc 4195 del 30-11-2023 -- Colombini PIGN QUOTE nota pro forma.pdf</t>
  </si>
  <si>
    <t>372</t>
  </si>
  <si>
    <t>139</t>
  </si>
  <si>
    <t>..\..\Acquisti\2025\EV\FATTURE\EV - BELLOLI ATTILIO ft 139 del 24-03-2025.pdf</t>
  </si>
  <si>
    <t>EV/Girasole Immobiliare srl</t>
  </si>
  <si>
    <t>bergamelli srl</t>
  </si>
  <si>
    <t>N001397</t>
  </si>
  <si>
    <t>C:\Users\Ufficio\Desktop\Amministrazione\Acquisti\2024\EV\Fatture\EV - BERGAMELLI ft 1397 del 30-06-2024.pdf</t>
  </si>
  <si>
    <t>TB, Via Kennedy</t>
  </si>
  <si>
    <t>N001616</t>
  </si>
  <si>
    <t>C:\Users\Ufficio\Desktop\Amministrazione\Acquisti\2024\EV\Fatture\EV - BERGAMELLI ft -1616 del 31-07-2024.pdf</t>
  </si>
  <si>
    <t>TB, Via Kennedy - BG Via Ghislandi</t>
  </si>
  <si>
    <t>COME è STATA PAGATA???</t>
  </si>
  <si>
    <t>bialetti store srl</t>
  </si>
  <si>
    <t>61/063</t>
  </si>
  <si>
    <t>..\..\Acquisti\2025\EV\FATTURE\EV - BIALETTI ft 63 del 10-05-2025.pdf</t>
  </si>
  <si>
    <t>ufficio</t>
  </si>
  <si>
    <t>bongiorno antinfortunistica srl</t>
  </si>
  <si>
    <t>532</t>
  </si>
  <si>
    <t>..\..\Acquisti\2025\EV\FATTURE\EV - BONGIORNO ANTINFORTUNISTICA ft 532 del 30-05-2025.pdf</t>
  </si>
  <si>
    <t>abbigliamento edilcassa</t>
  </si>
  <si>
    <t>bordogni fabio</t>
  </si>
  <si>
    <t>200/2025</t>
  </si>
  <si>
    <t>..\..\Acquisti\2025\EV\FATTURE\EV - BORDOGNI FABIO ft 200 del 17-03-2025.pdf</t>
  </si>
  <si>
    <t>Riparazione ago vibrante</t>
  </si>
  <si>
    <t>BPS 84x38</t>
  </si>
  <si>
    <t>375/2025</t>
  </si>
  <si>
    <t>..\..\Acquisti\2025\EV\FATTURE\EV - BORDOGNI FABIO ft 375 del 30-04-2025.pdf</t>
  </si>
  <si>
    <t>Riparazione betoniera</t>
  </si>
  <si>
    <t>pagata dove????</t>
  </si>
  <si>
    <t>506/2025</t>
  </si>
  <si>
    <t>..\..\Acquisti\2025\EV\FATTURE\EV - BORDOGNI FABIO ft 506 del 16-06-2025.pdf</t>
  </si>
  <si>
    <t>Riparazione motosega</t>
  </si>
  <si>
    <t>BPER</t>
  </si>
  <si>
    <t>601/25</t>
  </si>
  <si>
    <t>..\..\Acquisti\2025\EV\FATTURE\EV - BORDOGNi FABIO ft 601 del 03-07-2025.pdf</t>
  </si>
  <si>
    <t xml:space="preserve">Riparazione decespugliatore husqvarna e kawasaki, riparazione miscelatore </t>
  </si>
  <si>
    <t>670/25</t>
  </si>
  <si>
    <t>..\..\Acquisti\2025\EV\FATTURE\EV - BORDOGNI FABIO ft 670 del 24-07-2025.pdf</t>
  </si>
  <si>
    <t xml:space="preserve">Riparazione smerigliatrice makita </t>
  </si>
  <si>
    <t>764/2025</t>
  </si>
  <si>
    <t>..\..\Acquisti\2025\EV\FATTURE\EV - BORDOGNI FABIO ft 764 del 28-08-2025.pdf</t>
  </si>
  <si>
    <t>Riparazione martello dewalt</t>
  </si>
  <si>
    <t>DOPPIO PAGAMNETO FT 506</t>
  </si>
  <si>
    <t>pagata doppia</t>
  </si>
  <si>
    <t>A CREDITO</t>
  </si>
  <si>
    <t>borgia gabriele</t>
  </si>
  <si>
    <t>19</t>
  </si>
  <si>
    <t>..\..\Acquisti\2025\EV\FATTURE\EV - BORGIA GABRIELE ft 19 del 30-07-2025.pdf</t>
  </si>
  <si>
    <t>Bergamo, Via Ghislandi</t>
  </si>
  <si>
    <t>BPER 80875</t>
  </si>
  <si>
    <t>28</t>
  </si>
  <si>
    <t xml:space="preserve">POP SONDRIO </t>
  </si>
  <si>
    <t>ok</t>
  </si>
  <si>
    <t>29</t>
  </si>
  <si>
    <t>bosio commerciale srl</t>
  </si>
  <si>
    <t>FT/DIF/VEN/0000159</t>
  </si>
  <si>
    <t>..\..\Acquisti\2025\EV\FATTURE\EV - BOSIO COMMERCIALE ft 159 del 15-01-2025.pdf</t>
  </si>
  <si>
    <t>Attico Bergamo</t>
  </si>
  <si>
    <t>FT/DIF/VEN/0000697</t>
  </si>
  <si>
    <t>RESIDUO FT 697 AL 17/03</t>
  </si>
  <si>
    <t>FT/DIF/VEN/0002606</t>
  </si>
  <si>
    <t>residuo al 15/10</t>
  </si>
  <si>
    <t xml:space="preserve">pop so </t>
  </si>
  <si>
    <t>residuo al 30/10</t>
  </si>
  <si>
    <t>residuo al 6/11/2025 detrarre nota credito 4249</t>
  </si>
  <si>
    <t>NC/STD/VEN/0004249</t>
  </si>
  <si>
    <t>bper</t>
  </si>
  <si>
    <t>05387-4161720435-76</t>
  </si>
  <si>
    <t>sdd</t>
  </si>
  <si>
    <t>manca contabile</t>
  </si>
  <si>
    <t>bp33</t>
  </si>
  <si>
    <t>2</t>
  </si>
  <si>
    <t>..\..\Acquisti\2025\EV\FATTURE\EV - BP33 ft 2 del 25-01-2025.pdf</t>
  </si>
  <si>
    <t>BG, Via Ghislandi</t>
  </si>
  <si>
    <t>1</t>
  </si>
  <si>
    <t>..\..\Acquisti\2025\EV\FATTURE\EV - BP33 ft 1 del 23-01-2025.pdf</t>
  </si>
  <si>
    <t>3</t>
  </si>
  <si>
    <t>..\..\Acquisti\2025\EV\FATTURE\EV - BP33 ft 3 del 30-01-2025.pdf</t>
  </si>
  <si>
    <t>Bg, Via Ghislandi</t>
  </si>
  <si>
    <t>18</t>
  </si>
  <si>
    <t>..\..\Acquisti\2025\EV\FATTURE\EV - BP33 ft 18 del 21-05-2025.pdf</t>
  </si>
  <si>
    <t>BCC</t>
  </si>
  <si>
    <t>bricoman italia s.r.l. società a socio unico</t>
  </si>
  <si>
    <t>113090000966</t>
  </si>
  <si>
    <t>..\..\Acquisti\2025\EV\FATTURE\EV - BRICOMAN ITALIA SRL ft 966 del 10-04-2025.pdf</t>
  </si>
  <si>
    <t>varie</t>
  </si>
  <si>
    <t>Carta di pagamento</t>
  </si>
  <si>
    <t>buttinoni giuseppe &amp; figli snc</t>
  </si>
  <si>
    <t>E00161</t>
  </si>
  <si>
    <t>..\..\Acquisti\2025\EV\FATTURE\EV - BUTTINONI GIUSEPPE ft 161 del 31-01-2025.pdf</t>
  </si>
  <si>
    <t xml:space="preserve">bonifico </t>
  </si>
  <si>
    <t>E00575</t>
  </si>
  <si>
    <t>..\..\Acquisti\2025\EV\FATTURE\EV - BUTTINONI GIUSEPPE ft 575 del 28-02-2025.pdf</t>
  </si>
  <si>
    <t>I00403</t>
  </si>
  <si>
    <t>..\..\Acquisti\2025\EV\FATTURE\EV - BUTTINONI GIUSEPPE ft 403 del 24-04-2025.pdf</t>
  </si>
  <si>
    <t>I00581</t>
  </si>
  <si>
    <t>..\..\Acquisti\2025\EV\FATTURE\EV - BUTTINONI GIUSEPPE ft 581 del 20-06-2025.pdf</t>
  </si>
  <si>
    <t>carta</t>
  </si>
  <si>
    <t>I00588</t>
  </si>
  <si>
    <t>..\..\Acquisti\2025\EV\FATTURE\EV - BUTTINONI GIUSEPPE ft 588 del 23-06-2025.pdf</t>
  </si>
  <si>
    <t>VARIE</t>
  </si>
  <si>
    <t>doppia fattura / vedi ft 575 pag insieme</t>
  </si>
  <si>
    <t>E02345</t>
  </si>
  <si>
    <t>..\..\Acquisti\2025\EV\FATTURE\EV- BUTTINONI ft 2345 del 30-06-2025.pdf</t>
  </si>
  <si>
    <t>E02779</t>
  </si>
  <si>
    <t>..\..\Acquisti\2025\EV\FATTURE\EV - BUTTINONI GIUSEPPE ft 2779 del 31-07-2025.pdf</t>
  </si>
  <si>
    <t>buttinoni ferramenta snc</t>
  </si>
  <si>
    <t>i01124</t>
  </si>
  <si>
    <t>E04538</t>
  </si>
  <si>
    <t xml:space="preserve">VARIE </t>
  </si>
  <si>
    <t xml:space="preserve">RIBA </t>
  </si>
  <si>
    <t>camera di commercio</t>
  </si>
  <si>
    <t>CBILL_ 597804</t>
  </si>
  <si>
    <t>BOLLI CAMERA DI COMMERCIO MILANO-MONZA-BRIANZA-LODI</t>
  </si>
  <si>
    <t>CBILL_597392</t>
  </si>
  <si>
    <t>DIRITTI CAMERA DI COMMERCIO MILANO-MONZA-BRIANZA-LODI</t>
  </si>
  <si>
    <t>CBILL_ 6763459</t>
  </si>
  <si>
    <t>CBILL_ 6763462</t>
  </si>
  <si>
    <t>CBILL_6770872</t>
  </si>
  <si>
    <t>12/12/205</t>
  </si>
  <si>
    <t>CBILL_6770873</t>
  </si>
  <si>
    <t>entrare in BPM</t>
  </si>
  <si>
    <t>c.m.m. carpenteria metallica medici</t>
  </si>
  <si>
    <t>5/E</t>
  </si>
  <si>
    <t>..\..\Acquisti\2025\EV\FATTURE\EV- C.M.M. CARPENTERIA METALLICA ft 5E del 16-01-2025.pdf</t>
  </si>
  <si>
    <t>bonfico</t>
  </si>
  <si>
    <t>10/E</t>
  </si>
  <si>
    <t>..\..\Acquisti\2025\EV\FATTURE\EV- CMM CARPENTERIA METALLICA ft 10 del 12-02-2025.pdf</t>
  </si>
  <si>
    <t>19/E</t>
  </si>
  <si>
    <t>..\..\Acquisti\2025\EV\FATTURE\EV - C.M.M. ft 19 del 28-02-2025.pdf</t>
  </si>
  <si>
    <t>bcc 601460</t>
  </si>
  <si>
    <t>camplone mauro massimo</t>
  </si>
  <si>
    <t>45</t>
  </si>
  <si>
    <t>..\..\Acquisti\2025\EV\FATTURE\EV - CAMPLONE MAURO MASSIMO ft 45 del 18-03-2025.pdf</t>
  </si>
  <si>
    <t>CAVLERA</t>
  </si>
  <si>
    <t xml:space="preserve">Riba </t>
  </si>
  <si>
    <t>casali nicola</t>
  </si>
  <si>
    <t>10</t>
  </si>
  <si>
    <t>..\..\Acquisti\2025\EV\FATTURE\EV - CASALI NICOLA ft 10 del 06-02-2025.pdf</t>
  </si>
  <si>
    <t>caseificio fratelli paleni</t>
  </si>
  <si>
    <t>ven0101001202</t>
  </si>
  <si>
    <t xml:space="preserve">cesti formaggi </t>
  </si>
  <si>
    <t>cavallini dal borgo &amp; partners</t>
  </si>
  <si>
    <t>1002</t>
  </si>
  <si>
    <t>..\..\Acquisti\2025\EV\FATTURE\EV - CAVALLINI &amp; PARTNERS ft 1002 del 18-09-2025.pdf</t>
  </si>
  <si>
    <t>Apposizione visto di conformità realizzazione parcheggi in Via Ghislandi</t>
  </si>
  <si>
    <t>cenpi scrl</t>
  </si>
  <si>
    <t>13532</t>
  </si>
  <si>
    <t>..\..\Acquisti\2025\EV\FATTURE\EV - CENPI SCRL ft 13532 del 27-08-2025.pdf</t>
  </si>
  <si>
    <t>Verifica periodica gru</t>
  </si>
  <si>
    <t>center casa</t>
  </si>
  <si>
    <t>5/TE</t>
  </si>
  <si>
    <t>..\..\Acquisti\2025\EV\FATTURE\EV - CENTER CASA F.LLI DE CARIA ft 5 del 11-02-2025.pdf</t>
  </si>
  <si>
    <t xml:space="preserve">VASO CUORE BIANCO </t>
  </si>
  <si>
    <t>centro edilizia</t>
  </si>
  <si>
    <t>001602/A25</t>
  </si>
  <si>
    <t>..\..\Acquisti\2025\EV\FATTURE\EV - CENTRO EDILIZIA ft 1602 del 04-08-2025.pdf</t>
  </si>
  <si>
    <t>provini cls</t>
  </si>
  <si>
    <t>CARTA</t>
  </si>
  <si>
    <t>001753/A25</t>
  </si>
  <si>
    <t>..\..\Acquisti\2025\EV\FATTURE\EV - CENTRO EDILIZIA ft 1753 del 03-09-2025.pdf</t>
  </si>
  <si>
    <t xml:space="preserve">CASSA </t>
  </si>
  <si>
    <t>002199/A25</t>
  </si>
  <si>
    <t xml:space="preserve">PROVINI PER CALCESTRUZZO BOX BORGIA </t>
  </si>
  <si>
    <t>CASA</t>
  </si>
  <si>
    <t>chiurlo srl</t>
  </si>
  <si>
    <t>19018303</t>
  </si>
  <si>
    <t>..\..\Acquisti\2025\EV\FATTURE\EV - CHIURLO SRL ft 19018303 del 28-01-2025.pdf</t>
  </si>
  <si>
    <t>20250019038971</t>
  </si>
  <si>
    <t>..\..\Acquisti\2025\EV\FATTURE\EV - CHIURLO SRL ft 19038971 del 26-02-2025.pdf</t>
  </si>
  <si>
    <t>20250019056741</t>
  </si>
  <si>
    <t>..\..\Acquisti\2025\EV\FATTURE\EV - CHIURLO SRL ft 20250019056741 del 25-03-2025.pdf</t>
  </si>
  <si>
    <t>Torre Boldone, via Kennedy</t>
  </si>
  <si>
    <t>20250019054075</t>
  </si>
  <si>
    <t>..\..\Acquisti\2025\EV\FATTURE\EV - CHIURLO SRL ft 20250019054075 del 25-03-2025.pdf</t>
  </si>
  <si>
    <t>20250019081946</t>
  </si>
  <si>
    <t>..\..\Acquisti\2025\EV\FATTURE\EV- CHIURLO SRL ft 19081946 del 28-04-2025.pdf</t>
  </si>
  <si>
    <t>20250019087393</t>
  </si>
  <si>
    <t>..\..\Acquisti\2025\EV\FATTURE\EV - CHIURLO SRL ft 19087393 del 27-05-2025.pdf</t>
  </si>
  <si>
    <t>nc 20250019083273</t>
  </si>
  <si>
    <t>..\..\Acquisti\2025\EV\FATTURE\EV - CHIURLO SRL nc 19083273 del 27-05-2025.pdf</t>
  </si>
  <si>
    <t>20250019108792</t>
  </si>
  <si>
    <t>..\..\Acquisti\2025\EV\FATTURE\EV - CHIURLO SRL ft 19108792 del 25-06-2025.pdf</t>
  </si>
  <si>
    <t>20250019125088</t>
  </si>
  <si>
    <t>..\..\Acquisti\2025\EV\FATTURE\EV - CHIURLO SRL ft 19125088 del 26-07-2025.pdf</t>
  </si>
  <si>
    <t>20250019145400</t>
  </si>
  <si>
    <t>..\..\Acquisti\2025\EV\FATTURE\EV - CHIURLO SRL ft 19145400 del 26-08-2025.pdf</t>
  </si>
  <si>
    <t>consit mangili sibella srl</t>
  </si>
  <si>
    <t>346</t>
  </si>
  <si>
    <t xml:space="preserve">relazione ventennale notarile / Finale Ligure </t>
  </si>
  <si>
    <t>convento di neveri</t>
  </si>
  <si>
    <t>84</t>
  </si>
  <si>
    <t>..\..\Acquisti\2025\EV\FATTURE\EV _ CONVENTO DEI NEVERI ft 84 del 01-08-2025.pdf</t>
  </si>
  <si>
    <t>pranzo</t>
  </si>
  <si>
    <t>comune di alzano</t>
  </si>
  <si>
    <t>vr 4980R/25</t>
  </si>
  <si>
    <t>VERBALE NR 4980/R_ FIAT DUCATO GE350GF_ guidatore : Rinaldi G.</t>
  </si>
  <si>
    <t>comune di brescia</t>
  </si>
  <si>
    <t>VR 520856/V/2025</t>
  </si>
  <si>
    <t>VERBALE NR 520856/V/2025  _ FIAT DOBLO' GD763GG</t>
  </si>
  <si>
    <t xml:space="preserve">pagamento inferiore alla fattura </t>
  </si>
  <si>
    <t>cortinovis gianluigi</t>
  </si>
  <si>
    <t>..\..\Acquisti\2025\EV\FATTURE\EV - CORTINOVIS GIANLUIGI ft 29 del 22-07-2025.pdf</t>
  </si>
  <si>
    <t xml:space="preserve">parcella per ricorso </t>
  </si>
  <si>
    <t>46</t>
  </si>
  <si>
    <t>..\..\Acquisti\2025\EV\FATTURE\EV - STUDIO TECNICO ARCH CORTINOVIS ft 46 del 09-10-2025.pdf</t>
  </si>
  <si>
    <t>condominio Via Ghislandi</t>
  </si>
  <si>
    <t>..\..\Acquisti\2025\EV\FATTURE\EV - STUDIO TECNICO ARCH CORTINOVIS ft 45 del 09-10-2025.pdf</t>
  </si>
  <si>
    <t>condominio redidenza vicolo 17</t>
  </si>
  <si>
    <t>55</t>
  </si>
  <si>
    <t xml:space="preserve">condominio Via Ghislandi _ DOVEVA ESSERE COMPRESA NELLE FT PRECEDENTI </t>
  </si>
  <si>
    <t>pagato dove????</t>
  </si>
  <si>
    <t>cornolti posatori snc dei f.lli cornolti</t>
  </si>
  <si>
    <t>..\..\Acquisti\2025\EV\FATTURE\EV - CORNOLTI POSATORI SNC ft 3 del 28-01-2025.pdf</t>
  </si>
  <si>
    <t>costruzioni edili almici</t>
  </si>
  <si>
    <t>7</t>
  </si>
  <si>
    <t>..\..\Acquisti\2025\EV\FATTURE\EV - COSTRUZIONI EDILI ALMICI ft 7 del 17-02-2025.pdf</t>
  </si>
  <si>
    <t>Saldo per Via Ghislandi Bergamo</t>
  </si>
  <si>
    <t>43</t>
  </si>
  <si>
    <t>..\..\Acquisti\2025\EV\FATTURE\EV - COSTRUZIONI EDILI ALMICI ft 43 del 21-05-2025.pdf</t>
  </si>
  <si>
    <t>Scanzorosciate, Via Trento</t>
  </si>
  <si>
    <t>500acconto</t>
  </si>
  <si>
    <t>500acconto+4000fatto da beppe + 4000 fatti 10/10/2025 da bcc</t>
  </si>
  <si>
    <t>cri.mer srl</t>
  </si>
  <si>
    <t>111</t>
  </si>
  <si>
    <t>..\..\Acquisti\2025\EV\FATTURE\EV - CRI.MER ft 111 del 28-04-2025.pdf</t>
  </si>
  <si>
    <t>Scanzo, via Trento, 23</t>
  </si>
  <si>
    <t>riba</t>
  </si>
  <si>
    <t>contabile ? Pag dove?</t>
  </si>
  <si>
    <t>pagata quando????da dove???</t>
  </si>
  <si>
    <t>cucchi peter</t>
  </si>
  <si>
    <t>11</t>
  </si>
  <si>
    <t>..\..\Acquisti\2025\EV\FATTURE\EV - CUCCHI PETER ft 11 del 10-02-2025.pdf</t>
  </si>
  <si>
    <t>errata denominazione vedi nc 45</t>
  </si>
  <si>
    <t>..\..\Acquisti\2025\EV\FATTURE\EV - CUCCHI PETER ft 43 del 28-08-2025.pdf</t>
  </si>
  <si>
    <t>Acconto progettazione strutturale Ranica</t>
  </si>
  <si>
    <t>da agganciare a ft 43</t>
  </si>
  <si>
    <t>nc 45</t>
  </si>
  <si>
    <t>..\..\Acquisti\2025\EV\FATTURE\EV - CUCCHI PETER nc 45 del 10-09-2025.pdf</t>
  </si>
  <si>
    <t>Storno fattura nr 43</t>
  </si>
  <si>
    <t>culligan italy srl</t>
  </si>
  <si>
    <t>6001212656</t>
  </si>
  <si>
    <t>..\..\Acquisti\2025\EV\FATTURE\EV - CULLIGAN ITALY ft 6001212656 del 27-06-2025.pdf</t>
  </si>
  <si>
    <t>6001362155</t>
  </si>
  <si>
    <t>..\..\Acquisti\2025\EV\FATTURE\EV - CULLIGAN ITALY ft 6001362155 del 29-09-2025.pdf</t>
  </si>
  <si>
    <t>BCC 601461</t>
  </si>
  <si>
    <t>DA CONTESTARE</t>
  </si>
  <si>
    <t>6001448011</t>
  </si>
  <si>
    <t xml:space="preserve">ufficio_ dal 01,11,2025 al 30,10,2026_ DA CONTESTARE </t>
  </si>
  <si>
    <t>da leone di costa carlo</t>
  </si>
  <si>
    <t>147</t>
  </si>
  <si>
    <t>..\..\Acquisti\2025\EV\FATTURE\EV - DA LEONE DI COSTA CARLO ft 147 del 18-01-2025.pdf</t>
  </si>
  <si>
    <t>Mensa</t>
  </si>
  <si>
    <t>694</t>
  </si>
  <si>
    <t>..\..\Acquisti\2025\EV\FATTURE\EV - DA LEONE DI COSTA CARLO ft 694 del 18-03-2025.pdf</t>
  </si>
  <si>
    <t>Pasto</t>
  </si>
  <si>
    <t>770</t>
  </si>
  <si>
    <t>..\..\Acquisti\2025\EV\FATTURE\EV - DA LEONE DI COSTA CARLO ft 770 del 22-03-2025.pdf</t>
  </si>
  <si>
    <t>822</t>
  </si>
  <si>
    <t>..\..\Acquisti\2025\EV\FATTURE\EV - DA LEONE DI COSTA CARLO ft 822 del 29-03-2025.pdf</t>
  </si>
  <si>
    <t>891</t>
  </si>
  <si>
    <t>..\..\Acquisti\2025\EV\FATTURE\EV - DA LEONE DI COSTA CARLO ft 891 del 05-04-2025.pdf</t>
  </si>
  <si>
    <t>926</t>
  </si>
  <si>
    <t>..\..\Acquisti\2025\EV\FATTURE\EV - DA LEONE DI COSTA CARLO ft 926 del 10-04-2025.pdf</t>
  </si>
  <si>
    <t>936</t>
  </si>
  <si>
    <t>..\..\Acquisti\2025\EV\FATTURE\EV - DA LEONE DI COSTA CARLO ft 936 del 11-04-2025.pdf</t>
  </si>
  <si>
    <t>948</t>
  </si>
  <si>
    <t>..\..\Acquisti\2025\EV\FATTURE\EV - DA LEONE DI COSTA CARLO ft 948 del 15-04-2025.pdf</t>
  </si>
  <si>
    <t>960</t>
  </si>
  <si>
    <t>..\..\Acquisti\2025\EV\FATTURE\EV - DA LEONE DI COSTA CARLO ft 960 del 16-04-2025.pdf</t>
  </si>
  <si>
    <t>974</t>
  </si>
  <si>
    <t>..\..\Acquisti\2025\EV\FATTURE\EV - DA LEONE DI COSTA CARLO ft 974 del 17-04-2025.pdf</t>
  </si>
  <si>
    <t>987</t>
  </si>
  <si>
    <t>..\..\Acquisti\2025\EV\FATTURE\EV - DA LEONE DI COSTA CARLO ft 987 del 18-04-2025.pdf</t>
  </si>
  <si>
    <t>1105</t>
  </si>
  <si>
    <t>..\..\Acquisti\2025\EV\FATTURE\EV - DA LEONE DI COSTA CARLO ft 1105 del 07-05-2025.pdf</t>
  </si>
  <si>
    <t>1115</t>
  </si>
  <si>
    <t>..\..\Acquisti\2025\EV\FATTURE\EV - DA LEONE DI COSTA CARLO ft 1115 del 08-05-2025.pdf</t>
  </si>
  <si>
    <t>1164</t>
  </si>
  <si>
    <t>..\..\Acquisti\2025\EV\FATTURE\EV - DA LEONE DI COSTA CARLO ft 1164 del 13-05-2025.pdf</t>
  </si>
  <si>
    <t>1180</t>
  </si>
  <si>
    <t>..\..\Acquisti\2025\EV\FATTURE\EV - DA LEONE DI COSTA CARLO ft 1180 del 14-05-2025.pdf</t>
  </si>
  <si>
    <t>1365</t>
  </si>
  <si>
    <t>..\..\Acquisti\2025\EV\FATTURE\EV - DA LEONE DI COSTA CARLO ft 1365 del 31-05-2025.pdf</t>
  </si>
  <si>
    <t>1653</t>
  </si>
  <si>
    <t>..\..\Acquisti\2025\EV\FATTURE\EV - DA LEONE DI COSTA CARLO ft 1653 del 01-07-2025.pdf</t>
  </si>
  <si>
    <t>1647</t>
  </si>
  <si>
    <t>..\..\Acquisti\2025\EV\FATTURE\EV - DA LEONE DI COSTA CARLO ft 1647 del 01-07-2025.pdf</t>
  </si>
  <si>
    <t>nc 1652</t>
  </si>
  <si>
    <t>..\..\Acquisti\2025\EV\FATTURE\EV - DA LEONE DI COSTA CARLO nc 1652 del 01-07-2025.pdf</t>
  </si>
  <si>
    <t>storno fattura nr 1647</t>
  </si>
  <si>
    <t>2180</t>
  </si>
  <si>
    <t>..\..\Acquisti\2025\EV\FATTURE\EV - DA LEONE DI COSTA CARLO ft 2180 del 19-09-2025.pdf</t>
  </si>
  <si>
    <t xml:space="preserve">MANCA FATTURA E DATI </t>
  </si>
  <si>
    <t>delprino massimo</t>
  </si>
  <si>
    <t>delta srl</t>
  </si>
  <si>
    <t>17</t>
  </si>
  <si>
    <t>..\..\Acquisti\2025\EV\FATTURE\EV- DELTA SRL ft 17 del 31-01-2025.pdf</t>
  </si>
  <si>
    <t>deutschordensschwestern lana</t>
  </si>
  <si>
    <t>522000140P</t>
  </si>
  <si>
    <t>..\..\Acquisti\2025\EV\FATTURE\EV - DEUTSCHORDENSSCHWESTERN LANA ft 140 del 30-01-2025.pdf</t>
  </si>
  <si>
    <t>Soste parcheggi</t>
  </si>
  <si>
    <t>2024</t>
  </si>
  <si>
    <t>duferco energia spa</t>
  </si>
  <si>
    <t>00124FT03300705</t>
  </si>
  <si>
    <t>C:\Users\Ufficio\Desktop\Amministrazione\Acquisti\2024\EV\Fatture\EV- Duferco ft 705 del 11-12-2024.pdf</t>
  </si>
  <si>
    <t>MAV</t>
  </si>
  <si>
    <t>pag con conciliazine il 27/10/2025</t>
  </si>
  <si>
    <t>00125FT00087343</t>
  </si>
  <si>
    <t>..\..\Acquisti\2025\EV\FATTURE\EV - DUFERCO ft 87343 del 13-01-2025.pdf</t>
  </si>
  <si>
    <t>00125FT00393783</t>
  </si>
  <si>
    <t>..\..\Acquisti\2025\EV\FATTURE\EV - DUFERCO ft 00125FT00393783 del 10-02-2025.pdf</t>
  </si>
  <si>
    <t xml:space="preserve">MANCA NO DATI E FT </t>
  </si>
  <si>
    <t>ACCORDO CONCILIATIVO PRATICA 176076_  ft 705-343-783 2024/2025</t>
  </si>
  <si>
    <t>00125FT04478151</t>
  </si>
  <si>
    <t xml:space="preserve">MORA RITARDI PAGAMENTI </t>
  </si>
  <si>
    <t>ecoberg srl</t>
  </si>
  <si>
    <t>20</t>
  </si>
  <si>
    <t>..\..\Acquisti\2025\EV\FATTURE\EV - ECOBERG SRL ft 20 del 31-01-2025.pdf</t>
  </si>
  <si>
    <t>106</t>
  </si>
  <si>
    <t>..\..\Acquisti\2025\EV\FATTURE\EV - ECOBERG SRL ft 106 del 28-02-2025.pdf</t>
  </si>
  <si>
    <t>173</t>
  </si>
  <si>
    <t>287</t>
  </si>
  <si>
    <t>..\..\Acquisti\2025\EV\FATTURE\EV - ECOBERG ft 287 del 31-05-2025.pdf</t>
  </si>
  <si>
    <t>Torre Boldone, Via Gaito</t>
  </si>
  <si>
    <t>POP SO , BON FT 465 E 287</t>
  </si>
  <si>
    <t>465</t>
  </si>
  <si>
    <t>..\..\Acquisti\2025\EV\FATTURE\EV - ECOBERG ft 465 del 31-07-2025.pdf</t>
  </si>
  <si>
    <t>Torre Boldone, via Gaito</t>
  </si>
  <si>
    <t>ecotaurus srl</t>
  </si>
  <si>
    <t>7424</t>
  </si>
  <si>
    <t>C:\Users\Ufficio\Desktop\Amministrazione\Acquisti\2024\EV\Fatture\EV - ECOTAURUS ft 7424 del 12-12-2024.pdf</t>
  </si>
  <si>
    <t>Kennedy, Torre Boldone</t>
  </si>
  <si>
    <t>Bonfico</t>
  </si>
  <si>
    <t>7511</t>
  </si>
  <si>
    <t>C:\Users\Ufficio\Desktop\Amministrazione\Acquisti\2024\EV\Fatture\EV - ECOTAURUS ft 7511 del 17-12-2024.pdf</t>
  </si>
  <si>
    <t>196</t>
  </si>
  <si>
    <t>..\..\Acquisti\2025\EV\FATTURE\EV - ECOTAURUS ft 196 del 09-01-2025.pdf</t>
  </si>
  <si>
    <t>293</t>
  </si>
  <si>
    <t>..\..\Acquisti\2025\EV\FATTURE\EV - ECOTAURUS ft 293 del 14-01-2025.pdf</t>
  </si>
  <si>
    <t>810</t>
  </si>
  <si>
    <t>..\..\Acquisti\2025\EV\FATTURE\EV - ESCOTAURUS SRL  ft 810 del 06-02-2025.pdf</t>
  </si>
  <si>
    <t>905</t>
  </si>
  <si>
    <t>..\..\Acquisti\2025\EV\FATTURE\EV - ECOTAURUS ft 905 del 11-02-2025.pdf</t>
  </si>
  <si>
    <t>Bergamo,  Via ghislandi</t>
  </si>
  <si>
    <t>1426</t>
  </si>
  <si>
    <t>..\..\Acquisti\2025\EV\FATTURE\EV - ECOTAURUS ft 1426 del 06-0-2025.pdf</t>
  </si>
  <si>
    <t>2078</t>
  </si>
  <si>
    <t>..\..\Acquisti\2025\EV\FATTURE\EV - ECOTAURUS ft 2078 del 03-04-2025.pdf</t>
  </si>
  <si>
    <t>BON UNICO FT 2078-2723-3394-4108 DEL 7/11/2025 _ DA BCC 601460</t>
  </si>
  <si>
    <t>2723</t>
  </si>
  <si>
    <t>..\..\Acquisti\2025\EV\FATTURE\EV - ECOTAURUS ft 2723 del 01-05-2025.pdf</t>
  </si>
  <si>
    <t>3394</t>
  </si>
  <si>
    <t>..\..\Acquisti\2025\EV\FATTURE\EV - ECOTAURUS ft 3394 del 29-05-2025.pdf</t>
  </si>
  <si>
    <t>4108</t>
  </si>
  <si>
    <t>edilcassa</t>
  </si>
  <si>
    <t>pregressi edilcassa</t>
  </si>
  <si>
    <t>settembre-ottobre-novembre-dicembre-gennaio</t>
  </si>
  <si>
    <t>assegni</t>
  </si>
  <si>
    <t>C:\Users\Ufficio\Documents\20250224161941543.pdf</t>
  </si>
  <si>
    <t>1025007776A</t>
  </si>
  <si>
    <t>01/10/2025</t>
  </si>
  <si>
    <t>1 DI 5</t>
  </si>
  <si>
    <t xml:space="preserve">BPM </t>
  </si>
  <si>
    <t>2 DI 5</t>
  </si>
  <si>
    <t>3 DI 5</t>
  </si>
  <si>
    <t>4 DI 5</t>
  </si>
  <si>
    <t>5 DI 5</t>
  </si>
  <si>
    <t>PROT AM/60  752/25</t>
  </si>
  <si>
    <t>PERIODO CONTRIBUTIVO SETTEMBRE 2025</t>
  </si>
  <si>
    <t>Ok</t>
  </si>
  <si>
    <t>edilcommercio srl</t>
  </si>
  <si>
    <t>..\..\Acquisti\2025\EV\FATTURE\EV - EDILCOMMERCIO ft 46 del 15-01-2025.pdf</t>
  </si>
  <si>
    <t>cambiale</t>
  </si>
  <si>
    <t>CAMBIALE DI 3389.34 DEL 10/06/2025</t>
  </si>
  <si>
    <t>CESSIONE CREDITO 24300 PLATFON</t>
  </si>
  <si>
    <t>-8742.92</t>
  </si>
  <si>
    <t>159</t>
  </si>
  <si>
    <t>..\..\Acquisti\2025\EV\FATTURE\EV- EDILCOMMERCIO ft 159 del 31-01-2025.pdf</t>
  </si>
  <si>
    <t>CAMBIALE DI 9542,30 DEL 10/03/2025</t>
  </si>
  <si>
    <t>2068/2024</t>
  </si>
  <si>
    <t>C:\Users\Ufficio\Desktop\Amministrazione\Acquisti\2024\EV\Fatture\EV - EDILCOMMERCIO ft 2068 del 15-10-2024.pdf</t>
  </si>
  <si>
    <t>TB, BG,Magazzino</t>
  </si>
  <si>
    <t>2190/2024</t>
  </si>
  <si>
    <t>C:\Users\Ufficio\Desktop\Amministrazione\Acquisti\2024\EV\Fatture\EV - EDILCOMMERCIO ft 2190 del 31-10-2024.pdf</t>
  </si>
  <si>
    <t>TB, Bg, Vertova, Colzate</t>
  </si>
  <si>
    <t>CAMBIALE DI 8898,21 del 10/04/2025</t>
  </si>
  <si>
    <t>2430/2024</t>
  </si>
  <si>
    <t>C:\Users\Ufficio\Desktop\Amministrazione\Acquisti\2024\EV\Fatture\EV - EDILCOMMERCIO ft 2430 del 30-11-2024.pdf</t>
  </si>
  <si>
    <t>2304/2024</t>
  </si>
  <si>
    <t>C:\Users\Ufficio\Desktop\Amministrazione\Acquisti\2024\EV\Fatture\EV - EDILCOMMERCIO ft 2304 del 16-11-2024.pdf</t>
  </si>
  <si>
    <t>Vertova</t>
  </si>
  <si>
    <t>2587/2024</t>
  </si>
  <si>
    <t>C:\Users\Ufficio\Desktop\Amministrazione\Acquisti\2024\EV\Fatture\EV - EDILCOMMERCIO ft 2587 del 20-12-2024.pdf</t>
  </si>
  <si>
    <t>Torre Boldone, Bergamo</t>
  </si>
  <si>
    <t>CESSIONE CREDITO 8742.92 PLATFON</t>
  </si>
  <si>
    <t>-8273.32</t>
  </si>
  <si>
    <t>508/2025</t>
  </si>
  <si>
    <t>..\..\Acquisti\2025\EV\FATTURE\EV- EDILCOMMERCIO  ft 508 del 15-03-2025.pdf</t>
  </si>
  <si>
    <t>CESSIONE CREDITO + 15883.59 DI CAMBIALE DEL 10/08</t>
  </si>
  <si>
    <t>622/2025</t>
  </si>
  <si>
    <t>..\..\Acquisti\2025\EV\FATTURE\EV - EDILCOMMERCIO FT 622 del 31-03-2025.pdf</t>
  </si>
  <si>
    <t>CESSIONE CREDITO + 10028.72 DI CAMBIALE DEL 10/09</t>
  </si>
  <si>
    <t>753/2025</t>
  </si>
  <si>
    <t>..\..\Acquisti\2025\EV\FATTURE\EV - EDILCOMMERCIO ft  753 del 15-04-2025.pdf</t>
  </si>
  <si>
    <t xml:space="preserve">vari cantieri </t>
  </si>
  <si>
    <t>871/2025</t>
  </si>
  <si>
    <t>..\..\Acquisti\2025\EV\FATTURE\EV - EDILCOMMERCIO ft 871 del 30-04-2025.pdf</t>
  </si>
  <si>
    <t>984/2025</t>
  </si>
  <si>
    <t>..\..\Acquisti\2025\EV\FATTURE\EV - EDILCOMMERCIO ft 984 del 15-05-2025.pdf</t>
  </si>
  <si>
    <t>Vertova, Torre Boldone, Cavlera</t>
  </si>
  <si>
    <t>CAMBIALE 10/10</t>
  </si>
  <si>
    <t>1101/2025</t>
  </si>
  <si>
    <t>..\..\Acquisti\2025\EV\FATTURE\EV - EDILCOMMERCIO ft 1101 del 31-05-2025.pdf</t>
  </si>
  <si>
    <t>Cavlera, Magazzino</t>
  </si>
  <si>
    <t>CAMBIALE DEL 10/10</t>
  </si>
  <si>
    <t>1218/2025</t>
  </si>
  <si>
    <t>..\..\Acquisti\2025\EV\FATTURE\EV - EDILCOMMERCIO ft 1218 del 15-06-2025.pdf</t>
  </si>
  <si>
    <t>Vertova,</t>
  </si>
  <si>
    <t xml:space="preserve">bcc </t>
  </si>
  <si>
    <t>1331/2025</t>
  </si>
  <si>
    <t>..\..\Acquisti\2025\EV\FATTURE\EV - EDILCOMMERCIO ft 1331 del 30-05-2025.pdf</t>
  </si>
  <si>
    <t>1455/2025</t>
  </si>
  <si>
    <t>..\..\Acquisti\2025\EV\FATTURE\EV - EDILCOMMERCIO ft 1455 del 15-07-2025.pdf</t>
  </si>
  <si>
    <t>CAMBIALE 10/01/26</t>
  </si>
  <si>
    <t xml:space="preserve">BCC </t>
  </si>
  <si>
    <t>1582/2025</t>
  </si>
  <si>
    <t>..\..\Acquisti\2025\EV\FATTURE\EV - EDILCOMMERCIO ft 1582 del 31-07-2025.pdf</t>
  </si>
  <si>
    <t>Trezzano Rosa</t>
  </si>
  <si>
    <t>1726/2025</t>
  </si>
  <si>
    <t>..\..\Acquisti\2025\EV\FATTURE\EV - EDILCOMMERCIO ft 1726 del 31-08-2025.pdf</t>
  </si>
  <si>
    <t>1860/2025</t>
  </si>
  <si>
    <t>..\..\Acquisti\2025\EV\FATTURE\EV - EDILCOMMERCIO ft 1860 del 15-09-2025.pdf</t>
  </si>
  <si>
    <t xml:space="preserve">RONCO /SORISOLE /CAVLERA </t>
  </si>
  <si>
    <t>1980/2025</t>
  </si>
  <si>
    <t xml:space="preserve">FARE CAMBIALE </t>
  </si>
  <si>
    <t>2108/2025</t>
  </si>
  <si>
    <t>RONCO</t>
  </si>
  <si>
    <t xml:space="preserve">CAMBIALE </t>
  </si>
  <si>
    <t xml:space="preserve">DA FARE </t>
  </si>
  <si>
    <t>2481/2025</t>
  </si>
  <si>
    <t xml:space="preserve">VIA GHISLANDI </t>
  </si>
  <si>
    <t>edilgema srl</t>
  </si>
  <si>
    <t>004364</t>
  </si>
  <si>
    <t xml:space="preserve">VIA GAITO </t>
  </si>
  <si>
    <t>edilnova s.r.l.</t>
  </si>
  <si>
    <t>771</t>
  </si>
  <si>
    <t>C:\Users\Ufficio\Desktop\Amministrazione\Acquisti\2024\EV\Fatture\EV - EDILNOVA ft 771 del 31-10-2024.pdf</t>
  </si>
  <si>
    <t>edilscavi di damiano perani</t>
  </si>
  <si>
    <t>1/25</t>
  </si>
  <si>
    <t>..\..\Acquisti\2025\EV\FATTURE\EV - EDILSCAVI SRL ft 1 del 02-03-2025.pdf</t>
  </si>
  <si>
    <t>?????</t>
  </si>
  <si>
    <t>?????????????</t>
  </si>
  <si>
    <t>prefattura</t>
  </si>
  <si>
    <t>???</t>
  </si>
  <si>
    <t>5</t>
  </si>
  <si>
    <t>..\..\Acquisti\2025\EV\FATTURE\EV - EDILSCAVI SRL ft 5 del 26-05-2025.pdf</t>
  </si>
  <si>
    <t>Vertova - Cavlera</t>
  </si>
  <si>
    <t>76</t>
  </si>
  <si>
    <t>proforma 14</t>
  </si>
  <si>
    <t>..\..\Acquisti\2025\EV\FATTURE\EV - EDILSCAVI DI DAMIANO PERANI ft 76 del 26-05-2025.pdf</t>
  </si>
  <si>
    <t>elettrauto belotti franco &amp; c. snc</t>
  </si>
  <si>
    <t>26</t>
  </si>
  <si>
    <t>..\..\Acquisti\2025\EV\FATTURE\EV - ELETTRAUTO BELOTTI FRANCO &amp; C. ft 26 del 22-01-2025.pdf</t>
  </si>
  <si>
    <t>Batteria Daily nonno</t>
  </si>
  <si>
    <t>561</t>
  </si>
  <si>
    <t>C:\Users\Ufficio\Desktop\Amministrazione\Acquisti\2024\EV\Fatture\EV- ELETTRAUTO BELOTTI FRANCO &amp; C. ft 561 del 12-12-2024.pdf</t>
  </si>
  <si>
    <t>manutenzione CX866WW</t>
  </si>
  <si>
    <t>energy evolution</t>
  </si>
  <si>
    <t>69/2023</t>
  </si>
  <si>
    <t>80/2023</t>
  </si>
  <si>
    <t>80/2024</t>
  </si>
  <si>
    <t>95/2023</t>
  </si>
  <si>
    <t>96/2023</t>
  </si>
  <si>
    <t>154/2023</t>
  </si>
  <si>
    <t>155/2023</t>
  </si>
  <si>
    <t>e.on energia spa</t>
  </si>
  <si>
    <t>40064096</t>
  </si>
  <si>
    <t>..\..\Acquisti\2025\EV\FATTURE\EV - EON ENERGIA ft 40064096 del 01-04-2025.pdf</t>
  </si>
  <si>
    <t>40148857</t>
  </si>
  <si>
    <t>..\..\Acquisti\2025\EV\FATTURE\EV - EON ENERGIA ft 40148857 del 01-08-2025.pdf</t>
  </si>
  <si>
    <t xml:space="preserve">DOVE SCENDE? </t>
  </si>
  <si>
    <t>40240519</t>
  </si>
  <si>
    <t>CNTR 89397422 _ DAL 1/07/2025 AL 01/12/2025</t>
  </si>
  <si>
    <t>espresso toscano srl</t>
  </si>
  <si>
    <t>396</t>
  </si>
  <si>
    <t>..\..\Acquisti\2025\EV\FATTURE\EV - ESPRESSO TOSCANO ft 396 del 10-02-2025.pdf</t>
  </si>
  <si>
    <t>Contanti</t>
  </si>
  <si>
    <t>eureka led di zhu miao</t>
  </si>
  <si>
    <t>3730</t>
  </si>
  <si>
    <t>..\..\Acquisti\2025\EV\FATTURE\EV - EUREKA LED DI ZHU MIAO ft 3730 del 04-08-2025.pdf</t>
  </si>
  <si>
    <t>euronics italia spa</t>
  </si>
  <si>
    <t>22700-09</t>
  </si>
  <si>
    <t xml:space="preserve">varie _ tv led +trasporto </t>
  </si>
  <si>
    <t>faip srl</t>
  </si>
  <si>
    <t>17324</t>
  </si>
  <si>
    <t>IDROPULITRICE A NOLEGGIO 4/12/2025</t>
  </si>
  <si>
    <t>f.lli testa srl</t>
  </si>
  <si>
    <t>4948</t>
  </si>
  <si>
    <t>Scanzo, BG, Stezzano</t>
  </si>
  <si>
    <t>191</t>
  </si>
  <si>
    <t>..\..\..\Acquisti\2024\EV\Fatture\EV - F_LLI TESTA ft 191 del 31-01-2024.pdf</t>
  </si>
  <si>
    <t>857</t>
  </si>
  <si>
    <t>C:\Users\Ufficio\Desktop\Amministrazione\Acquisti\2024\EV\Fatture\EV - F_LLI TESTA ft1857 del 31-05-2024.pdf</t>
  </si>
  <si>
    <t>3043</t>
  </si>
  <si>
    <t>Amministrazione\Acquisti\2024\EV\Fatture\EV - F_LLI TESTA ft 3043 del 31-08-2024.pdf</t>
  </si>
  <si>
    <t>Bergamo, Torre Boldone</t>
  </si>
  <si>
    <t>4048</t>
  </si>
  <si>
    <t>C:\Users\Ufficio\Desktop\Amministrazione\Acquisti\2024\EV\Fatture\EV - F_LLI TESTA ft 4048 del 30-11-2024.pdf</t>
  </si>
  <si>
    <t>Bg</t>
  </si>
  <si>
    <t>4350</t>
  </si>
  <si>
    <t>C:\Users\Ufficio\Desktop\Amministrazione\Acquisti\2024\EV\Fatture\EV - F_LLI TESTA  ft 4350 del 19-12-2024.pdf</t>
  </si>
  <si>
    <t>4554</t>
  </si>
  <si>
    <t>C:\Users\Ufficio\Desktop\Amministrazione\Acquisti\2024\EV\Fatture\EV-F.LLI TESTA ft 4554 del 31-12-2024.pdf</t>
  </si>
  <si>
    <t>62</t>
  </si>
  <si>
    <t>..\..\Acquisti\2025\EV\FATTURE\EV - F.LLI TESTA ft 62 del 31-01-2025.pdf</t>
  </si>
  <si>
    <t xml:space="preserve">SALDO PREGRESSO </t>
  </si>
  <si>
    <t>TUTTE</t>
  </si>
  <si>
    <t>ACCORDI PRESI A SALDO DI TUTTI IL PREGRESSO FINO AL 31/11/2025</t>
  </si>
  <si>
    <t>ASSEGNI BCC</t>
  </si>
  <si>
    <t>ASS 0014283785-09 DEL 30,09,25-ASS 0014283786-10 DEL 30,10,25- ASS 0014253787-11 DEL 30,11,2025</t>
  </si>
  <si>
    <t>1 DI 2</t>
  </si>
  <si>
    <t>1691/1</t>
  </si>
  <si>
    <t xml:space="preserve">SORISOLE </t>
  </si>
  <si>
    <t>2 DI 2</t>
  </si>
  <si>
    <t>1691/2</t>
  </si>
  <si>
    <t>SORISOLE</t>
  </si>
  <si>
    <t>ferramenta 2000 snc</t>
  </si>
  <si>
    <t>1012500475</t>
  </si>
  <si>
    <t>..\..\Acquisti\2025\EV\FATTURE\EV - FERRAMENTA 2000 ft 12500475 del 30-04-2025.pdf</t>
  </si>
  <si>
    <t>contanti</t>
  </si>
  <si>
    <t>ferrari avv. alberto</t>
  </si>
  <si>
    <t>22/EL</t>
  </si>
  <si>
    <t>..\..\Acquisti\2025\EV\FATTURE\EV- FERRARI ALBERTO ft 22 del 25-02-2025.pdf</t>
  </si>
  <si>
    <t>consulenza</t>
  </si>
  <si>
    <t>RITENUTA D'ACCONTO</t>
  </si>
  <si>
    <t>fornoni marmi srl</t>
  </si>
  <si>
    <t>52/F</t>
  </si>
  <si>
    <t>..\..\Acquisti\2025\EV\FATTURE\EV - FORNONI MARMI SRL ft 52 del 31-05-2025.pdf</t>
  </si>
  <si>
    <t>137/F</t>
  </si>
  <si>
    <t>C:\Users\Ufficio\Desktop\Amministrazione\Acquisti\2024\EV\Fatture\EV - FORNONI MARMI ft 137 del 30-11-2024.pdf</t>
  </si>
  <si>
    <t>89/F</t>
  </si>
  <si>
    <t>..\..\Acquisti\2025\EV\FATTURE\EV - FORNONI MARMI SRL ft 89 del 30-08-2025.pdf</t>
  </si>
  <si>
    <t>facchin gru</t>
  </si>
  <si>
    <t>01347</t>
  </si>
  <si>
    <t xml:space="preserve">pagato a fronte di decreto ing. N 1233/25 rg 2364/25_ 1070,64 euro </t>
  </si>
  <si>
    <t>01095</t>
  </si>
  <si>
    <t>fenghuang</t>
  </si>
  <si>
    <t>719</t>
  </si>
  <si>
    <t xml:space="preserve">MENU </t>
  </si>
  <si>
    <t>755A</t>
  </si>
  <si>
    <t>fratelli baggi srl</t>
  </si>
  <si>
    <t>34</t>
  </si>
  <si>
    <t>..\..\Acquisti\2025\EV\FATTURE\EV - FRATELLI BAGGI SRL ft 34 del 06-10-2025.pdf</t>
  </si>
  <si>
    <t>Sorisole</t>
  </si>
  <si>
    <t xml:space="preserve">POP SO </t>
  </si>
  <si>
    <t>37/001</t>
  </si>
  <si>
    <t>RESIDUO FT 37 AL 28/11/2025</t>
  </si>
  <si>
    <t>fratelli mazza</t>
  </si>
  <si>
    <t>2/235</t>
  </si>
  <si>
    <t xml:space="preserve">VINO </t>
  </si>
  <si>
    <t>CASSA</t>
  </si>
  <si>
    <t>ghilardini ilaria</t>
  </si>
  <si>
    <t>CONSULENZA COND. SORISOLE _ ACCONTO 1°</t>
  </si>
  <si>
    <t>CONSULENZA COND. SORISOLE _ ACCONTO 2°</t>
  </si>
  <si>
    <t>gmg centroedile</t>
  </si>
  <si>
    <t>SOTT0001599</t>
  </si>
  <si>
    <t>C:\Users\Ufficio\Desktop\Amministrazione\Acquisti\2024\EV\Fatture\EV- GMG ft 1599 del 31-12-2024.pdf</t>
  </si>
  <si>
    <t>g.m.v. impianti elettrici snc</t>
  </si>
  <si>
    <t>V00007</t>
  </si>
  <si>
    <t>..\..\Acquisti\2025\EV\FATTURE\EV - G.M.V. IMPIANTI ELETTRICI  ft 7 del 27-02-2025.pdf</t>
  </si>
  <si>
    <t>V00121</t>
  </si>
  <si>
    <t xml:space="preserve">SCANZOROSCIATE </t>
  </si>
  <si>
    <t>gualeni paolo</t>
  </si>
  <si>
    <t>1/001</t>
  </si>
  <si>
    <t>..\..\Acquisti\2025\EV\FATTURE\EV - GUALENI PAOLO ft 001 del 10-01-2025.pdf</t>
  </si>
  <si>
    <t>Bg, Via ghislandi</t>
  </si>
  <si>
    <t>guffanti avv. giulio mario</t>
  </si>
  <si>
    <t>861/25</t>
  </si>
  <si>
    <t>..\..\Acquisti\2025\EV\FATTURE\EV - AVV. MARIO GUAFFANTI ft 861 del 17-06-2025.pdf</t>
  </si>
  <si>
    <t>spese legali</t>
  </si>
  <si>
    <t>gypsum srl</t>
  </si>
  <si>
    <t>..\..\Acquisti\2025\EV\FATTURE\EV - GYPSUM SRL ft 28 del 27-01-2025.pdf</t>
  </si>
  <si>
    <t>Via Kennedy</t>
  </si>
  <si>
    <t>143</t>
  </si>
  <si>
    <t>..\..\Acquisti\2025\EV\FATTURE\EV - GYPSUM SRL ft 143 del 28-02-2025.pdf</t>
  </si>
  <si>
    <t>250</t>
  </si>
  <si>
    <t>..\..\Acquisti\2025\EV\FATTURE\EV - GYPSUM SRL ft 250 del 11-04-2025.pdf</t>
  </si>
  <si>
    <t>gruppo carmeli spa</t>
  </si>
  <si>
    <t>20282</t>
  </si>
  <si>
    <t>..\..\Acquisti\2025\EV\FATTURE\EV - GRUPPO CARMELI SPA ft 20282 del 28-08-2025.pdf</t>
  </si>
  <si>
    <t>sistemazione Renault Clio FX155TF</t>
  </si>
  <si>
    <t>gruppo negozi srl</t>
  </si>
  <si>
    <t>58-C00920</t>
  </si>
  <si>
    <t>..\..\Acquisti\2025\EV\FATTURE\EV - GRUPPO NEGOZI SRL ft 58-C00920 del 26-03-2025.pdf</t>
  </si>
  <si>
    <t>gs rubiera srl</t>
  </si>
  <si>
    <t>665/216</t>
  </si>
  <si>
    <t>..\..\Acquisti\2025\EV\FATTURE\EV - GS RUBIERA SRL ft 665-216 del 27-06-2025.pdf</t>
  </si>
  <si>
    <t>verificare soggetto</t>
  </si>
  <si>
    <t>happily srl</t>
  </si>
  <si>
    <t>869</t>
  </si>
  <si>
    <t>..\..\Acquisti\2025\EV\FATTURE\EV - HAPPILY SRL ft 869 del 11-02-2025.pdf</t>
  </si>
  <si>
    <t>Attivazione e manutenzione portale premium</t>
  </si>
  <si>
    <t>901/E</t>
  </si>
  <si>
    <t>..\..\Acquisti\2025\EV\FATTURE\EV- HAPPILY ft 901 del 12-02-2025.pdf</t>
  </si>
  <si>
    <t>1563/GC</t>
  </si>
  <si>
    <t>..\..\Acquisti\2025\EV\FATTURE\EV - HAPPILY SRL ft 1563 del 15-04-2025.pdf</t>
  </si>
  <si>
    <t>Nota di credito</t>
  </si>
  <si>
    <t>1169/IN</t>
  </si>
  <si>
    <t xml:space="preserve">BUONI NATALE PER DIPENDENTI </t>
  </si>
  <si>
    <t>idras spa</t>
  </si>
  <si>
    <t>700210</t>
  </si>
  <si>
    <t>..\..\Acquisti\2025\EV\FATTURE\EV - IDRAS SPA ft 700210 del 23-04-2025.pdf</t>
  </si>
  <si>
    <t>idraulico cattaneo marco</t>
  </si>
  <si>
    <t>102</t>
  </si>
  <si>
    <t xml:space="preserve">rifacimento tubazioni acqua e antincendio Sorisole </t>
  </si>
  <si>
    <t>115</t>
  </si>
  <si>
    <t xml:space="preserve">SPOSTAMENTO TUBAZIONI IN POLIESTERE-. GHISLANDI </t>
  </si>
  <si>
    <t>ikea italia</t>
  </si>
  <si>
    <t>56666</t>
  </si>
  <si>
    <t>..\..\Acquisti\2025\EV\FATTURE\EV - IKEA ft 56666 del 20-07-2025.pdf</t>
  </si>
  <si>
    <t>vertova</t>
  </si>
  <si>
    <t>ilaria</t>
  </si>
  <si>
    <t>65548</t>
  </si>
  <si>
    <t>..\..\Acquisti\2025\EV\FATTURE\EV - IKEA ft 65548 del 27-08-2025.pdf</t>
  </si>
  <si>
    <t>Varie Ilaria</t>
  </si>
  <si>
    <t>EC-2025-0427172</t>
  </si>
  <si>
    <t xml:space="preserve">VERIE </t>
  </si>
  <si>
    <t>EC-2025-0458127</t>
  </si>
  <si>
    <t>9</t>
  </si>
  <si>
    <t>..\..\Acquisti\2025\EV\FATTURE\EV - IMBERTI DANIELE ft 9 del 14-03-2025.pdf</t>
  </si>
  <si>
    <t>23</t>
  </si>
  <si>
    <t>27</t>
  </si>
  <si>
    <t>partite aperte in attesa di fatturare</t>
  </si>
  <si>
    <t>infocamere s.c.p.a.</t>
  </si>
  <si>
    <t>25060472</t>
  </si>
  <si>
    <t>..\..\Acquisti\2025\EV\FATTURE\EV - INFOCAMERE ft 25060472 del 03-10-2025.pdf</t>
  </si>
  <si>
    <t>intesa home</t>
  </si>
  <si>
    <t>365</t>
  </si>
  <si>
    <t>C:\Users\Ufficio\Desktop\Amministrazione\Acquisti\2024\EV\Fatture\EV - INTESA HOME ft 365 del 16-12-2024.pdf</t>
  </si>
  <si>
    <t>intesa sanpaolo s.p.a.</t>
  </si>
  <si>
    <t>01S620252800006071</t>
  </si>
  <si>
    <t>..\..\Acquisti\2025\EV\FATTURE\EV - INTESA SAN PAOLO ft 6071 del 15-01-2025.pdf</t>
  </si>
  <si>
    <t>intesa san paolo s.p.a.</t>
  </si>
  <si>
    <t>01S620252800204378</t>
  </si>
  <si>
    <t>..\..\Acquisti\2025\EV\FATTURE\EV - INTESA SAN PAOLO ft 204378 del 15-04-2025.pdf</t>
  </si>
  <si>
    <t>01S620252800319780</t>
  </si>
  <si>
    <t>..\..\Acquisti\2025\EV\FATTURE\EV - INTESA SAN PAOLO ft 319780 del 15-07-2025.pdf</t>
  </si>
  <si>
    <t>iris mobili srl</t>
  </si>
  <si>
    <t>2170097</t>
  </si>
  <si>
    <t>..\..\Acquisti\2025\EV\FATTURE\EV - IRIS MOBILI SRL ft 2170097 del 26-08-2025.pdf</t>
  </si>
  <si>
    <t>2440506</t>
  </si>
  <si>
    <t>..\..\Acquisti\2025\EV\FATTURE\EV - IRIS MOBILI SRL ft 2440506 del 23-09-2025.pdf</t>
  </si>
  <si>
    <t>2440505</t>
  </si>
  <si>
    <t>..\..\Acquisti\2025\EV\FATTURE\EV - IRIS MOBILI SRL ft 2440505 del 23-09-2025.pdf</t>
  </si>
  <si>
    <t>2440504</t>
  </si>
  <si>
    <t>..\..\Acquisti\2025\EV\FATTURE\EV - IRIS MOBILI SRL ft 2440504 del 23-09-2025.pdf</t>
  </si>
  <si>
    <t>2440503</t>
  </si>
  <si>
    <t>..\..\Acquisti\2025\EV\FATTURE\EV - IRIS MOBILI SRL ft 2440503 del 23-09-2025.pdf</t>
  </si>
  <si>
    <t>2440502</t>
  </si>
  <si>
    <t>..\..\Acquisti\2025\EV\FATTURE\EV - IRIS MOBILI SRL ft 2440502 del 23-09-2025.pdf</t>
  </si>
  <si>
    <t>2790466</t>
  </si>
  <si>
    <t>materasso mamma ilaria</t>
  </si>
  <si>
    <t>jysk italia srl</t>
  </si>
  <si>
    <t>F195202500340</t>
  </si>
  <si>
    <t>Ff195202500348</t>
  </si>
  <si>
    <t>kuwait petroleum italia spa</t>
  </si>
  <si>
    <t>PJ09397306</t>
  </si>
  <si>
    <t>..\..\Acquisti\2025\EV\FATTURE\EV - KUWAIT PETROLEUM ft 7306 del 15-01-2025.pdf</t>
  </si>
  <si>
    <t>fornitura fino al 15/01/2025</t>
  </si>
  <si>
    <t>PJ09440238</t>
  </si>
  <si>
    <t>..\..\Acquisti\2025\EV\FATTURE\EV- KUWAIT PETROLEUM ft 9440238 del 31-01-2025.pdf</t>
  </si>
  <si>
    <t>fornitura fino al 31/01</t>
  </si>
  <si>
    <t>PJ09525901</t>
  </si>
  <si>
    <t>..\..\Acquisti\2025\EV\FATTURE\EV - KUWAIT PETROLEUM ft PJ09526901 del 15-02-2025.pdf</t>
  </si>
  <si>
    <t>Fornitura fino al 15/02</t>
  </si>
  <si>
    <t>PJ09570709</t>
  </si>
  <si>
    <t>..\..\Acquisti\2025\EV\FATTURE\EV - KUWAIT PETROLEUM ft PJ09570709 del 28-02-2025.pdf</t>
  </si>
  <si>
    <t>fornitura fino al 28/02</t>
  </si>
  <si>
    <t>PJ09657762</t>
  </si>
  <si>
    <t>..\..\Acquisti\2025\EV\FATTURE\EV - KUWAIT PETROLEUM ft 7762 del 15-03-2025.pdf</t>
  </si>
  <si>
    <t>fornitura fino al 15/03</t>
  </si>
  <si>
    <t>PJ09741477</t>
  </si>
  <si>
    <t>..\..\Acquisti\2025\EV\FATTURE\EV - KUWAIT PETROLEUM ft 09741477 del 31-03-2025.pdf</t>
  </si>
  <si>
    <t>fornitura fino al 31/03</t>
  </si>
  <si>
    <t>PJ09790213</t>
  </si>
  <si>
    <t>..\..\Acquisti\2025\EV\FATTURE\EV - KUWAIT PETROLEUM ft 09790213 del 15-04-2025.pdf</t>
  </si>
  <si>
    <t>fornitura fino al 15/04</t>
  </si>
  <si>
    <t>PJ09834777</t>
  </si>
  <si>
    <t>..\..\Acquisti\2025\EV\FATTURE\EV- KUWAIT PETROLEUM ft 09834777 del 30-04-2025.pdf</t>
  </si>
  <si>
    <t>fornitura fino al 30/04</t>
  </si>
  <si>
    <t>PJ09922790</t>
  </si>
  <si>
    <t>..\..\Acquisti\2025\EV\FATTURE\EV - KUWAIT PETROLEUM ft 9922790 del 15-05-2025.pdf</t>
  </si>
  <si>
    <t>Fornitura fino al 15/05</t>
  </si>
  <si>
    <t>PJ10006930</t>
  </si>
  <si>
    <t>..\..\Acquisti\2025\EV\FATTURE\EV - KUWAIT PETROLEUM ft 006930 del 31-05-2025.pdf</t>
  </si>
  <si>
    <t>fornitura fino al 31/05</t>
  </si>
  <si>
    <t>PJ10056457</t>
  </si>
  <si>
    <t>..\..\Acquisti\2025\EV\FATTURE\EV - KUWAIT PETROLEUM ft PJ10056457 del 15-06-2025.pdf</t>
  </si>
  <si>
    <t>fornitura fino al 15/06</t>
  </si>
  <si>
    <t>Sepa Direst</t>
  </si>
  <si>
    <t>PJ10140636</t>
  </si>
  <si>
    <t>..\..\Acquisti\2025\EV\FATTURE\EV - KUWAIT PETROLEUM ft 10140636 del 30-06-2025.pdf</t>
  </si>
  <si>
    <t>fornitura fino al 30/06</t>
  </si>
  <si>
    <t>sepa direct</t>
  </si>
  <si>
    <t>PJ10190079</t>
  </si>
  <si>
    <t>..\..\Acquisti\2025\EV\FATTURE\EV - KUWAIT PETROLEUM ft PJ10190079 del 15-07-2025.pdf</t>
  </si>
  <si>
    <t>fornitura fino al 15/07</t>
  </si>
  <si>
    <t>PJ10235437</t>
  </si>
  <si>
    <t>..\..\Acquisti\2025\EV\FATTURE\EV - KUWAIT PETROLEUM ft 235437 del 31-07-2025.pdf</t>
  </si>
  <si>
    <t>fornitura fino al 30/07</t>
  </si>
  <si>
    <t>PJ10323778</t>
  </si>
  <si>
    <t>..\..\Acquisti\2025\EV\FATTURE\EV - KUWAIT PETROLEUM ft PJ10323778 del 15-08-2025.pdf</t>
  </si>
  <si>
    <t>Fornitura fino al 15/08</t>
  </si>
  <si>
    <t>PJ10366897</t>
  </si>
  <si>
    <t>..\..\Acquisti\2025\EV\FATTURE\EV - KUWAIT PETROLEUM ft 366897 del 31-08-2025.pdf</t>
  </si>
  <si>
    <t>Fornitura fino al 31/08</t>
  </si>
  <si>
    <t>PJ10452503</t>
  </si>
  <si>
    <t>..\..\Acquisti\2025\EV\FATTURE\EV - KUWAIT PETROLEUM ft PJ10452503 del 15-09-2025.pdf</t>
  </si>
  <si>
    <t>Fornitura fino al 15/09</t>
  </si>
  <si>
    <t>PJ10536722</t>
  </si>
  <si>
    <t>..\..\Acquisti\2025\EV\FATTURE\EV - KUWAIT PETROLEUM ft PJ10536722 del 30-09-2025.pdf</t>
  </si>
  <si>
    <t>fornitura fino al 30/09</t>
  </si>
  <si>
    <t>PJ10631845</t>
  </si>
  <si>
    <t>fornitura fino al 31/10</t>
  </si>
  <si>
    <t>PJ10720334</t>
  </si>
  <si>
    <t>fornitura fino al 31/11</t>
  </si>
  <si>
    <t>PJ10765593</t>
  </si>
  <si>
    <t>PJ10854034</t>
  </si>
  <si>
    <t>fornitura fino al 31/12</t>
  </si>
  <si>
    <t>lanfranchi marco</t>
  </si>
  <si>
    <t>410/A</t>
  </si>
  <si>
    <t>..\..\Acquisti\2025\EV\FATTURE\EV - LANFRANCHI MARCO ft 410 del 31-03-2025.pdf</t>
  </si>
  <si>
    <t>502/A</t>
  </si>
  <si>
    <t>..\..\Acquisti\2025\EV\FATTURE\EV - LANFRANCHI MARCO ft 502 del 30-04-2025.pdf</t>
  </si>
  <si>
    <t>637/A</t>
  </si>
  <si>
    <t>..\..\Acquisti\2025\EV\FATTURE\EV - LANFRANCHI MARCO ft 637 del 31-05-2025+.pdf</t>
  </si>
  <si>
    <t>Ilaria</t>
  </si>
  <si>
    <t>lanzi florovivaistica</t>
  </si>
  <si>
    <t>..\..\Acquisti\2025\EV\FATTURE\EV - LANZI FLOROVIVAISTICA ft 926 del 24-06-2025.pdf</t>
  </si>
  <si>
    <t>953</t>
  </si>
  <si>
    <t>..\..\Acquisti\2025\EV\FATTURE\EV - LANZI FLOROVIVAISTICA ft 953 del 30-06-2025.pdf</t>
  </si>
  <si>
    <t>la piazzoni s.r.l.</t>
  </si>
  <si>
    <t>144</t>
  </si>
  <si>
    <t>..\..\Acquisti\2025\EV\FATTURE\EV - LA PIAZZONI ft 144 del 20-01-2025.pdf</t>
  </si>
  <si>
    <t>2864</t>
  </si>
  <si>
    <t>nolo carro gru</t>
  </si>
  <si>
    <t>2994</t>
  </si>
  <si>
    <t>C:\Users\Ufficio\Desktop\Amministrazione\Acquisti\2024\EV\Fatture\EV - LA PIAZZONI ft 2994 del 30-04-2024.pdf</t>
  </si>
  <si>
    <t>nolo base gru 13,50 dal 02/05 al 01/07</t>
  </si>
  <si>
    <t>4245</t>
  </si>
  <si>
    <t>C:\Users\Ufficio\Desktop\Amministrazione\Acquisti\2024\EV\Fatture\EV - LA PIAZZONI ft 4245 del 31-05-2024.pdf</t>
  </si>
  <si>
    <t>nolo base gru 13,50 dal 02/07 al 01/09</t>
  </si>
  <si>
    <t>6079</t>
  </si>
  <si>
    <t>C:\Users\Ufficio\Desktop\Amministrazione\Acquisti\2024\EV\Fatture\EV - LA PIAZZONI ft 6079 del 31-08-2024.pdf</t>
  </si>
  <si>
    <t>nolo blocchi zavorra - DDT 4060 del 02/05/2022</t>
  </si>
  <si>
    <t>saldate tra luglo e settembre</t>
  </si>
  <si>
    <t>8156</t>
  </si>
  <si>
    <t>C:\Users\Ufficio\Desktop\Amministrazione\Acquisti\2024\EV\Fatture\EV - LA PIAZZONI ft 8156 del 20-11-2024.pdf</t>
  </si>
  <si>
    <t>nolo blocchi zavorra - ddt 4060 del 02/05/2022</t>
  </si>
  <si>
    <t>9271</t>
  </si>
  <si>
    <t>C:\Users\Ufficio\Desktop\Amministrazione\Acquisti\2024\EV\Fatture\EV - LA PIAZZONI ft 9271 del 27-12-2024.pdf</t>
  </si>
  <si>
    <t>1289</t>
  </si>
  <si>
    <t>..\..\Acquisti\2025\EV\FATTURE\EV - LA PIAZZONI nc 1289 del 28-02-2025.pdf</t>
  </si>
  <si>
    <t>4980</t>
  </si>
  <si>
    <t>..\..\Acquisti\2025\EV\FATTURE\EV - LA PIAZZONI ft 4980 del 31-07-2025.pdf</t>
  </si>
  <si>
    <t>noleggio per Trezzano Rosa</t>
  </si>
  <si>
    <t>5501</t>
  </si>
  <si>
    <t>..\..\Acquisti\2025\EV\FATTURE\EV - LA PIAZZONI ft 5501 del 31-08-2025.pdf</t>
  </si>
  <si>
    <t>Dichiarazione di idoneità piano di appoggio gru - Trezzano Rosa</t>
  </si>
  <si>
    <t>5820</t>
  </si>
  <si>
    <t>..\..\Acquisti\2025\EV\FATTURE\EV - LA PIAZZONI ft 5820 del 17-09-2025.pdf</t>
  </si>
  <si>
    <t>Addebito per saldo residuo e interessi di mora</t>
  </si>
  <si>
    <t>6447</t>
  </si>
  <si>
    <t>..\..\Acquisti\2025\EV\FATTURE\EV - LA PIAZZONI ft 6447 del 30-09-2025.pdf</t>
  </si>
  <si>
    <t>6404</t>
  </si>
  <si>
    <t>..\..\Acquisti\2025\EV\FATTURE\EV - LA PIAZZONI ft 6404 del 30-09-2025.pdf</t>
  </si>
  <si>
    <t xml:space="preserve">ATTREZZATURA PONTEGGIO ALZANO </t>
  </si>
  <si>
    <t>6638</t>
  </si>
  <si>
    <t>Trezzano Rosa_  nolo CARRO  gru dsl 8/09/25 al 7/11/25</t>
  </si>
  <si>
    <t xml:space="preserve">riba </t>
  </si>
  <si>
    <t>7827</t>
  </si>
  <si>
    <t>Trezzano Rosa_  nolo CARO gru dal 8,11,25 al 7/12/2025</t>
  </si>
  <si>
    <t>leaders srl</t>
  </si>
  <si>
    <t>PROF 234</t>
  </si>
  <si>
    <t>..\..\Acquisti\2025\EV\FATTURE\EV - LEADERS SRL ft 41 del 29-01-2025.pdf</t>
  </si>
  <si>
    <t>Elaborazione contabilità e servizi IV trimestre 2024</t>
  </si>
  <si>
    <t>PROF 487</t>
  </si>
  <si>
    <t>..\..\Acquisti\2025\EV\FATTURE\EV - LEADERS SRL ft 40 del 29-01-2025.pdf</t>
  </si>
  <si>
    <t>elaborazione contabilità e servizi III trimestre 2024</t>
  </si>
  <si>
    <t>FT 737</t>
  </si>
  <si>
    <t xml:space="preserve">elaborazione contabilità e servizi_ 1° trimestre 2025 </t>
  </si>
  <si>
    <t>760</t>
  </si>
  <si>
    <t xml:space="preserve">elaborazione contabilità e servizi_ 2° trimestre  2025 </t>
  </si>
  <si>
    <t>759</t>
  </si>
  <si>
    <t xml:space="preserve">elaborazione contabilità e servizi_ 3° trimestre  2025 </t>
  </si>
  <si>
    <t>SCALATO IL BONIFICO DI 4500 FATTO IL 31,10,2025</t>
  </si>
  <si>
    <t>ft???</t>
  </si>
  <si>
    <t>elaborazione contabilità e servizi_ 4° trimestre 2025</t>
  </si>
  <si>
    <t>41</t>
  </si>
  <si>
    <t>elaborazione contabilità e servizi</t>
  </si>
  <si>
    <t>40</t>
  </si>
  <si>
    <t>POP SO _ UNICO BONIFICO DA 4500</t>
  </si>
  <si>
    <t>leon d'oro di paola catrullo</t>
  </si>
  <si>
    <t>98</t>
  </si>
  <si>
    <t>..\..\Acquisti\2025\EV\FATTURE\EV - LEON D'ORO ft 98 del 27-05-2025.pdf</t>
  </si>
  <si>
    <t>leroy merlin</t>
  </si>
  <si>
    <t>041-026775</t>
  </si>
  <si>
    <t>..\..\Acquisti\2025\EV\FATTURE\EV - LEROY MERLIN ft 041-026775 del 07-06-2025.pdf</t>
  </si>
  <si>
    <t>041-031572</t>
  </si>
  <si>
    <t>..\..\Acquisti\2025\EV\FATTURE\EV - LEROY MERLIN ft 31572 del 02-07-2025.pdf</t>
  </si>
  <si>
    <t>041-033921</t>
  </si>
  <si>
    <t>..\..\Acquisti\2025\EV\FATTURE\EV - LEROY MERLIN ft 33921 del 16-07-2025.pdf</t>
  </si>
  <si>
    <t>041-036214</t>
  </si>
  <si>
    <t>..\..\Acquisti\2025\EV\FATTURE\EV - LEROY MERLIN ft 041-036214 del 30-07-2025.pdf</t>
  </si>
  <si>
    <t>041-038114</t>
  </si>
  <si>
    <t>..\..\Acquisti\2025\EV\FATTURE\EV - LEROY MERLIN ft 038114 del 11-08-2025.pdf</t>
  </si>
  <si>
    <t>041-052108</t>
  </si>
  <si>
    <t>041-052116</t>
  </si>
  <si>
    <t>041-054936</t>
  </si>
  <si>
    <t>ILARIA</t>
  </si>
  <si>
    <t xml:space="preserve">CARTA /ONLINE </t>
  </si>
  <si>
    <t>041-055369</t>
  </si>
  <si>
    <t>041-057252</t>
  </si>
  <si>
    <t xml:space="preserve">NOTA DI CREDITO </t>
  </si>
  <si>
    <t>NC 041-003594</t>
  </si>
  <si>
    <t>libreria amministrativa s.a.s.</t>
  </si>
  <si>
    <t>FEIM000117</t>
  </si>
  <si>
    <t>..\..\Acquisti\2025\EV\FATTURE\EV - LIBRERIA AMMINISTRATIVA ft 117 del 15-01-2025 .pdf</t>
  </si>
  <si>
    <t>Ufficio</t>
  </si>
  <si>
    <t>FEIM001697</t>
  </si>
  <si>
    <t>locanda rosa</t>
  </si>
  <si>
    <t>F-0106</t>
  </si>
  <si>
    <t>..\..\Acquisti\2025\EV\FATTURE\EV - LOCANDA ROSA SAS ft 106 del 29-01-2025.pdf</t>
  </si>
  <si>
    <t>407/F</t>
  </si>
  <si>
    <t>..\..\Acquisti\2025\EV\FATTURE\EV - LOCANDA ROSA SAS ft 407 del 14-04-2025.pdf</t>
  </si>
  <si>
    <t>623/F</t>
  </si>
  <si>
    <t>..\..\Acquisti\2025\EV\FATTURE\EV - LOCANDA ROSA SAS ft 623 del 17-06-2025.pdf</t>
  </si>
  <si>
    <t>luce in srl</t>
  </si>
  <si>
    <t>161</t>
  </si>
  <si>
    <t>..\..\Acquisti\2025\EV\FATTURE\EV - LUCE IN ft 161 del 31-01-2025.pdf</t>
  </si>
  <si>
    <t xml:space="preserve">Bergamo, Via Ghislandi_ ACCONTO </t>
  </si>
  <si>
    <t xml:space="preserve">Bergamo, Via Ghislandi_ SALDO </t>
  </si>
  <si>
    <t>POS SONDRIO</t>
  </si>
  <si>
    <t>390</t>
  </si>
  <si>
    <t>..\..\Acquisti\2025\EV\FATTURE\EV - LUCE IN ft 390 del 28-02-2025.pdf</t>
  </si>
  <si>
    <t>Bergamo, Torre Boldone Via Kennedy</t>
  </si>
  <si>
    <t>POP SO 2384X38 _ ACCONTO FT 390 E FT 1659</t>
  </si>
  <si>
    <t>581</t>
  </si>
  <si>
    <t>..\..\Acquisti\2025\EV\FATTURE\EV - LUCE IN ft 581 del 31-03-2025.pdf</t>
  </si>
  <si>
    <t>1659</t>
  </si>
  <si>
    <t>..\..\Acquisti\2025\EV\FATTURE\EV - LUCE IN ft 1659 del 24-09-2025.pdf</t>
  </si>
  <si>
    <t xml:space="preserve">GHISLANDI </t>
  </si>
  <si>
    <t>NC1780</t>
  </si>
  <si>
    <t>..\..\Acquisti\2025\EV\FATTURE\EV - LUCE IN nc 1780 del 30-09-2025.pdf</t>
  </si>
  <si>
    <t>nota di credito per merce non consegnata FATTURA 581</t>
  </si>
  <si>
    <t>madaschi giuseppe</t>
  </si>
  <si>
    <t>000105-2024</t>
  </si>
  <si>
    <t>C:\Users\Ufficio\Desktop\Amministrazione\Acquisti\2024\EV\Fatture\EV - MADASCHI GIUSEPPE ft 105 del 23-12-204.pdf</t>
  </si>
  <si>
    <t>Mezzi: GD763GG - FL041BG -</t>
  </si>
  <si>
    <t>000009-2025</t>
  </si>
  <si>
    <t>..\..\Acquisti\2025\EV\FATTURE\EV - MADASCHI GIUSEPPE ft 9 del 28-02-2025.pdf</t>
  </si>
  <si>
    <t>Renault Clio FX155TF</t>
  </si>
  <si>
    <t>000016-2025</t>
  </si>
  <si>
    <t>..\..\Acquisti\2025\EV\FATTURE\EV - MADASCHI GIUSEPPE ft 16 del 31-03-2025.pdf</t>
  </si>
  <si>
    <t>Doblò FL041BG</t>
  </si>
  <si>
    <t>000049-2025</t>
  </si>
  <si>
    <t>..\..\Acquisti\2025\EV\FATTURE\EV - MADASCHI GIUSEPPE ft 49 del 21-07-2025.pdf</t>
  </si>
  <si>
    <t>manutenzione clio FX155Tf - Doblò GD763GG - Daily CX866WW</t>
  </si>
  <si>
    <t>maffeis centro servizi</t>
  </si>
  <si>
    <t>2007</t>
  </si>
  <si>
    <t xml:space="preserve">ROTTAMAZIONE </t>
  </si>
  <si>
    <t>malto &amp; luppolo bar liu snc di ongaro f. &amp; c.</t>
  </si>
  <si>
    <t>2352</t>
  </si>
  <si>
    <t>..\..\Acquisti\2025\EV\FATTURE\EV - MALTO &amp; LUPPOLO BAR LIU ft 2352 del 07-06-2025.pdf</t>
  </si>
  <si>
    <t>4844</t>
  </si>
  <si>
    <t xml:space="preserve">vearie </t>
  </si>
  <si>
    <t xml:space="preserve">carta  </t>
  </si>
  <si>
    <t>mancusi davide avvocato</t>
  </si>
  <si>
    <t>108</t>
  </si>
  <si>
    <t>ass. legale proc. 4054-2023</t>
  </si>
  <si>
    <t>markolor srl</t>
  </si>
  <si>
    <t>442</t>
  </si>
  <si>
    <t>..\..\Acquisti\2025\EV\FATTURE\EV - MARKOLOR SRL ft 442 del 30-09-2025.pdf</t>
  </si>
  <si>
    <t xml:space="preserve">VIA KENNEDY TORRE BOLDONE </t>
  </si>
  <si>
    <t>mazzoleni rudy</t>
  </si>
  <si>
    <t>..\..\Acquisti\2025\EV\FATTURE\EV - MAZZOLENI RUDY ft 1 del 13-01-2025.pdf</t>
  </si>
  <si>
    <t>..\..\Acquisti\2025\EV\FATTURE\EV - MAZZOLENI RUDY ft 5 del 17-02-2025.pdf</t>
  </si>
  <si>
    <t>mazzucchelli nadia</t>
  </si>
  <si>
    <t>59</t>
  </si>
  <si>
    <t>..\..\Acquisti\2025\EV\FATTURE\EV - MAZZUCCHELLI NADIA ft 59 del 03-07-2025.pdf</t>
  </si>
  <si>
    <t>cena di lavoro</t>
  </si>
  <si>
    <t>mediamarket spa</t>
  </si>
  <si>
    <t>100363</t>
  </si>
  <si>
    <t>..\..\Acquisti\2025\EV\FATTURE\EV - MEDIAMARKET ft 100363 del 09-07-2025.pdf</t>
  </si>
  <si>
    <t>99899</t>
  </si>
  <si>
    <t>..\..\Acquisti\2025\EV\FATTURE\EV - MEDIAMARKET ft 99899 del 09-07-2025.pdf</t>
  </si>
  <si>
    <t>merelli annamaria</t>
  </si>
  <si>
    <t>125000782</t>
  </si>
  <si>
    <t>..\..\Acquisti\2025\EV\FATTURE\EV - MERELLI ANNAMARIA ft 125000782 del 14-04-2025.pdf</t>
  </si>
  <si>
    <t>125000914</t>
  </si>
  <si>
    <t>..\..\Acquisti\2025\EV\FATTURE\EV - MERELLI ANNAMARIA ft 125000914 del 12-05-2025.pdf</t>
  </si>
  <si>
    <t>met energia italia spa</t>
  </si>
  <si>
    <t>VE25-036949</t>
  </si>
  <si>
    <t>..\..\Acquisti\2025\EV\FATTURE\EV - MET ENERGIA ITALIA ft 36949 del 16-01-2025.pdf</t>
  </si>
  <si>
    <t>VE25-052072</t>
  </si>
  <si>
    <t>..\..\Acquisti\2025\EV\FATTURE\MET ENERGIA ft 52072 del 17-02-2025.pdf</t>
  </si>
  <si>
    <t>VE25-090247</t>
  </si>
  <si>
    <t>\\192.168.1.231\scambio\AMMINISTRAZIONE\Acquisti\2025\EV\FATTURE\EV - MET ENERGIA SRL ft 90247 del 14-03-2025.pdf</t>
  </si>
  <si>
    <t>verificare pagamento</t>
  </si>
  <si>
    <t>VE25-127818</t>
  </si>
  <si>
    <t>..\..\Acquisti\2025\EV\FATTURE\EV - MET ENERGIA ITALIA ft 127818 del 15-04-2025.pdf</t>
  </si>
  <si>
    <t>metro italia spa</t>
  </si>
  <si>
    <t>83/3/2691</t>
  </si>
  <si>
    <t>..\..\Acquisti\2025\EV\FATTURE\EV - METRO ft 2691 del 08-03-2025.pdf</t>
  </si>
  <si>
    <t>83/5/12293</t>
  </si>
  <si>
    <t>..\..\Acquisti\2025\EV\FATTURE\EV - METRO ft 12293 del 14-06-2025.pdf</t>
  </si>
  <si>
    <t>83/5/15471</t>
  </si>
  <si>
    <t>..\..\Acquisti\2025\EV\FATTURE\EV - METRO ft 15471 del 22-07-2025.pdf</t>
  </si>
  <si>
    <t>ministero della giustizia</t>
  </si>
  <si>
    <t>330048724568899010</t>
  </si>
  <si>
    <t>pratica ricorso decreto ing. Imm. 72- Edilvertova cbill nr 30048724568899177</t>
  </si>
  <si>
    <t>moioli valerio</t>
  </si>
  <si>
    <t>856/001</t>
  </si>
  <si>
    <t>Visite mediche Donati, Priori, Rodigari 25/11/2023</t>
  </si>
  <si>
    <t>972/001</t>
  </si>
  <si>
    <t>OT23, adempimenti d.lgs 81/2008</t>
  </si>
  <si>
    <t>247/001</t>
  </si>
  <si>
    <t>Visita medica Giovanni + dimissioni Gonella, Morosini, Bilaj, Arrigoni</t>
  </si>
  <si>
    <t>946/001</t>
  </si>
  <si>
    <t>visita medica del 14 e 21 dicembre</t>
  </si>
  <si>
    <t>351/001</t>
  </si>
  <si>
    <t>..\..\Acquisti\2025\EV\FATTURE\EV - MOIOLI VALERIO ft 351 del 15-05-2025.pdf</t>
  </si>
  <si>
    <t>Visita medica del 14/5 Lanfranchi giovanni</t>
  </si>
  <si>
    <t>RIT.ACCONTO</t>
  </si>
  <si>
    <t>1031/001</t>
  </si>
  <si>
    <t xml:space="preserve">VISITA MEDICA DONATI ALBERTO E RODIGARI FABRIZIO </t>
  </si>
  <si>
    <t>mya srl</t>
  </si>
  <si>
    <t>563</t>
  </si>
  <si>
    <t>..\..\Acquisti\2025\EV\FATTURE\EV - MYA SRL ft 562 del 09-03-2025.pdf</t>
  </si>
  <si>
    <t>myo spa</t>
  </si>
  <si>
    <t>2001/250009528</t>
  </si>
  <si>
    <t>..\..\Acquisti\2025\EV\FATTURE\EV - MYO ft 9528 del 30-01-2025.pdf</t>
  </si>
  <si>
    <t>Cancelleria ufficio</t>
  </si>
  <si>
    <t>2001/250033148</t>
  </si>
  <si>
    <t>..\..\Acquisti\2025\EV\FATTURE\EV - MYO ft 33148 del 28-02-2025.pdf</t>
  </si>
  <si>
    <t>2001/250107142</t>
  </si>
  <si>
    <t>..\..\Acquisti\2025\EV\FATTURE\EV - MYO ft 107142 del 30-06-2025.pdf</t>
  </si>
  <si>
    <t>BANCA DI APPOGGIO???</t>
  </si>
  <si>
    <t>2001/250792664</t>
  </si>
  <si>
    <t>nagoya curno srl</t>
  </si>
  <si>
    <t>531</t>
  </si>
  <si>
    <t>..\..\Acquisti\2025\EV\FATTURE\EV - NAGOYA CURNO SRL ft 531 del 20-03-2025.pdf</t>
  </si>
  <si>
    <t>2201</t>
  </si>
  <si>
    <t>..\..\Acquisti\2025\EV\FATTURE\EV - NAGOYA CURNO SRL ft 2201 del 03-10-2025.pdf</t>
  </si>
  <si>
    <t>newteam srl</t>
  </si>
  <si>
    <t>30722800085</t>
  </si>
  <si>
    <t>..\..\Acquisti\2025\EV\FATTURE\EV - NEWTEAM SRL ft 30722800085 del 14-03-2025.pdf</t>
  </si>
  <si>
    <t>Forno a microonde</t>
  </si>
  <si>
    <t>30722800360</t>
  </si>
  <si>
    <t>..\..\Acquisti\2025\EV\FATTURE\EV - NEWTEAM SRL ft 00360 del 08-10-2025.pdf</t>
  </si>
  <si>
    <t>Lavatrice 8kg</t>
  </si>
  <si>
    <t>nodari bruno</t>
  </si>
  <si>
    <t>14</t>
  </si>
  <si>
    <t>C:\Users\Ufficio\Desktop\Amministrazione\Acquisti\2024\EV\Fatture\EV - NODARI ft 14 del 16-11-2024.pdf</t>
  </si>
  <si>
    <t>Ottobre - Scanzo, via trento</t>
  </si>
  <si>
    <t>C:\Users\Ufficio\Desktop\Amministrazione\Acquisti\2024\EV\Fatture\EV - NODARI ft 17 del 18-12-2024.pdf</t>
  </si>
  <si>
    <t>Scanzorosciate</t>
  </si>
  <si>
    <t>nsa srl</t>
  </si>
  <si>
    <t>1954</t>
  </si>
  <si>
    <t>..\..\Acquisti\2025\EV\FATTURE\EV - NSA ft 1954 del 30-09-2025.pdf</t>
  </si>
  <si>
    <t>olimpia s.r.l. unipersonale</t>
  </si>
  <si>
    <t>E5-0043714</t>
  </si>
  <si>
    <t>..\..\Acquisti\2025\EV\FATTURE\EV - OLIMPIA SRL ft 43714 del 13-01-2025.pdf</t>
  </si>
  <si>
    <t xml:space="preserve">VIA CESARE BATTISTI 102_ GAZZANIGA </t>
  </si>
  <si>
    <t>E5-0129107</t>
  </si>
  <si>
    <t>..\..\Acquisti\2025\EV\FATTURE\EV - OLIMPIA ft 0129107 del 07-02-2025.pdf</t>
  </si>
  <si>
    <t>E5-0216656</t>
  </si>
  <si>
    <t>..\..\Acquisti\2025\EV\FATTURE\EV - OLIMPIA SRL ft 216656 del 11-03-2025.pdf</t>
  </si>
  <si>
    <t>UFFICIO GAZZANIGA</t>
  </si>
  <si>
    <t>E5-0302157</t>
  </si>
  <si>
    <t>..\..\Acquisti\2025\EV\FATTURE\EV - OLIMPIA SRL ft 302157 del 09-04-2025.pdf</t>
  </si>
  <si>
    <t>E5-0386046</t>
  </si>
  <si>
    <t>..\..\Acquisti\2025\EV\FATTURE\EV - OLIMPIA SRL ft 356046 del 12-05-2025.pdf</t>
  </si>
  <si>
    <t>E5-0386042</t>
  </si>
  <si>
    <t>..\..\Acquisti\2025\EV\FATTURE\EV - OLIMPIA SRL ft 386042 del 12-05-2025.pdf</t>
  </si>
  <si>
    <t xml:space="preserve">UFFICIO GAZZANIGA </t>
  </si>
  <si>
    <t>p</t>
  </si>
  <si>
    <t>E5-0467962</t>
  </si>
  <si>
    <t>..\..\Acquisti\2025\EV\FATTURE\EV - OLIMPIA ft 467962 del 09-06-2025.pdf</t>
  </si>
  <si>
    <t>E5-0467958</t>
  </si>
  <si>
    <t>..\..\Acquisti\2025\EV\FATTURE\EV - OLIMPIA ft 467958 del 09-06-2025.pdf</t>
  </si>
  <si>
    <t>E5- 0550944</t>
  </si>
  <si>
    <t>..\..\Acquisti\2025\EV\FATTURE\EV - OLIMPIA ft 550944 del 10-07-2025.pdf</t>
  </si>
  <si>
    <t>E5-0550939</t>
  </si>
  <si>
    <t>..\..\Acquisti\2025\EV\FATTURE\EV - OLIMPIA ft 550939 del 10-07-2025.pdf</t>
  </si>
  <si>
    <t>E5-0633852</t>
  </si>
  <si>
    <t>..\..\Acquisti\2025\EV\FATTURE\EV - OLIMPIA ft 0633852 del 07-08-2025.pdf</t>
  </si>
  <si>
    <t>E5-0633847</t>
  </si>
  <si>
    <t>..\..\Acquisti\2025\EV\FATTURE\EV - OLIMPIA ft 0633847 del 07-08-2025.pdf</t>
  </si>
  <si>
    <t>E5-0716778</t>
  </si>
  <si>
    <t>..\..\Acquisti\2025\EV\FATTURE\EV - OLIMPIA ft 0716778 del 09-09-2025.pdf</t>
  </si>
  <si>
    <t>E5-0716774</t>
  </si>
  <si>
    <t>..\..\Acquisti\2025\EV\FATTURE\EV - OLIMPIA SRL ft 0716774 del 09-09-2025.pdf</t>
  </si>
  <si>
    <t>E5-0799640</t>
  </si>
  <si>
    <t>..\..\Acquisti\2025\EV\FATTURE\EV - OLIMPIA SRL ft 799640 del 08-10-2025.pdf</t>
  </si>
  <si>
    <t>E5-0799636</t>
  </si>
  <si>
    <t>..\..\Acquisti\2025\EV\FATTURE\EV - OLIMPIA SRL ft 799636 del 08-10-2025.pdf</t>
  </si>
  <si>
    <t>E5-0884510</t>
  </si>
  <si>
    <t>UFFICIO GAZZANIGA _OTTOBRE 25</t>
  </si>
  <si>
    <t>E5-0884514</t>
  </si>
  <si>
    <t>VIA CESARE BATTISTI 102_ GAZZANIGA _ OTTOBRE 25</t>
  </si>
  <si>
    <t xml:space="preserve">SEPA DIRECT </t>
  </si>
  <si>
    <t>E5-0966676</t>
  </si>
  <si>
    <t>UFFICIO GAZZANIGA _NOVEMBRE  25</t>
  </si>
  <si>
    <t>E5-0966679</t>
  </si>
  <si>
    <t>VIA CESARE BATTISTI 102_ GAZZANIGA _ NOVEMBRE 25</t>
  </si>
  <si>
    <t>oltrevino di antonio lacerenza</t>
  </si>
  <si>
    <t>..\..\Acquisti\2025\EV\FATTURE\EV - OLTREVINO DI ANTONIO LACERENZA ft 11 del 14-02-2025.pdf</t>
  </si>
  <si>
    <t>original salads srl</t>
  </si>
  <si>
    <t>..\..\Acquisti\2025\EV\FATTURE\EV - ORIGINAL SALADS ft 465 del 15-04-2025.pdf</t>
  </si>
  <si>
    <t>767</t>
  </si>
  <si>
    <t>..\..\Acquisti\2025\EV\FATTURE\EV - ORIGINAL SALADS ft 767 del 18-06-2025.pdf</t>
  </si>
  <si>
    <t>p.f.a sas</t>
  </si>
  <si>
    <t>498</t>
  </si>
  <si>
    <t>..\..\Acquisti\2025\EV\FATTURE\EV - P.F.A. SAS ft 498 del 12-09-2025.pdf</t>
  </si>
  <si>
    <t>parcheggi italia spa</t>
  </si>
  <si>
    <t>602000269P</t>
  </si>
  <si>
    <t>..\..\Acquisti\2025\EV\FATTURE\EV - PARCHEGGI ITALIA SPA  ft 269 del 30-01-2025</t>
  </si>
  <si>
    <t xml:space="preserve">pop sondrio </t>
  </si>
  <si>
    <t>214000311P</t>
  </si>
  <si>
    <t>..\..\Acquisti\2025\EV\FATTURE\EV - PARCHEGGI ITALIA SPA ft 311 del 30-01-2025.pdf</t>
  </si>
  <si>
    <t>166001227P</t>
  </si>
  <si>
    <t>..\..\Acquisti\2025\EV\FATTURE\EV - PARCHEGGI ITALIA SPA ft 1227 del 30-01-2025.pdf</t>
  </si>
  <si>
    <t>108000613P</t>
  </si>
  <si>
    <t>..\..\Acquisti\2025\EV\FATTURE\EV - PARCHEGGI ITALIA SPA ft 613 del 30-01-2025.pdf</t>
  </si>
  <si>
    <t>108006460P</t>
  </si>
  <si>
    <t>..\..\Acquisti\2025\EV\FATTURE\EV - PARCHEGGI ITALIA SPA ft 6460 del 28-02-2025.pdf</t>
  </si>
  <si>
    <t>Soste Parcheggi</t>
  </si>
  <si>
    <t>602003164P</t>
  </si>
  <si>
    <t>..\..\Acquisti\2025\EV\FATTURE\EV - PARCHEGGI ITALIA SPA ft 602003164 del 30-03-2025.pdf</t>
  </si>
  <si>
    <t>214003223P</t>
  </si>
  <si>
    <t>..\..\Acquisti\2025\EV\FATTURE\EV - PARCHEGGI ITALIA SPA ft 214003223 del 30-03-2025.pdf</t>
  </si>
  <si>
    <t>108007679P</t>
  </si>
  <si>
    <t>..\..\Acquisti\2025\EV\FATTURE\EV - PARCHEGGI ITALIA SPA ft 108007679 del 30-03-2025.pdf</t>
  </si>
  <si>
    <t>soste parcheggi</t>
  </si>
  <si>
    <t>108011494P</t>
  </si>
  <si>
    <t>..\..\Acquisti\2025\EV\FATTURE\EV - PARCHEGGI ITALIA SPA ft 108011494 del 30-04-2025.pdf</t>
  </si>
  <si>
    <t>108015281</t>
  </si>
  <si>
    <t>..\..\Acquisti\2025\EV\FATTURE\EV - PARCHEGGI ITALIA SPA ft 108015281 del 30-05-2025.pdf</t>
  </si>
  <si>
    <t>214007200P</t>
  </si>
  <si>
    <t>..\..\Acquisti\2025\EV\FATTURE\EV - PARCHEGGI ITALIA SPA ft 7200 del 30-06-2025.pdf</t>
  </si>
  <si>
    <t>108018888P</t>
  </si>
  <si>
    <t>..\..\Acquisti\2025\EV\FATTURE\EV - PARCHEGGI ITALIA SPA ft 18888 del 30-06-2025.pdf</t>
  </si>
  <si>
    <t>108019866P</t>
  </si>
  <si>
    <t>..\..\Acquisti\2025\EV\FATTURE\EV - PARCHEGGI ITALIA ft 1080019866P del 30-07-2025.pdf</t>
  </si>
  <si>
    <t>602011310P</t>
  </si>
  <si>
    <t>..\..\Acquisti\2025\EV\FATTURE\EV - PARCHEGGI ITALIA SPA ft 602011310P fdel 30-08-2025.pdf</t>
  </si>
  <si>
    <t>108023561P</t>
  </si>
  <si>
    <t>..\..\Acquisti\2025\EV\FATTURE\EV - PARCHEGGI ITALIA SPA ft 108023561P del 30-08-2025.pdf</t>
  </si>
  <si>
    <t>214009126P</t>
  </si>
  <si>
    <t>..\..\Acquisti\2025\EV\FATTURE\EV - PARCHEGGI ITALIA SPA ft 214009126P del 30-09-2025.pdf</t>
  </si>
  <si>
    <t>108024826P</t>
  </si>
  <si>
    <t>..\..\Acquisti\2025\EV\FATTURE\EV - PARCHEGGI ITALIA SPA ft 108024826P del 30-09-2025.pdf</t>
  </si>
  <si>
    <t>108028086P</t>
  </si>
  <si>
    <t>108032058P</t>
  </si>
  <si>
    <t>pc genesi di bosio ferruccio</t>
  </si>
  <si>
    <t>FPR15/25</t>
  </si>
  <si>
    <t>..\..\Acquisti\2025\EV\FATTURE\EV - PC GENESI ft 15 del 31-03-2025.pdf</t>
  </si>
  <si>
    <t>p&amp;p lmc srl</t>
  </si>
  <si>
    <t>1149B</t>
  </si>
  <si>
    <t>..\..\Acquisti\2025\EV\FATTURE\EV - P&amp;P LMC SRL ft 1149+ del 03-10-2025.pdf</t>
  </si>
  <si>
    <t>1432B</t>
  </si>
  <si>
    <t xml:space="preserve">VIA CAVLERA _ VERTOVA </t>
  </si>
  <si>
    <t>pedretti s.r.l.</t>
  </si>
  <si>
    <t>FVI2500079</t>
  </si>
  <si>
    <t>..\..\Acquisti\2025\EV\FATTURE\EV - PEDRETTI SRL ft 79 del 27-01-2025.pdf</t>
  </si>
  <si>
    <t>Ri.Ba</t>
  </si>
  <si>
    <t>RESISUO PRIMA TRANCHE FT 079</t>
  </si>
  <si>
    <t>RESISUO SECONDA TRANCHE FT 079</t>
  </si>
  <si>
    <t>Bergamo, via Ghislandi_ ACCONTO FT 079</t>
  </si>
  <si>
    <t>BG lug/ago</t>
  </si>
  <si>
    <t>pesce roberto geom.</t>
  </si>
  <si>
    <t>10/25</t>
  </si>
  <si>
    <t>Finale Ligure</t>
  </si>
  <si>
    <t xml:space="preserve">PAGAMENTO FATTO ALLA COLLEGA </t>
  </si>
  <si>
    <t>9/25</t>
  </si>
  <si>
    <t xml:space="preserve">RELAZIONE RRE FINALE LIGURE </t>
  </si>
  <si>
    <t>per più soluzioni srl</t>
  </si>
  <si>
    <t>258</t>
  </si>
  <si>
    <t>..\..\Acquisti\2025\EV\FATTURE\EV _ PER PIU SOLUZIONI ft 258 del 01-08-2025.pdf</t>
  </si>
  <si>
    <t xml:space="preserve">pranzo _ LA PATTA </t>
  </si>
  <si>
    <t>431</t>
  </si>
  <si>
    <t>..\..\Acquisti\2025\EV\FATTURE\EV - PER PIU SOLUZIONI ft 431 del 01-09-2025.pdf</t>
  </si>
  <si>
    <t>689</t>
  </si>
  <si>
    <t>..\..\Acquisti\2025\EV\FATTURE\EV - PER PIU SOLUZIONI ft 689 del 30-09-2025.pdf</t>
  </si>
  <si>
    <t xml:space="preserve">Pranzo _ LA PATTA </t>
  </si>
  <si>
    <t>1054</t>
  </si>
  <si>
    <t>04/11/225</t>
  </si>
  <si>
    <t xml:space="preserve">MENU FISSO _ LA PATTA </t>
  </si>
  <si>
    <t xml:space="preserve">PAGATO CON CARTA PREPAGATA </t>
  </si>
  <si>
    <t>1323</t>
  </si>
  <si>
    <t>piccardi marina</t>
  </si>
  <si>
    <t>vendita app. finale ligure _ ASS. NR 0210438639-08</t>
  </si>
  <si>
    <t xml:space="preserve">assegno </t>
  </si>
  <si>
    <t>poggio carlo</t>
  </si>
  <si>
    <t>proforma 34/2020</t>
  </si>
  <si>
    <t>Bernareggio</t>
  </si>
  <si>
    <t>pit stop revolution</t>
  </si>
  <si>
    <t>1641</t>
  </si>
  <si>
    <t>21/10/2025</t>
  </si>
  <si>
    <t xml:space="preserve">faro ducia duster _ incidente Gabriele </t>
  </si>
  <si>
    <t>22/25</t>
  </si>
  <si>
    <t>28/11/2025</t>
  </si>
  <si>
    <t>pixartprinting spa</t>
  </si>
  <si>
    <t>7251143137</t>
  </si>
  <si>
    <t>..\..\Acquisti\2025\EV\FATTURE\EV - PIXARTRINTING ft 7251143137 del 26-02-2025.pdf</t>
  </si>
  <si>
    <t>poker di grassi danilo</t>
  </si>
  <si>
    <t>85/25</t>
  </si>
  <si>
    <t>..\..\Acquisti\2025\EV\FATTURE\EV - POKER DI GRASSI DANILO ft 85 del 28-02-2025.pdf</t>
  </si>
  <si>
    <t>Torre Boldone</t>
  </si>
  <si>
    <t>poma mario srl</t>
  </si>
  <si>
    <t>852</t>
  </si>
  <si>
    <t>..\..\Acquisti\2025\EV\FATTURE\EV - POMA MARIO SRL ft 852 del 13-03-2025.pdf</t>
  </si>
  <si>
    <t>prean srl</t>
  </si>
  <si>
    <t>679</t>
  </si>
  <si>
    <t>..\..\Acquisti\2025\EV\FATTURE\EV - PREAN ft 679 del 14-01-2025.pdf</t>
  </si>
  <si>
    <t>11223</t>
  </si>
  <si>
    <t>..\..\Acquisti\2025\EV\FATTURE\EV - PREAN ft 11223 del 20-06-2025.pdf</t>
  </si>
  <si>
    <t>project s.r.l.</t>
  </si>
  <si>
    <t>73/E</t>
  </si>
  <si>
    <t>..\..\Acquisti\2025\EV\FATTURE\EV - PROJECT SRL ft 73 del 14-04-2025.pdf</t>
  </si>
  <si>
    <t>punto gru di romano giuseppe</t>
  </si>
  <si>
    <t>225</t>
  </si>
  <si>
    <t>..\..\Acquisti\2025\EV\FATTURE\EV - PUNTO GRU DI ROMANO GIUSEPPE ft 225 del 19-07-2025.pdf</t>
  </si>
  <si>
    <t>verifica funi trimestrale</t>
  </si>
  <si>
    <t>raz snc di razmasa davide e dario</t>
  </si>
  <si>
    <t>125000068</t>
  </si>
  <si>
    <t>..\..\Acquisti\2025\EV\FATTURE\EV - RAZ SNC ft 125000068 del 11-06-2025.pdf</t>
  </si>
  <si>
    <t>CESSIONE FISCALE</t>
  </si>
  <si>
    <t>rbp srl</t>
  </si>
  <si>
    <t>08</t>
  </si>
  <si>
    <t>..\..\..\Acquisti\2024\EV\Fatture\EV - RBP ft 08 del 31-01-2024.pdf</t>
  </si>
  <si>
    <t>BG, Scanzo</t>
  </si>
  <si>
    <t>Cessione crediti</t>
  </si>
  <si>
    <t>238</t>
  </si>
  <si>
    <t>..\..\..\Acquisti\2024\EV\Fatture\EV - RBP ft 238 del 30-04-2024.pdf</t>
  </si>
  <si>
    <t>BG</t>
  </si>
  <si>
    <t>303</t>
  </si>
  <si>
    <t>C:\Users\Ufficio\Desktop\Amministrazione\Acquisti\2024\EV\Fatture\EV - RBP ft 303 del 31-05-2024.pdf</t>
  </si>
  <si>
    <t>Torre Boldone - Via Kennedy</t>
  </si>
  <si>
    <t>417</t>
  </si>
  <si>
    <t>C:\Users\Ufficio\Desktop\Amministrazione\Acquisti\2024\EV\Fatture\EV - RBP ft -417 del 31-07-2024.pdf</t>
  </si>
  <si>
    <t>449</t>
  </si>
  <si>
    <t>Amministrazione\Acquisti\2024\EV\Fatture\EV - RBP ft 449 del 31-08-2024.pdf</t>
  </si>
  <si>
    <t>549</t>
  </si>
  <si>
    <t>C:\Users\Ufficio\Desktop\Amministrazione\Acquisti\2024\EV\Fatture\EV - RBP ft 549 del 30-09-2024.pdf</t>
  </si>
  <si>
    <t>663</t>
  </si>
  <si>
    <t>C:\Users\Ufficio\Desktop\Amministrazione\Acquisti\2024\EV\Fatture\EV - RBP ft 663 del 30-11-2024.pdf</t>
  </si>
  <si>
    <t>726</t>
  </si>
  <si>
    <t>C:\Users\Ufficio\Desktop\Amministrazione\Acquisti\2024\EV\Fatture\EV - RBP ft 726 del 30-12-2024.pdf</t>
  </si>
  <si>
    <t>..\..\Acquisti\2025\EV\FATTURE\EV - RBP ft 159 del 31-03-2025.pdf</t>
  </si>
  <si>
    <t>192</t>
  </si>
  <si>
    <t>..\..\Acquisti\2025\EV\FATTURE\EV - RBP ft 192 del 30-04-2025.pdf</t>
  </si>
  <si>
    <t>264</t>
  </si>
  <si>
    <t>..\..\Acquisti\2025\EV\FATTURE\EV - RBP ft 264 del 30-05-2025.pdf</t>
  </si>
  <si>
    <t>353</t>
  </si>
  <si>
    <t>..\..\Acquisti\2025\EV\FATTURE\EV - RBP ft 353 del 30-06-2025.pdf</t>
  </si>
  <si>
    <t xml:space="preserve">riparazione </t>
  </si>
  <si>
    <t>348</t>
  </si>
  <si>
    <t>..\..\Acquisti\2025\EV\FATTURE\EV - RBP ft 348 del 30-06-2025.pdf</t>
  </si>
  <si>
    <t>register spa</t>
  </si>
  <si>
    <t>6225143313</t>
  </si>
  <si>
    <t>..\..\Acquisti\2025\EV\FATTURE\EV - REGISTER SPA ft 6225143313 del 26-03-2025.pdf</t>
  </si>
  <si>
    <t>repower vendita italia</t>
  </si>
  <si>
    <t>2025E71453</t>
  </si>
  <si>
    <t>..\..\Acquisti\2025\EV\FATTURE\EV- REPOWER VENDITA ITALIA ft 71453 del 13-02-2025.pdf</t>
  </si>
  <si>
    <t>2025E125410</t>
  </si>
  <si>
    <t>..\..\Acquisti\2025\EV\FATTURE\EV - REPOWER ft 25410 del 18-03-2025.pdf</t>
  </si>
  <si>
    <t>finale Ligure</t>
  </si>
  <si>
    <t>residenza paradiso srl</t>
  </si>
  <si>
    <t>95</t>
  </si>
  <si>
    <t>C:\Users\Ufficio\Desktop\Amministrazione\Acquisti\2024\EV\Fatture\EV - RESIDENZA PARADISO ft 95 del 04-09-2024.pdf</t>
  </si>
  <si>
    <t xml:space="preserve">Bergamo, Via Ghislandi  </t>
  </si>
  <si>
    <t>128</t>
  </si>
  <si>
    <t>C:\Users\Ufficio\Desktop\Amministrazione\Acquisti\2024\EV\Fatture\EV - RESIDENZA PARADISO ft 128 del 21-10-2024.pdf</t>
  </si>
  <si>
    <t>Bergamo; Via Ghislandi</t>
  </si>
  <si>
    <t>residenza  paradiso srl</t>
  </si>
  <si>
    <t>..\..\Acquisti\2025\EV\FATTURE\EV - RESIDENZA PARADISO nc 2 del 20-05-2025.pdf</t>
  </si>
  <si>
    <t>rinaldi kristian</t>
  </si>
  <si>
    <t>..\..\Acquisti\2025\EV\FATTURE\EV - RINALDI KRISTIAN ft 1 del 25-06-2025.pdf</t>
  </si>
  <si>
    <t>Varie</t>
  </si>
  <si>
    <t>45940</t>
  </si>
  <si>
    <t>\</t>
  </si>
  <si>
    <t>rinaldi giulia</t>
  </si>
  <si>
    <t>..\..\Acquisti\2025\EV\FATTURE\EV - RINALDI GIULIA ft 41 del 04-04-2025.pdf</t>
  </si>
  <si>
    <t>compenso per collab. Tecnica - Ghislandi</t>
  </si>
  <si>
    <t>ristorante pizzeria centauri di merelli annamaria</t>
  </si>
  <si>
    <t>125000956</t>
  </si>
  <si>
    <t>..\..\Acquisti\2025\EV\FATTURE\EV - MERELLI ANNAMARIA ft 125000956 del 15-05-2025.pdf</t>
  </si>
  <si>
    <t>125000969</t>
  </si>
  <si>
    <t>..\..\Acquisti\2025\EV\FATTURE\EV - MERELLI ANNAMARIA ft 125000969 del 16-05-2025.pdf</t>
  </si>
  <si>
    <t>125000987</t>
  </si>
  <si>
    <t>..\..\Acquisti\2025\EV\FATTURE\EV- MERELLI ANNAMARIA ft 125000987 del 19-05-2025.pdf</t>
  </si>
  <si>
    <t>125001272</t>
  </si>
  <si>
    <t>..\..\Acquisti\2025\EV\FATTURE\EV - RISTORANTE PIZZERIA CENTAURI ft 1272 del 30-06-2025.pdf</t>
  </si>
  <si>
    <t>125001296</t>
  </si>
  <si>
    <t>..\..\Acquisti\2025\EV\FATTURE\EV - RISTORANTE PIZZERIA CENTAURI ft 1296 del 02-07-2025.pdf</t>
  </si>
  <si>
    <t>rocca giuseppe</t>
  </si>
  <si>
    <t>9-FE</t>
  </si>
  <si>
    <t>..\..\Acquisti\2025\EV\FATTURE\EV- ROCCA GIUSEPPE ft 9 del 05-02-2025.pdf</t>
  </si>
  <si>
    <t>porte  kennedy</t>
  </si>
  <si>
    <t>11-FE</t>
  </si>
  <si>
    <t>..\..\Acquisti\2025\EV\FATTURE\EV - ROCCA GIUSEPPE ft 11 del 25-02-2025.pdf</t>
  </si>
  <si>
    <t>15-FE</t>
  </si>
  <si>
    <t>..\..\Acquisti\2025\EV\FATTURE\EV - ROCCA GIUSEPPE ft 15 del 27-03-2025.pdf</t>
  </si>
  <si>
    <t>rubinetteria shop srl</t>
  </si>
  <si>
    <t>12090</t>
  </si>
  <si>
    <t>..\..\Acquisti\2025\EV\FATTURE\EV - RUBINETTERIA SHOP SRL ft 12090 del 27-07-2025.pdf</t>
  </si>
  <si>
    <t>ruggipav sas di trapletti ruggero &amp;c.</t>
  </si>
  <si>
    <t>187/2024</t>
  </si>
  <si>
    <t>C:\Users\Ufficio\Desktop\Amministrazione\Acquisti\2024\EV\Fatture\EV - RUGGIPAV SAS ft 187 del 31-10-2024.pdf</t>
  </si>
  <si>
    <t>Scanzorosciate, via Trento</t>
  </si>
  <si>
    <t>215/2024</t>
  </si>
  <si>
    <t>C:\Users\Ufficio\Desktop\Amministrazione\Acquisti\2024\EV\Fatture\EV - RUGGIPAV ft 215 del 30-12-2024.pdf</t>
  </si>
  <si>
    <t>Bergamo</t>
  </si>
  <si>
    <t>260/2025</t>
  </si>
  <si>
    <t>259/2025</t>
  </si>
  <si>
    <t xml:space="preserve">BERGAMO </t>
  </si>
  <si>
    <t>s.e.a. s.r.l.</t>
  </si>
  <si>
    <t>..\..\Acquisti\2025\EV\FATTURE\EV - S.E.A. SRL ft 2 del 16-01-2025.pdf</t>
  </si>
  <si>
    <t>salvetti srl</t>
  </si>
  <si>
    <t>112/I</t>
  </si>
  <si>
    <t>..\..\..\Acquisti\2024\EV\Fatture\EV - SALVETTI ft 112 del 11-04-2024.pdf</t>
  </si>
  <si>
    <t>TB, via Mirabella - saldo</t>
  </si>
  <si>
    <t>113/I</t>
  </si>
  <si>
    <t>..\..\..\Acquisti\2024\EV\Fatture\EV - SALVETTI ft 113 del 11-04-2024.pdf</t>
  </si>
  <si>
    <t>Ranica - saldo</t>
  </si>
  <si>
    <t>RATEI FT 185-182</t>
  </si>
  <si>
    <t xml:space="preserve">PIANO DI RIENTRO </t>
  </si>
  <si>
    <t xml:space="preserve">Bonifico </t>
  </si>
  <si>
    <t>185/I</t>
  </si>
  <si>
    <t>..\..\Acquisti\2025\EV\FATTURE\EV - SALVETTI SRL ft 185 del 26-05-2025.pdf</t>
  </si>
  <si>
    <t xml:space="preserve">TOT DEBITO </t>
  </si>
  <si>
    <t>182/I</t>
  </si>
  <si>
    <t>..\..\Acquisti\2025\EV\FATTURE\EV - SALVETTI SRL ft 182 del 26-05-2025.pdf</t>
  </si>
  <si>
    <t>RESIDUO</t>
  </si>
  <si>
    <t xml:space="preserve">CESSIONE CREDITI FISCALI </t>
  </si>
  <si>
    <t xml:space="preserve">CREDITI FISCALI </t>
  </si>
  <si>
    <t xml:space="preserve">CREDITI </t>
  </si>
  <si>
    <t>25000</t>
  </si>
  <si>
    <t>238/I</t>
  </si>
  <si>
    <t>..\..\Acquisti\2025\EV\FATTURE\EV - SALVETTI SRL ft 238 del 14-07-2025.pdf</t>
  </si>
  <si>
    <t>10/0/2025</t>
  </si>
  <si>
    <t>ser car ristorazione collettiva spa</t>
  </si>
  <si>
    <t>22067</t>
  </si>
  <si>
    <t>..\..\Acquisti\2025\EV\FATTURE\EV - SER CAR ft 22067 del 20-06-2025.pdf</t>
  </si>
  <si>
    <t>22094</t>
  </si>
  <si>
    <t>..\..\Acquisti\2025\EV\FATTURE\EV - SER CAR ft 22094 del 24-06-2025.pdf</t>
  </si>
  <si>
    <t>22111</t>
  </si>
  <si>
    <t>..\..\Acquisti\2025\EV\FATTURE\EV - SER CAR ft 22111 del 25-06-2025.pdf</t>
  </si>
  <si>
    <t>22128</t>
  </si>
  <si>
    <t>..\..\Acquisti\2025\EV\FATTURE\EV - SER CAR ft 22128 del 26-06-2025.pdf</t>
  </si>
  <si>
    <t>prenzo</t>
  </si>
  <si>
    <t>22143</t>
  </si>
  <si>
    <t>..\..\Acquisti\2025\EV\FATTURE\EV - SER CAR ft 22143 del 27-06-2025.pdf</t>
  </si>
  <si>
    <t>22182</t>
  </si>
  <si>
    <t>..\..\Acquisti\2025\EV\FATTURE\EV - SER CAR ft 22182 del 30-06-2025.pdf</t>
  </si>
  <si>
    <t>22196</t>
  </si>
  <si>
    <t>01/07/225</t>
  </si>
  <si>
    <t>..\..\Acquisti\2025\EV\FATTURE\EV - SER CAR ft 22196 del 01-07-2025.pdf</t>
  </si>
  <si>
    <t>22215</t>
  </si>
  <si>
    <t>..\..\Acquisti\2025\EV\FATTURE\EV - SER CAR ft 22215 del 02-07-2025.pdf</t>
  </si>
  <si>
    <t>22240</t>
  </si>
  <si>
    <t>..\..\Acquisti\2025\EV\FATTURE\EV - SER CAR ft 22240 del 03-07-2025.pdf</t>
  </si>
  <si>
    <t>22262</t>
  </si>
  <si>
    <t>..\..\Acquisti\2025\EV\FATTURE\EV - SER CAR ft 22262 del 04-07-2025.pdf</t>
  </si>
  <si>
    <t>22278</t>
  </si>
  <si>
    <t>..\..\Acquisti\2025\EV\FATTURE\EV - SER CAR ft 22278 del 07-07-2025.pdf</t>
  </si>
  <si>
    <t>22599</t>
  </si>
  <si>
    <t>..\..\Acquisti\2025\EV\FATTURE\EV - SER CAR ft 22599 del 31-07-2025.pdf</t>
  </si>
  <si>
    <t xml:space="preserve">POPOLARE DI SONDRIO </t>
  </si>
  <si>
    <t>22795</t>
  </si>
  <si>
    <t>..\..\Acquisti\2025\EV\FATTURE\EV - SER CAR ft 22795 del 29-08-2025.pdf</t>
  </si>
  <si>
    <t>service precast srl</t>
  </si>
  <si>
    <t>..\..\Acquisti\2025\EV\FATTURE\EV - SERVICE PRECAST nc 1 del 07-01-2025.pdf</t>
  </si>
  <si>
    <t>Storno parziale fattura n. 55 del 05/09/2024</t>
  </si>
  <si>
    <t>sessantini impianti srl</t>
  </si>
  <si>
    <t>249</t>
  </si>
  <si>
    <t>..\..\Acquisti\2025\EV\FATTURE\EV - SESSANTI IMPIANTI SRL ft 249 del 31-05-2025.pdf</t>
  </si>
  <si>
    <t>Via Gaito, torre Boldone</t>
  </si>
  <si>
    <t>DA POP SO _ ACCONTO DI 3,395,00 IL 20,10,2025</t>
  </si>
  <si>
    <t>275</t>
  </si>
  <si>
    <t>..\..\Acquisti\2025\EV\FATTURE\EV - SESSANTINI IMPIANTI SRL ft 275 del 31-05-2025.pdf</t>
  </si>
  <si>
    <t>Via Cadelora, Vertova</t>
  </si>
  <si>
    <t>DA BPER 80875 _ SALDO DI 2300 IL 21,10,2025</t>
  </si>
  <si>
    <t>416</t>
  </si>
  <si>
    <t>..\..\Acquisti\2025\EV\FATTURE\EV - SESSANTINI IMPIANTI SRL ft 416 del 18-08-2025.pdf</t>
  </si>
  <si>
    <t>ATTENDIAMO FATTURA ELETT</t>
  </si>
  <si>
    <t>sklum</t>
  </si>
  <si>
    <t>F17-9865</t>
  </si>
  <si>
    <t xml:space="preserve">SEDIE DA GIARDINO </t>
  </si>
  <si>
    <t>CARTA ILARIA</t>
  </si>
  <si>
    <t>spelgatti srl</t>
  </si>
  <si>
    <t>256</t>
  </si>
  <si>
    <t>..\..\Acquisti\2025\EV\FATTURE\EV - SPELGATTI ft 256 del 31-01-2025.pdf</t>
  </si>
  <si>
    <t>257</t>
  </si>
  <si>
    <t>..\..\Acquisti\2025\EV\FATTURE\EV - SPELGATTI ft 257 del 31-01-2025.pdf</t>
  </si>
  <si>
    <t>2854</t>
  </si>
  <si>
    <t>C:\Users\Ufficio\Desktop\Amministrazione\Acquisti\2024\EV\Fatture\EV - SPELGATTI ft 2854 del 31-10-2024.pdf</t>
  </si>
  <si>
    <t>importo dato da € 2276,38+ spese legali e interessi</t>
  </si>
  <si>
    <t>bonifico disposto da beppe</t>
  </si>
  <si>
    <t>529</t>
  </si>
  <si>
    <t>..\..\Acquisti\2025\EV\FATTURE\EV - SPELGATTI ft 529 del 28-02-2025.pdf</t>
  </si>
  <si>
    <t>Deposito gru Bergamo</t>
  </si>
  <si>
    <t>817</t>
  </si>
  <si>
    <t>..\..\Acquisti\2025\EV\FATTURE\EV - SPELGATTI ft 817 del 31-03-2025.pdf</t>
  </si>
  <si>
    <t>1098</t>
  </si>
  <si>
    <t>..\..\Acquisti\2025\EV\FATTURE\EV - SPELGATTI ft 1098 del 30-04-2025.pdf</t>
  </si>
  <si>
    <t>1342</t>
  </si>
  <si>
    <t>..\..\Acquisti\2025\EV\FATTURE\EV - SPELGATTI ft 1342 del 31-05-2025.pdf</t>
  </si>
  <si>
    <t>1554</t>
  </si>
  <si>
    <t>stella home srl</t>
  </si>
  <si>
    <t>158</t>
  </si>
  <si>
    <t>..\..\Acquisti\2025\EV\FATTURE\EV - STELLA HOME ft 158 del 29-08-2025.pdf</t>
  </si>
  <si>
    <t>studio giagnoni stp srl</t>
  </si>
  <si>
    <t>pr84/2025</t>
  </si>
  <si>
    <t>Proforma per compensi amministrazione del personale</t>
  </si>
  <si>
    <t>262</t>
  </si>
  <si>
    <t>studio giagnoni stp s.r.l.</t>
  </si>
  <si>
    <t>126</t>
  </si>
  <si>
    <t>281</t>
  </si>
  <si>
    <t>283</t>
  </si>
  <si>
    <t>Pagato proforma 281 del 13/07/2025</t>
  </si>
  <si>
    <t>AMMINISTRAZIONE DEL PERSONALE 7-8-9/2025</t>
  </si>
  <si>
    <t>pr321</t>
  </si>
  <si>
    <t>Proforma per competenze pratica edilvertova/Cecchin srl</t>
  </si>
  <si>
    <t>studio notarile associato tucci turconi</t>
  </si>
  <si>
    <t>132</t>
  </si>
  <si>
    <t>..\..\Acquisti\2025\EV\FATTURE\EV - STUDIO NOTARILE TUCCI ft 132 del 20-01-2025.pdf</t>
  </si>
  <si>
    <t>Atto di cancellazione ipotecaria</t>
  </si>
  <si>
    <t>2644</t>
  </si>
  <si>
    <t>C:\Users\Ufficio\Desktop\Amministrazione\Acquisti\2024\EV\Fatture\EV - STUDIO NOTARILE TUCCI TURCONI ft 2644 del 07-08-2024.pdf</t>
  </si>
  <si>
    <t>ATTO NOTARILE GHILARIDNI ILARIA</t>
  </si>
  <si>
    <t>4440</t>
  </si>
  <si>
    <t>C:\Users\Ufficio\Desktop\Amministrazione\Acquisti\2024\EV\Fatture\EV - STUDIO NOTARILE TUCCI TURCONI ft 4440 del 24-12-2024.pdf</t>
  </si>
  <si>
    <t>Atto notarile</t>
  </si>
  <si>
    <t>4439</t>
  </si>
  <si>
    <t>C:\Users\Ufficio\Desktop\Amministrazione\Acquisti\2024\EV\Fatture\EV -STUDIO NOTARILE TUCCI TURCONI ft 4439 del 24-12-2024.pdf</t>
  </si>
  <si>
    <t>4438</t>
  </si>
  <si>
    <t>C:\Users\Ufficio\Desktop\Amministrazione\Acquisti\2024\EV\Fatture\EV - STUDIO NOTARILE TUCCI TURCONI ft 4438 del 24-12-2024.pdf</t>
  </si>
  <si>
    <t>4437</t>
  </si>
  <si>
    <t>C:\Users\Ufficio\Desktop\Amministrazione\Acquisti\2024\EV\Fatture\EV - STUDIO NOTARILE TUCCI TURCONI ft 4437 del 24-12-2024.pdf</t>
  </si>
  <si>
    <t>system project srl</t>
  </si>
  <si>
    <t>137</t>
  </si>
  <si>
    <t>..\..\Acquisti\2025\EV\FATTURE\EV- SYSTEM PROJECT ft 137 del 31-01-2025.pdf</t>
  </si>
  <si>
    <t>pagamento acconto fattura 1390 e saldo fatture precedenti</t>
  </si>
  <si>
    <t>1698/00</t>
  </si>
  <si>
    <t>C:\Users\Ufficio\Desktop\Amministrazione\Acquisti\2024\EV\Fatture\EV - SYSTEM PROJECT ft 1698 del 31-05-2024.pdf</t>
  </si>
  <si>
    <t>Ufficio - fotocopiatrice a colori + b/n,</t>
  </si>
  <si>
    <t>3612/00</t>
  </si>
  <si>
    <t>C:\Users\Ufficio\Desktop\Amministrazione\Acquisti\2024\EV\Fatture\EV - SYSTEM PROJECT ft 3612 del 31-10-2024.pdf</t>
  </si>
  <si>
    <t>Ufficio - fotocopiatrice a colori + b/n</t>
  </si>
  <si>
    <t>1390/00</t>
  </si>
  <si>
    <t>..\..\Acquisti\2025\EV\FATTURE\EV - SYSTEM PROJECT ft 1390 del 30-04-2025.pdf</t>
  </si>
  <si>
    <t>2301/00</t>
  </si>
  <si>
    <t>..\..\Acquisti\2025\EV\FATTURE\EV - SYSTEM PROJECT ft 2301 del 31-07-2025.pdf</t>
  </si>
  <si>
    <t>noleggio fotocopiatrice</t>
  </si>
  <si>
    <t>3304</t>
  </si>
  <si>
    <t>3501/00</t>
  </si>
  <si>
    <t xml:space="preserve">CARTUCCIA INCHIOSTRO </t>
  </si>
  <si>
    <t>tappezziere moroni</t>
  </si>
  <si>
    <t>..\..\Acquisti\2025\EV\FATTURE\EV - TAPPEZZIERE MORONI ft 8 del 03-02-2025.pdf</t>
  </si>
  <si>
    <t>Proforma e</t>
  </si>
  <si>
    <t>52</t>
  </si>
  <si>
    <t>residuo ft 52</t>
  </si>
  <si>
    <t>..\..\Acquisti\2025\EV\FATTURE\EV - TAPPEZZIERE MORONI ft 52 del 14-05-2025.pdf</t>
  </si>
  <si>
    <t>saldo rif fattura nr 52</t>
  </si>
  <si>
    <t>73</t>
  </si>
  <si>
    <t>..\..\Acquisti\2025\EV\FATTURE\EV - TAPPEZZIERE MORONI ft 73 del 30-05-2025.pdf</t>
  </si>
  <si>
    <t>Fornitura Tende</t>
  </si>
  <si>
    <t>..\..\Acquisti\2025\EV\FATTURE\EV - TAPPEZZIERE MORONI nc 2 del 11-06-2025.pdf</t>
  </si>
  <si>
    <t>nota di credito su fattura nr 73 del 30/05/2025</t>
  </si>
  <si>
    <t>77</t>
  </si>
  <si>
    <t>..\..\Acquisti\2025\EV\FATTURE\EV - TAPPEZZIERE MORONI ft 77 del 11-06-2025.pdf</t>
  </si>
  <si>
    <t>Bergamo , via Ghislandi n. 51</t>
  </si>
  <si>
    <t>taverna san giorgio</t>
  </si>
  <si>
    <t>572</t>
  </si>
  <si>
    <t>..\..\Acquisti\2025\EV\FATTURE\EV - TAVERNA SAN GIORGIO ft 572 del 20-05-2025.pdf</t>
  </si>
  <si>
    <t>techind</t>
  </si>
  <si>
    <t>2569</t>
  </si>
  <si>
    <t>..\..\Acquisti\2025\EV\FATTURE\EV - TECHIND SRL ft 2569 del 15-05-2025.pdf</t>
  </si>
  <si>
    <t>verifica trimestrale</t>
  </si>
  <si>
    <t>POP SO 2384X38 _ BON UNICO DI 2215,76</t>
  </si>
  <si>
    <t>3183</t>
  </si>
  <si>
    <t>..\..\Acquisti\2025\EV\FATTURE\EV - TECHIND SRL ft 3183 del 13-06-2025.pdf</t>
  </si>
  <si>
    <t>sostituzione ruote carrello via gaito</t>
  </si>
  <si>
    <t>POP SO 2384X38_  BON UNICO DI 2215,76</t>
  </si>
  <si>
    <t>telepass spa</t>
  </si>
  <si>
    <t>50290912T</t>
  </si>
  <si>
    <t>..\..\Acquisti\2025\EV\FATTURE\EV - TELEPASS SPA ft 912 del 30-01-2025.pdf</t>
  </si>
  <si>
    <t>Canone Telepass</t>
  </si>
  <si>
    <t>80535</t>
  </si>
  <si>
    <t>..\..\Acquisti\2025\EV\FATTURE\EV - TELEPASS SPA ft 80535 del 30-01-2025.pdf</t>
  </si>
  <si>
    <t>parcheggi</t>
  </si>
  <si>
    <t>52970381T</t>
  </si>
  <si>
    <t>..\..\Acquisti\2025\EV\FATTURE\EV - TELEPASS SPA ft 52970381 del 28-02-2025.pdf</t>
  </si>
  <si>
    <t>3054605</t>
  </si>
  <si>
    <t>..\..\Acquisti\2025\EV\FATTURE\EV - TELEPASS SPA ft 54943754 del 30-03-2025.pdf</t>
  </si>
  <si>
    <t>Parcheggi</t>
  </si>
  <si>
    <t>54943754T</t>
  </si>
  <si>
    <t>57354274T</t>
  </si>
  <si>
    <t>..\..\Acquisti\2025\EV\FATTURE\EV - TELEPASS SPA ft 57354274 del 30-04-2025.pdf</t>
  </si>
  <si>
    <t>5951899T</t>
  </si>
  <si>
    <t>..\..\Acquisti\2025\EV\FATTURE\EV - TELEPASS SPA ft 59518991 del 30-05-2025.pdf</t>
  </si>
  <si>
    <t>61769018T</t>
  </si>
  <si>
    <t>..\..\Acquisti\2025\EV\FATTURE\EV - TELEPASS SPA ft 61769018 del 30-06-2025.pdf</t>
  </si>
  <si>
    <t>64581212T</t>
  </si>
  <si>
    <t>..\..\Acquisti\2025\EV\FATTURE\EV - TELEPASS SPA ft 64581212T del 30-07-2025.pdf</t>
  </si>
  <si>
    <t>66829724T</t>
  </si>
  <si>
    <t>..\..\Acquisti\2025\EV\FATTURE\EV - TELEPASS SPA ft 66829724 del 30-08-2025.pdf</t>
  </si>
  <si>
    <t>12048545</t>
  </si>
  <si>
    <t>..\..\Acquisti\2025\EV\FATTURE\EV - TELEPASS SPA ft 12048545 del 30-08-2025.pdf</t>
  </si>
  <si>
    <t>69343603T</t>
  </si>
  <si>
    <t>..\..\Acquisti\2025\EV\FATTURE\EV - TELEPASS SPA ft 69343603T del 30-09-2025.pdf</t>
  </si>
  <si>
    <t>16451475</t>
  </si>
  <si>
    <t>71331388T</t>
  </si>
  <si>
    <t>19137015</t>
  </si>
  <si>
    <t xml:space="preserve">PARCHEGGI </t>
  </si>
  <si>
    <t>73991235T</t>
  </si>
  <si>
    <t>CANONE TELEPASS</t>
  </si>
  <si>
    <t>termoidraulica v.m</t>
  </si>
  <si>
    <t>C:\Users\Ufficio\Desktop\Amministrazione\Acquisti\2024\EV\Fatture\EV - TERMOIDRAULICA VM ft 143 del 04-10-2024.pdf</t>
  </si>
  <si>
    <t>Scanzo, Via Trento 8° SAL</t>
  </si>
  <si>
    <t>scanzo, via Trento 8° SAL</t>
  </si>
  <si>
    <t>181</t>
  </si>
  <si>
    <t>C:\Users\Ufficio\Desktop\Amministrazione\Acquisti\2024\EV\Fatture\EV - TERMOIDRAULICA ft 181 del 28-11-2024.pdf</t>
  </si>
  <si>
    <t xml:space="preserve">Bergamo Ghislandi 7 sal </t>
  </si>
  <si>
    <t>RATEIZZATI NEI 65K</t>
  </si>
  <si>
    <t>222</t>
  </si>
  <si>
    <t>C:\Users\Ufficio\Desktop\Amministrazione\Acquisti\2024\EV\Fatture\EV- TERMOIDRAULICA VM ft 222 del 30-12-2024.pdf</t>
  </si>
  <si>
    <t>Bergamo, Via Ghislandi 8 SAL</t>
  </si>
  <si>
    <t>..\..\Acquisti\2025\EV\FATTURE\EV - TERMOIDRAULICA V.M. nc 2 del 13-03-2025.pdf</t>
  </si>
  <si>
    <t>Bergamo, Via ghislandi NC FT 222</t>
  </si>
  <si>
    <t>223</t>
  </si>
  <si>
    <t>C:\Users\Ufficio\Desktop\Amministrazione\Acquisti\2024\EV\Fatture\EV- TERMOIDRAULICA VM ft 223 del 30-12-2024.pdf</t>
  </si>
  <si>
    <t>..\..\Acquisti\2025\EV\FATTURE\EV - TERMOIDRAULICA V.M. nc 1 del 13-3-2025.pdf</t>
  </si>
  <si>
    <t>Scanzorosciate, Via Trento  NC FT 143</t>
  </si>
  <si>
    <t>90</t>
  </si>
  <si>
    <t>..\..\Acquisti\2025\EV\FATTURE\EV - TERMOIDRAULICA V.M. ft 90 del 25-06-2025.pdf</t>
  </si>
  <si>
    <t>..\..\Acquisti\2025\EV\FATTURE\EV - TERMOIDRAUKICA V.M. ft 95 del 27-06-2025.pdf</t>
  </si>
  <si>
    <t>Bergamo, Via Ghislandi_ NC NR 15 DEL 10/11/2025</t>
  </si>
  <si>
    <t>109</t>
  </si>
  <si>
    <t>..\..\Acquisti\2025\EV\FATTURE\EV - TERMOIDRAULICA V.M. ft 109 del 24-07-2025.pdf</t>
  </si>
  <si>
    <t>6</t>
  </si>
  <si>
    <t>..\..\Acquisti\2025\EV\FATTURE\EV - TERMOIDRAULICA V.M. nc 6 del 24-07-2025.pdf</t>
  </si>
  <si>
    <t>Accordo pagamento 64000€</t>
  </si>
  <si>
    <t>166</t>
  </si>
  <si>
    <t>15</t>
  </si>
  <si>
    <t>Bergamo, Via Ghislandi FT 95 DEL 27/06/2025</t>
  </si>
  <si>
    <t xml:space="preserve">RETEIZZAZIONE SALDO E STRALCIO </t>
  </si>
  <si>
    <t>RETEO 1</t>
  </si>
  <si>
    <t>RETEO 2</t>
  </si>
  <si>
    <t>RETEO 3</t>
  </si>
  <si>
    <t>RETEO 4</t>
  </si>
  <si>
    <t>RETEO 5</t>
  </si>
  <si>
    <t>tim s.p.a.</t>
  </si>
  <si>
    <t>8B00010116</t>
  </si>
  <si>
    <t>..\..\Acquisti\2025\EV\FATTURE\EV - TIM SPA ft 10116 del 13-01-2025.pdf</t>
  </si>
  <si>
    <t xml:space="preserve">RETE FISSA UFFICIO </t>
  </si>
  <si>
    <t>8B00115106</t>
  </si>
  <si>
    <t>..\..\Acquisti\2025\EV\FATTURE\EV - TIM SPA FT 115106 del 11-02-2025.pdf</t>
  </si>
  <si>
    <t>8B00223514</t>
  </si>
  <si>
    <t>..\..\Acquisti\2025\EV\FATTURE\EV - TIM SPA ft 223514 del 11-03-2025.pdf</t>
  </si>
  <si>
    <t>Sepa DIRECT</t>
  </si>
  <si>
    <t>8B00295710</t>
  </si>
  <si>
    <t>..\..\Acquisti\2025\EV\FATTURE\EV - TIM SPA ft 295710 del 10-04-2025.pdf</t>
  </si>
  <si>
    <t>8B00352704</t>
  </si>
  <si>
    <t>..\..\Acquisti\2025\EV\FATTURE\EV - TIM SPA ft 352704 del 10-05-2025.pdf</t>
  </si>
  <si>
    <t>8B00540765</t>
  </si>
  <si>
    <t>..\..\Acquisti\2025\EV\FATTURE\EV - TIM SPA ft 0765 del 10-07-2025.pdf</t>
  </si>
  <si>
    <t>RETE MOBILE ILARIA</t>
  </si>
  <si>
    <t>8B00484355</t>
  </si>
  <si>
    <t>..\..\Acquisti\2025\EV\FATTURE\EV - TIM SPA ft 484355 del 11-06-2025.pdf</t>
  </si>
  <si>
    <t>8B00666928</t>
  </si>
  <si>
    <t>..\..\Acquisti\2025\EV\FATTURE\EV - TIM SPA ft 8B00666928 del 11-08-2025.pdf</t>
  </si>
  <si>
    <t>Sepa  Direct</t>
  </si>
  <si>
    <t>8B00705394</t>
  </si>
  <si>
    <t>..\..\Acquisti\2025\EV\FATTURE\EV - TIM SPA ft 8B00705394 del 11-09-2025.pdf</t>
  </si>
  <si>
    <t>8B00790466</t>
  </si>
  <si>
    <t>..\..\Acquisti\2025\EV\FATTURE\EV - TIM SPA ft 790466 del 09-10-2025.pdf</t>
  </si>
  <si>
    <t>7X04952571</t>
  </si>
  <si>
    <t>RETE MOBILE ILARIA_OTTOBRE 25</t>
  </si>
  <si>
    <t xml:space="preserve">SEPA DIREC </t>
  </si>
  <si>
    <t>8B00905171</t>
  </si>
  <si>
    <t>RETE FISSA UFFICIO _OTTOBRE25</t>
  </si>
  <si>
    <t>7X05592028</t>
  </si>
  <si>
    <t>RETE MOBILE ILARIA_ NOVEMBRE 25</t>
  </si>
  <si>
    <t>8B00951897</t>
  </si>
  <si>
    <t>RETE FISSA UFFICIO_ NOVEMBRE 26</t>
  </si>
  <si>
    <t>tomasoni ing. luigi</t>
  </si>
  <si>
    <t>13E</t>
  </si>
  <si>
    <t>..\..\Acquisti\2025\EV\FATTURE\EV - TOMASONI ING. LUIGI ft 13 del 05-02-2025.pdf</t>
  </si>
  <si>
    <t>Bergamo, Via ghislandi</t>
  </si>
  <si>
    <t>tony s.r.l.</t>
  </si>
  <si>
    <t>342</t>
  </si>
  <si>
    <t>..\..\Acquisti\2025\EV\FATTURE\EV - TONY SRL ft 342 del 14-03-2025.pdf</t>
  </si>
  <si>
    <t>957</t>
  </si>
  <si>
    <t>..\..\Acquisti\2025\EV\FATTURE\EV - TONY SRL ft 957 del 11-07-2025.pdf</t>
  </si>
  <si>
    <t>pasto</t>
  </si>
  <si>
    <t>1533</t>
  </si>
  <si>
    <t xml:space="preserve">PASTO </t>
  </si>
  <si>
    <t>top coperture srl</t>
  </si>
  <si>
    <t>151</t>
  </si>
  <si>
    <t>..\..\Acquisti\2025\EV\FATTURE\EV - TOP COPERTURE SRL ft 151 del 30-06-2025.pdf</t>
  </si>
  <si>
    <t xml:space="preserve">Scanzorosciate, Via Trento </t>
  </si>
  <si>
    <t>150</t>
  </si>
  <si>
    <t>..\..\Acquisti\2025\EV\FATTURE\EV - TOP COPERTURE SRL ft 150 del 30-06-2025.pdf</t>
  </si>
  <si>
    <t>trattoria la patta</t>
  </si>
  <si>
    <t>FR A25/246</t>
  </si>
  <si>
    <t>..\..\Acquisti\2025\EV\FATTURE\EV - TRATTORIA LA PATTA ft 246 del 31-01-2025.pdf</t>
  </si>
  <si>
    <t>85 Pasti</t>
  </si>
  <si>
    <t>FR A25/530</t>
  </si>
  <si>
    <t>..\..\Acquisti\2025\EV\FATTURE\EV - TRATTORIA LA PATTA ft 530 del 28-02-2025.pdf</t>
  </si>
  <si>
    <t>98 pasti</t>
  </si>
  <si>
    <t>FR A25/793</t>
  </si>
  <si>
    <t>..\..\Acquisti\2025\EV\FATTURE\EV - TRATTORIA LA PATTA FT 793 DEL 31-03-2025.pdf</t>
  </si>
  <si>
    <t>59 pasti</t>
  </si>
  <si>
    <t>carta di credito</t>
  </si>
  <si>
    <t>FR A25/71005</t>
  </si>
  <si>
    <t>..\..\Acquisti\2025\EV\FATTURE\EV - TRATTORIA LA PATTA ft 1005 del 02-05-2025.pdf</t>
  </si>
  <si>
    <t>41 pasti</t>
  </si>
  <si>
    <t>FR A25/1209</t>
  </si>
  <si>
    <t>..\..\Acquisti\2025\EV\FATTURE\EV - TRATTORIA LA PATTA ft 1209 del 03-06-2025.pdf</t>
  </si>
  <si>
    <t>80 pasti</t>
  </si>
  <si>
    <t>FR A25/1433</t>
  </si>
  <si>
    <t>..\..\Acquisti\2025\EV\FATTURE\EV - TRATTORIA LA PATTA ft 1433 del 30-06-2025.pdf</t>
  </si>
  <si>
    <t>73 pasti</t>
  </si>
  <si>
    <t>trattoria parietti snc</t>
  </si>
  <si>
    <t>317/2025</t>
  </si>
  <si>
    <t>..\..\Acquisti\2025\EV\FATTURE\EV - TRATTORIA PARIETTI ft 317 del 10-05-2025.pdf</t>
  </si>
  <si>
    <t>trentino mobilita spa</t>
  </si>
  <si>
    <t>556000136P</t>
  </si>
  <si>
    <t>..\..\Acquisti\2025\EV\FATTURE\EV - TRENTINO MOBILITA SPA ft 136 del 30-01-2025.pdf</t>
  </si>
  <si>
    <t>tuttauto s.n.c. di fornoni giuseppe &amp; c.</t>
  </si>
  <si>
    <t>VEN0101000081</t>
  </si>
  <si>
    <t>..\..\Acquisti\2025\EV\FATTURE\EV- TUTTAUTO SNC DI FORNONI GIUSEPPE ft 81 del 07-02-2025.pdf</t>
  </si>
  <si>
    <t>Iveco Daily CX866WW</t>
  </si>
  <si>
    <t>ultrasonic srl</t>
  </si>
  <si>
    <t>2025V00131</t>
  </si>
  <si>
    <t>..\..\Acquisti\2025\EV\FATTURE\EV- ULTRASONIC SRL ft 131 del 05-02-2025.pdf</t>
  </si>
  <si>
    <t>uniacque spa</t>
  </si>
  <si>
    <t>202510139245</t>
  </si>
  <si>
    <t>..\..\Acquisti\2025\EV\FATTURE\EV - UNIACQUE SRL ft 202510139245 del 13-02-2025.pdf</t>
  </si>
  <si>
    <t>brembilla</t>
  </si>
  <si>
    <t>202510490837</t>
  </si>
  <si>
    <t>..\..\Acquisti\2025\EV\FATTURE\EV - UNIACQUE SRL ft 202510490837 del 28-05-2025.pdf</t>
  </si>
  <si>
    <t>Val Brembilla</t>
  </si>
  <si>
    <t>202510743674</t>
  </si>
  <si>
    <t>..\..\Acquisti\2025\EV\FATTURE\EV - UNIACQUE SRL ft 202510743674 del 05-08-2025.pdf</t>
  </si>
  <si>
    <t>VAL BREMBILLA</t>
  </si>
  <si>
    <t>Pago pa</t>
  </si>
  <si>
    <t>30,19 + INTERESSI MORA PAG DA BCC 601460</t>
  </si>
  <si>
    <t>202411175705</t>
  </si>
  <si>
    <t xml:space="preserve">val brembilla </t>
  </si>
  <si>
    <t>2526000497</t>
  </si>
  <si>
    <t>..\..\Acquisti\2025\EV\FATTURE\EV - UNIACQUE SRL ft 2526000497 del 18-02-2025.pdf</t>
  </si>
  <si>
    <t xml:space="preserve">sost contatore via ghislandi </t>
  </si>
  <si>
    <t>202510256825</t>
  </si>
  <si>
    <t>..\..\Acquisti\2025\EV\FATTURE\EV - UNIACQUE SRL ft 202510256825 del 18-03-2025.pdf</t>
  </si>
  <si>
    <t>202510290015</t>
  </si>
  <si>
    <t>..\..\Acquisti\2025\EV\FATTURE\EV - UNIACQUE SRL ft 202510290015 del 25-03-2025.pdf</t>
  </si>
  <si>
    <t>Bergamo, Via Ghislandi_ fattura a storno ft 825 del 18,03,2025</t>
  </si>
  <si>
    <t>202410896503</t>
  </si>
  <si>
    <t xml:space="preserve">dal 24/05/2024 al 12/08/2024_ via ghislandi </t>
  </si>
  <si>
    <t xml:space="preserve">DA PAGARE/ ATT. CONDOMINI </t>
  </si>
  <si>
    <t>202510492636</t>
  </si>
  <si>
    <t>..\..\Acquisti\2025\EV\FATTURE\EV - UNIACQUE SRL ft 202510492636 del 28-05-2025.pdf</t>
  </si>
  <si>
    <t>Bergamo, Via Ghislandi _ DAL 23/08/2025 AL 23/05/2025</t>
  </si>
  <si>
    <t>202510892147</t>
  </si>
  <si>
    <t>..\..\Acquisti\2025\EV\FATTURE\EV - UNIACQUE SRL ft 202510892147 del 19-09-2025.pdf</t>
  </si>
  <si>
    <t>Bergamo, Via Ghislandi _ DAL 13/03/2025 AL 12/09/2025</t>
  </si>
  <si>
    <t>Pago Pa</t>
  </si>
  <si>
    <t>202511103357</t>
  </si>
  <si>
    <t>BREMBILLA  _ DAL 24/05/2025 AL 07/11/2025</t>
  </si>
  <si>
    <t xml:space="preserve">PAGO PA </t>
  </si>
  <si>
    <t>202511124576</t>
  </si>
  <si>
    <t>BREMBILLA_ DAL 8/11/2025 AL 19/11/2025</t>
  </si>
  <si>
    <t xml:space="preserve">BOLLETTA DA SCARICARE </t>
  </si>
  <si>
    <t>202511152268</t>
  </si>
  <si>
    <t>Bergamo, Via Ghislandi _ DAL 13/09/2025 AL 23/11/2025</t>
  </si>
  <si>
    <t>PAGO PA</t>
  </si>
  <si>
    <t>unieuro spa</t>
  </si>
  <si>
    <t>34902077</t>
  </si>
  <si>
    <t>001/11/2025</t>
  </si>
  <si>
    <t xml:space="preserve">pentole </t>
  </si>
  <si>
    <t>varg srl</t>
  </si>
  <si>
    <t>125000004</t>
  </si>
  <si>
    <t>..\..\Acquisti\2025\EV\FATTURE\EV - VARG ft 004 del 08-01-2025.pdf</t>
  </si>
  <si>
    <t>I.</t>
  </si>
  <si>
    <t>12500044</t>
  </si>
  <si>
    <t>..\..\Acquisti\2025\EV\FATTURE\EV - VARG ft 44 del 21-02-2025.pdf</t>
  </si>
  <si>
    <t xml:space="preserve">carta ricaricabile bpm </t>
  </si>
  <si>
    <t>125000149</t>
  </si>
  <si>
    <t>..\..\Acquisti\2025\EV\FATTURE\EV - VARG ft 149 del 18-06-2025.pdf</t>
  </si>
  <si>
    <t>125000172</t>
  </si>
  <si>
    <t>..\..\Acquisti\2025\EV\FATTURE\EV - VARG ft 172 del 15-07-2025.pdf</t>
  </si>
  <si>
    <t xml:space="preserve">pasta </t>
  </si>
  <si>
    <t xml:space="preserve">contanti </t>
  </si>
  <si>
    <t>v.e.m. srl</t>
  </si>
  <si>
    <t>01/527/2025</t>
  </si>
  <si>
    <t>..\..\Acquisti\2025\EV\FATTURE\EV - V.E.M. SRL ft 527 del 28-02-2025.pdf</t>
  </si>
  <si>
    <t>verisure italy srl</t>
  </si>
  <si>
    <t>2501C337335</t>
  </si>
  <si>
    <t>..\..\Acquisti\2025\EV\FATTURE\EV - VERISURE ft 7335 del 01-01-2025.pdf</t>
  </si>
  <si>
    <t>2501C307429</t>
  </si>
  <si>
    <t>..\..\Acquisti\2025\EV\FATTURE\EV - VERISURE ft 7429 del 01-01-2025.pdf</t>
  </si>
  <si>
    <t>2501C265745</t>
  </si>
  <si>
    <t>..\..\Acquisti\2025\EV\FATTURE\EV - VERISURE ft 5745 del 01-01-2025.pdf</t>
  </si>
  <si>
    <t>2502C356889</t>
  </si>
  <si>
    <t>..\..\Acquisti\2025\EV\FATTURE\EV - VERISURE SRL ft 356889 del 01-02-2025.pdf</t>
  </si>
  <si>
    <t>2502C338610</t>
  </si>
  <si>
    <t>..\..\Acquisti\2025\EV\FATTURE\EV- VERISURE SRL ft 338610 del 01-02-2025.pdf</t>
  </si>
  <si>
    <t>2502C261720</t>
  </si>
  <si>
    <t>..\..\Acquisti\2025\EV\FATTURE\EV - VERISURE SRL ft 261720 del 01-02-2025.pdf</t>
  </si>
  <si>
    <t>25OT0041490</t>
  </si>
  <si>
    <t>..\..\Acquisti\2025\EV\FATTURE\EV- VERISURE SRL ft 41490 del 05-02-2025.pdf</t>
  </si>
  <si>
    <t>2503C363200</t>
  </si>
  <si>
    <t>..\..\Acquisti\2025\EV\FATTURE\EV - VERISURE ft 363200 del 01-03-2025.pdf</t>
  </si>
  <si>
    <t>2503C353661</t>
  </si>
  <si>
    <t>..\..\Acquisti\2025\EV\FATTURE\EV - VERISURE  ft 353661 del 01-03-2025.pdf</t>
  </si>
  <si>
    <t>2503C255639</t>
  </si>
  <si>
    <t>..\..\Acquisti\2025\EV\FATTURE\EV - VERISURE ft 255639 del 01-03-2025.pdf</t>
  </si>
  <si>
    <t>2504C355812</t>
  </si>
  <si>
    <t>..\..\Acquisti\2025\EV\FATTURE\EV- VERISURE SRL ft 355812 del 01-04-2025.pdf</t>
  </si>
  <si>
    <t>2504C346303</t>
  </si>
  <si>
    <t>..\..\Acquisti\2025\EV\FATTURE\EV - VERISURE SRL ft 346303 del 01-04-2025.pdf</t>
  </si>
  <si>
    <t>2504C265521</t>
  </si>
  <si>
    <t>..\..\Acquisti\2025\EV\FATTURE\EV- VERISURE SRL ft 265521 DEL 01-04-2025.pdf</t>
  </si>
  <si>
    <t>25OTI026935</t>
  </si>
  <si>
    <t>..\..\Acquisti\2025\EV\FATTURE\EV - VERISURE ft 25OTI026935 del 31-03-2025.pdf</t>
  </si>
  <si>
    <t>2503C379793</t>
  </si>
  <si>
    <t>..\..\Acquisti\2025\EV\FATTURE\EV - VERISURE ft 2503C379793 del 31-03-2025.pdf</t>
  </si>
  <si>
    <t>2504C379686</t>
  </si>
  <si>
    <t>..\..\Acquisti\2025\EV\FATTURE\EV - VERISURE ft 2504C379686 del 01-04-2025.pdf</t>
  </si>
  <si>
    <t>25OT0122729</t>
  </si>
  <si>
    <t>..\..\Acquisti\2025\EV\FATTURE\EV - VERISURE ft 122729 del 11-04-2025.pdf</t>
  </si>
  <si>
    <t>2505C367655</t>
  </si>
  <si>
    <t>..\..\Acquisti\2025\EV\FATTURE\EV - VERISURE SRL ft 2505C367655 del 01-05-2025.pdf</t>
  </si>
  <si>
    <t>2505C347188</t>
  </si>
  <si>
    <t>..\..\Acquisti\2025\EV\FATTURE\EV - VERISURE SRL ft 2505C347188 del 01-05-2025.pdf</t>
  </si>
  <si>
    <t>2505C328864</t>
  </si>
  <si>
    <t>..\..\Acquisti\2025\EV\FATTURE\EV - VERISURE SRL ft 2505C328864 del 01-05-2025.pdf</t>
  </si>
  <si>
    <t>2505C240720</t>
  </si>
  <si>
    <t>..\..\Acquisti\2025\EV\FATTURE\EV - VERISURE SRL ft 2505C240720 del 01-05-2025.pdf</t>
  </si>
  <si>
    <t>2506C358449</t>
  </si>
  <si>
    <t>..\..\Acquisti\2025\EV\FATTURE\EV - VERISURE ft 358449 del 01-06-2025.pdf</t>
  </si>
  <si>
    <t>2506C355561</t>
  </si>
  <si>
    <t>..\..\Acquisti\2025\EV\FATTURE\EV - VERISURE ft 355561 del 01-06-2025.pdf</t>
  </si>
  <si>
    <t>2506C343378</t>
  </si>
  <si>
    <t>..\..\Acquisti\2025\EV\FATTURE\EV - VERISURE ft 343378 del 01-06-2025.pdf</t>
  </si>
  <si>
    <t>2506C251146</t>
  </si>
  <si>
    <t>..\..\Acquisti\2025\EV\FATTURE\EV - VERISURE ft 251146 del 01-06-2025.pdf</t>
  </si>
  <si>
    <t>2507C376481</t>
  </si>
  <si>
    <t>..\..\Acquisti\2025\EV\FATTURE\EV - VERISURE ft 76481 del 01-07-2025.pdf</t>
  </si>
  <si>
    <t>2507C350090</t>
  </si>
  <si>
    <t>..\..\Acquisti\2025\EV\FATTURE\EV - VERISURE ft 50090 del 01-07-2025.pdf</t>
  </si>
  <si>
    <t>2507C344174</t>
  </si>
  <si>
    <t>..\..\Acquisti\2025\EV\FATTURE\EV - VERISURE ft 44174 del 01-07-2025.pdf</t>
  </si>
  <si>
    <t>2507C246631</t>
  </si>
  <si>
    <t>..\..\Acquisti\2025\EV\FATTURE\EV - VERISURE ft 246631 del 01-07-2025.pdf</t>
  </si>
  <si>
    <t>2508C377227</t>
  </si>
  <si>
    <t>..\..\Acquisti\2025\EV\FATTURE\EV - VERISURE ft 377227 del 01-08-2025.pdf</t>
  </si>
  <si>
    <t>2508C345972</t>
  </si>
  <si>
    <t>..\..\Acquisti\2025\EV\FATTURE\EV - VERISURE ft 345972 del 01-08-2025.pdf</t>
  </si>
  <si>
    <t>2508C329801</t>
  </si>
  <si>
    <t>..\..\Acquisti\2025\EV\FATTURE\EV - VERISURE ft 329801 del 01-08-2025.pdf</t>
  </si>
  <si>
    <t>2508C239041</t>
  </si>
  <si>
    <t>..\..\Acquisti\2025\EV\FATTURE\EV - VERISURE ft 239041 del 01-08-2025.pdf</t>
  </si>
  <si>
    <t>2509C376690</t>
  </si>
  <si>
    <t>..\..\Acquisti\2025\EV\FATTURE\EV - VERISURE ft 376690 del 01-09-2025.pdf</t>
  </si>
  <si>
    <t>2509C331805</t>
  </si>
  <si>
    <t>..\..\Acquisti\2025\EV\FATTURE\EV - VERISURE ft 331805 del 01-09-2025.pdf</t>
  </si>
  <si>
    <t>2509C316805</t>
  </si>
  <si>
    <t>..\..\Acquisti\2025\EV\FATTURE\EV - VERISURE ft 316805 del 01-09-2025.pdf</t>
  </si>
  <si>
    <t>2509C253974</t>
  </si>
  <si>
    <t>..\..\Acquisti\2025\EV\FATTURE\EV - VERISURE ft 253974 del 01-09-2025.pdf</t>
  </si>
  <si>
    <t>25OT0308716</t>
  </si>
  <si>
    <t>..\..\Acquisti\2025\EV\FATTURE\EV - VERISURE ft 308716 del 04-09-2025.pdf</t>
  </si>
  <si>
    <t>2510C363736</t>
  </si>
  <si>
    <t>..\..\Acquisti\2025\EV\FATTURE\EV - VERISURE ft 2510C363736 del 01-10-2025.pdf</t>
  </si>
  <si>
    <t>2510C327009</t>
  </si>
  <si>
    <t>..\..\Acquisti\2025\EV\FATTURE\EV - VERISURE ft 2510C327009 del 01-10-2025.pdf</t>
  </si>
  <si>
    <t>2510C313955</t>
  </si>
  <si>
    <t>..\..\Acquisti\2025\EV\FATTURE\EV - VERISURE ft 2510C313955 del 01-10-2025.pdf</t>
  </si>
  <si>
    <t>2510C270588</t>
  </si>
  <si>
    <t>..\..\Acquisti\2025\EV\FATTURE\EV - VERISURE ft 2510C270588 del 01-10-2025.pdf</t>
  </si>
  <si>
    <t>2511C264707</t>
  </si>
  <si>
    <t>2511C300542</t>
  </si>
  <si>
    <t>2511C326698</t>
  </si>
  <si>
    <t>2511C365325</t>
  </si>
  <si>
    <t>2512C249727</t>
  </si>
  <si>
    <t>2512C305355</t>
  </si>
  <si>
    <t>2512C314400</t>
  </si>
  <si>
    <t>2512C75454</t>
  </si>
  <si>
    <t>verti assicurazioni</t>
  </si>
  <si>
    <t>pol VRT0332037714-1</t>
  </si>
  <si>
    <t>18/0/2025</t>
  </si>
  <si>
    <t>CLIO FX155TF</t>
  </si>
  <si>
    <t>pol VRT0332037714-1 _ CLIO FX155TF_ BCC 601460</t>
  </si>
  <si>
    <t>pol VRT0332037714-1 _ CLIO FX155TF_ ESTENSIONE POLIZZA _ BPER  80875</t>
  </si>
  <si>
    <t>viemme porte srl</t>
  </si>
  <si>
    <t>..\..\Acquisti\2025\EV\FATTURE\EV - VIEMME PORTE ft 18 del 13-01-2025.pdf</t>
  </si>
  <si>
    <t>Bergamo,Via Ghislandi</t>
  </si>
  <si>
    <t>pagato in data 14/03/2025 tramite assegno la differenza di 75.40 più l'ordine di cu mi deve ancora arrivare fattura</t>
  </si>
  <si>
    <t>89</t>
  </si>
  <si>
    <t>..\..\Acquisti\2025\EV\FATTURE\EV - VIEMME PORTE nc 89 del 31-01-2025.pdf</t>
  </si>
  <si>
    <t>Storno parziale fattura n. 9142 del 30/11/2024</t>
  </si>
  <si>
    <t>1737</t>
  </si>
  <si>
    <t>..\..\Acquisti\2025\EV\FATTURE\EV - VIEMME PORTE ft 1737 del 15-03-2025.pdf</t>
  </si>
  <si>
    <t>Ilaria Ghilardini</t>
  </si>
  <si>
    <t>2056</t>
  </si>
  <si>
    <t>..\..\Acquisti\2025\EV\FATTURE\EV - VIEMME PORTE ft 2056 del 31-03-2025.pdf</t>
  </si>
  <si>
    <t>3469</t>
  </si>
  <si>
    <t>..\..\Acquisti\2025\EV\FATTURE\EV - VIEMME PORTE ft 3469 del 23-05-2025.pdf</t>
  </si>
  <si>
    <t>RANICA_ SANTONI_ SOST PANNELLO ESTERNO</t>
  </si>
  <si>
    <t>in attesa di fattura</t>
  </si>
  <si>
    <t>6097</t>
  </si>
  <si>
    <t>..\..\Acquisti\2025\EV\FATTURE\EV - VIEMME PORTE ft 6097 del 05-08-2025.pdf</t>
  </si>
  <si>
    <t xml:space="preserve">VERTOVA </t>
  </si>
  <si>
    <t>6486</t>
  </si>
  <si>
    <t>..\..\Acquisti\2025\EV\FATTURE\EV - VIEMME PORTA ft 6486 del 09-09-2025.pdf</t>
  </si>
  <si>
    <t xml:space="preserve">RAPALLO GIULIA </t>
  </si>
  <si>
    <t>ft aperta per 65,08</t>
  </si>
  <si>
    <t>7425</t>
  </si>
  <si>
    <t xml:space="preserve">casa giulia rapallo </t>
  </si>
  <si>
    <t>RESIDIO</t>
  </si>
  <si>
    <t>FT AèERTA PER 36,60</t>
  </si>
  <si>
    <t>9140</t>
  </si>
  <si>
    <t>ASSEGNO NR 0564593391-11 _ POPOLARE DI SONDRIO</t>
  </si>
  <si>
    <t xml:space="preserve">MANCA QUIETANZA </t>
  </si>
  <si>
    <t>vittoria assicurazioni</t>
  </si>
  <si>
    <t>pol 0000907237</t>
  </si>
  <si>
    <t>incendio -pol 0000907237</t>
  </si>
  <si>
    <t>POP SO _ 2384X38_ pagamento sollecito 572+10 euro di spese</t>
  </si>
  <si>
    <t>wbx srl</t>
  </si>
  <si>
    <t>3725</t>
  </si>
  <si>
    <t>..\..\Acquisti\2025\EV\FATTURE\EV - WBX SRL ft 3725 del 09-06-2025.pdf</t>
  </si>
  <si>
    <t>wicasa srl</t>
  </si>
  <si>
    <t>INTERMEDIAZIONE UFF FINALE _ ASSEGNO 0210438638_07</t>
  </si>
  <si>
    <t>wuerth s.r.l.</t>
  </si>
  <si>
    <t>4282895069</t>
  </si>
  <si>
    <t>..\..\..\Acquisti\2023\EV\Fatture\EV - WUERTH ft -069 del 02-10-2023.pdf</t>
  </si>
  <si>
    <t>B.</t>
  </si>
  <si>
    <t>CONCORDATO IL PAGAMENTO IN 3 RATE DA 1236,82 CAD. FT 5069+1677+1676</t>
  </si>
  <si>
    <t>4282901677</t>
  </si>
  <si>
    <t>..\..\..\Acquisti\2023\EV\Fatture\EV - WUERTH ft -677 del 04-10-2023.pdf</t>
  </si>
  <si>
    <t>RATA 1 _ PAGATA IL 16/07/2025 _ 1236,82 EURO _ bcc 601460</t>
  </si>
  <si>
    <t>4282901676</t>
  </si>
  <si>
    <t>..\..\..\Acquisti\2023\EV\Fatture\EV - WUERTH ft -676 del 04-10-2023.pdf</t>
  </si>
  <si>
    <t>RATA 2 _ PAGATA IL 31/07/2025_  1236,82 EURO _ bcc 601460</t>
  </si>
  <si>
    <t>RATA 2 _ PAGATA IL 27/10/2025_  1236,82 EURO _ popso 2384x38</t>
  </si>
  <si>
    <t xml:space="preserve">INTERESSI MORATORI </t>
  </si>
  <si>
    <t xml:space="preserve">PAGATI CON PIANO DI RIENTRO _ VEDI SOPRA </t>
  </si>
  <si>
    <t>zaninoni packaging</t>
  </si>
  <si>
    <t>2533</t>
  </si>
  <si>
    <t>..\..\Acquisti\2025\EV\FATTURE\EV - ZANINONI PACKAGING SRL ft 2533 del 27-05-2025.pdf</t>
  </si>
  <si>
    <t>5624</t>
  </si>
  <si>
    <t>zanutta spa</t>
  </si>
  <si>
    <t>125003957</t>
  </si>
  <si>
    <t>..\..\Acquisti\2025\EV\FATTURE\EV - ZANUTTA SPA ft 125003957 del 31-01-2025.pdf</t>
  </si>
  <si>
    <t>124122585</t>
  </si>
  <si>
    <t>C:\Users\Ufficio\Desktop\Amministrazione\Acquisti\2024\EV\Fatture\EV - ZANUTTA ft 2585 del 24-12-2024.pdf</t>
  </si>
  <si>
    <t>zenoni maicol alessandro</t>
  </si>
  <si>
    <t>..\..\Acquisti\2025\EV\FATTURE\EV - ZENONI MAICOL ALESSANDRO ft 1 del 28-01-2025.pdf</t>
  </si>
  <si>
    <t>APPUNTI</t>
  </si>
  <si>
    <t>Colonna1</t>
  </si>
  <si>
    <t>ABACO SPA</t>
  </si>
  <si>
    <t>AG. SERENA DI MARSEU SERENA &amp; C.</t>
  </si>
  <si>
    <t>Agostani srl con socio unico</t>
  </si>
  <si>
    <t>Agriristorante Sant'Alessandro s.r.l.</t>
  </si>
  <si>
    <t>AK Informatica Tech srl</t>
  </si>
  <si>
    <t>Al Garghet sas di Cipolla Emanuela  e C.</t>
  </si>
  <si>
    <t>AMAZON BUSINNESS</t>
  </si>
  <si>
    <t>Andrea Losa Giardini s.r.l.</t>
  </si>
  <si>
    <t>Anselmo s.r.l.</t>
  </si>
  <si>
    <t>Antonio Giannetta notaio</t>
  </si>
  <si>
    <t>AON SPA</t>
  </si>
  <si>
    <t>ATTENDERE NC PER PAGARE</t>
  </si>
  <si>
    <t>Armici Fabrizio</t>
  </si>
  <si>
    <t>ARMICI FABRIZIO</t>
  </si>
  <si>
    <t>Artes s.r.l.</t>
  </si>
  <si>
    <t xml:space="preserve"> carta </t>
  </si>
  <si>
    <t>Assolari Domenico e C. snc</t>
  </si>
  <si>
    <t>Assolari Domenico e c. snc</t>
  </si>
  <si>
    <t>INSOLUTO BCC</t>
  </si>
  <si>
    <t>a credito</t>
  </si>
  <si>
    <t>Autostrade per l'Italia spa</t>
  </si>
  <si>
    <t>AUTOSTRADE PER L'ITALIA SPA</t>
  </si>
  <si>
    <t>Avvocato Alberto Ferrari</t>
  </si>
  <si>
    <t>Avvocato antonio giannetta</t>
  </si>
  <si>
    <t>Baccino Marco</t>
  </si>
  <si>
    <t>file:///\\192.168.1.231\..\AppData\Acquisti\2024\EV\Fatture\EV%20-%20BACCINO%20ft%2016%20del%2012-03-2024.pdf</t>
  </si>
  <si>
    <t>bo</t>
  </si>
  <si>
    <t>Ballan spa</t>
  </si>
  <si>
    <t>Banco BPM</t>
  </si>
  <si>
    <t>Barazzoni spa</t>
  </si>
  <si>
    <t>BARCELLA ELETTROFORNITURE SPA</t>
  </si>
  <si>
    <t>Bcc di Milano</t>
  </si>
  <si>
    <t>BCC DI MILANO</t>
  </si>
  <si>
    <t>Bellini e associati</t>
  </si>
  <si>
    <t>nota provvisoria 158/2020</t>
  </si>
  <si>
    <t>Valle Vertova</t>
  </si>
  <si>
    <t>nota provv. 50/2025</t>
  </si>
  <si>
    <t>nota provv. 233/2023</t>
  </si>
  <si>
    <t>Belloli Attilio</t>
  </si>
  <si>
    <t>file:///\\192.168.1.231\..\AppData\Acquisti\2023\EV\Proforme\Belloli%20nota%204139%2023.9.23%20-%20EV%20vs%20Checchin.pdf</t>
  </si>
  <si>
    <t>BELLOLI ATTILIO</t>
  </si>
  <si>
    <t>file:///\\192.168.1.231\..\AppData\Acquisti\2023\EV\Proforme\Belloli%20doc%204195%20del%2030-11-2023%20--%20Colombini%20PIGN%20QUOTE%20nota%20pro%20forma.pdf</t>
  </si>
  <si>
    <t>proforme in attesa di ricezione</t>
  </si>
  <si>
    <t>Bergamelli srl</t>
  </si>
  <si>
    <t>Bialetti Store srl</t>
  </si>
  <si>
    <t>CONTESTARE</t>
  </si>
  <si>
    <t>BIGAGLIA</t>
  </si>
  <si>
    <t>C</t>
  </si>
  <si>
    <t>Bongiorno Antinfortunistica srl</t>
  </si>
  <si>
    <t>Bordogni Fabio</t>
  </si>
  <si>
    <t>25/06/2025 &amp; 15/10/2025</t>
  </si>
  <si>
    <t>BPER E SONDRIO(PAGATA DUE VOLTE)</t>
  </si>
  <si>
    <t xml:space="preserve"> 506/2025</t>
  </si>
  <si>
    <t>Borgia Gabriele</t>
  </si>
  <si>
    <t xml:space="preserve">BPER </t>
  </si>
  <si>
    <t>PARTITE DI GIRO</t>
  </si>
  <si>
    <t>BORGIA GABRIELE</t>
  </si>
  <si>
    <t>Bosio Commerciale srl</t>
  </si>
  <si>
    <t>BP33</t>
  </si>
  <si>
    <t xml:space="preserve">Bricoman Italia s.r.l. società a socio unico </t>
  </si>
  <si>
    <t>BUTTINNI FERRAMENTE SNC</t>
  </si>
  <si>
    <t>I01124</t>
  </si>
  <si>
    <t>BUTTINONI FERRAMENTA SNC</t>
  </si>
  <si>
    <t>Buttinoni Giuseppe &amp; figli snc</t>
  </si>
  <si>
    <t>C.M.M. Carpenteria metallica medici</t>
  </si>
  <si>
    <t xml:space="preserve">5/E </t>
  </si>
  <si>
    <t>Calcestruzzi spa</t>
  </si>
  <si>
    <t>CAMERA DI COMMERCIO</t>
  </si>
  <si>
    <t xml:space="preserve">CAMERA DI COMMERCIO </t>
  </si>
  <si>
    <t>Camplone Mauro Massimo</t>
  </si>
  <si>
    <t>Casali Nicola</t>
  </si>
  <si>
    <t>CASEIFICIO FRATELLI PALENI</t>
  </si>
  <si>
    <t>Cavallini dal Borgo &amp; Partners</t>
  </si>
  <si>
    <t>Cenpi scrl</t>
  </si>
  <si>
    <t>Center Casa</t>
  </si>
  <si>
    <t>Centro edilizia</t>
  </si>
  <si>
    <t>CENTRO EDILIZIA</t>
  </si>
  <si>
    <t>Chiurlo srl</t>
  </si>
  <si>
    <t>COMUNE DI ALZANO</t>
  </si>
  <si>
    <t>COMUNE DI BRESCIA</t>
  </si>
  <si>
    <t>CONSIT MANGILI SIBELLA SRL</t>
  </si>
  <si>
    <t>Convento di Neveri</t>
  </si>
  <si>
    <t>Cornolti Posatori snc dei F.lli Cornolti</t>
  </si>
  <si>
    <t>Cortinovis Gianluigi</t>
  </si>
  <si>
    <t>CORTINOVIS GIANLUIGI</t>
  </si>
  <si>
    <t>Costruzioni Edili Almici</t>
  </si>
  <si>
    <t>500acconto+4000fatto da beppe + 4100 fatti 10/10/2025 da bcc</t>
  </si>
  <si>
    <t>Cri.mer srl</t>
  </si>
  <si>
    <t>Cucchi Peter</t>
  </si>
  <si>
    <t>Culligan Italy srl</t>
  </si>
  <si>
    <t>CULLIGAN ITALY SRL</t>
  </si>
  <si>
    <t>Da Leone di Costa Carlo</t>
  </si>
  <si>
    <t>DELPRINO</t>
  </si>
  <si>
    <t>DELPRINO MASSIMO</t>
  </si>
  <si>
    <t>Delta srl</t>
  </si>
  <si>
    <t>Deutschordensschwestern lana</t>
  </si>
  <si>
    <t>Duferco Energia Spa</t>
  </si>
  <si>
    <t>pagata dove ?? Contabile ??</t>
  </si>
  <si>
    <t xml:space="preserve">conciliazione </t>
  </si>
  <si>
    <t>DUFERCO ENERGIA SPA</t>
  </si>
  <si>
    <t>E.ON ENERGIA SPA</t>
  </si>
  <si>
    <t>Ecoberg srl</t>
  </si>
  <si>
    <t>Ecotaurus srl</t>
  </si>
  <si>
    <t>Edilcassa</t>
  </si>
  <si>
    <t>primo assegno</t>
  </si>
  <si>
    <t>31/11/2025</t>
  </si>
  <si>
    <t>secondo assegno</t>
  </si>
  <si>
    <t>terzo assegno</t>
  </si>
  <si>
    <t>quarto assegno</t>
  </si>
  <si>
    <t>quinto assegno</t>
  </si>
  <si>
    <t>EDILCASSA</t>
  </si>
  <si>
    <t>Edilcommercio srl</t>
  </si>
  <si>
    <t>CAMBIALE 10/01</t>
  </si>
  <si>
    <t>CAMBIALE 10/03</t>
  </si>
  <si>
    <t>EDILGEMA SRL</t>
  </si>
  <si>
    <t>Edilnova s.r.l.</t>
  </si>
  <si>
    <t>Edilscavi s.r.l.</t>
  </si>
  <si>
    <t>Elettrauto Belotti Franco &amp; C. SNC</t>
  </si>
  <si>
    <t>Elettrauto Belotti Franco &amp; C. snc</t>
  </si>
  <si>
    <t xml:space="preserve">ENERGY EVOLUTION  </t>
  </si>
  <si>
    <t>Espresso Toscano srl</t>
  </si>
  <si>
    <t>Eureka led di Zhu miao</t>
  </si>
  <si>
    <t>EURONICS ITALIA SPA</t>
  </si>
  <si>
    <t>F.lli Testa srl</t>
  </si>
  <si>
    <t>file:///\\192.168.1.231\..\AppData\Acquisti\2023\EV\Fatture\EV%20-%20F_LLI%20TESTA%20ft%204948%20del%2030-12-2023.pdf</t>
  </si>
  <si>
    <t>accordo di chiusura posizione</t>
  </si>
  <si>
    <t>storno necessario per quadrare accordo di 3 tranche di 16k</t>
  </si>
  <si>
    <t>chiuso a forfait di 48000</t>
  </si>
  <si>
    <t>F.lli testa srl</t>
  </si>
  <si>
    <t>F.LLI TESTA SRL</t>
  </si>
  <si>
    <t xml:space="preserve">Facchin Gru </t>
  </si>
  <si>
    <t>FAIP SRL</t>
  </si>
  <si>
    <t>FENGHUANG</t>
  </si>
  <si>
    <t>Ferramenta 2000 snc</t>
  </si>
  <si>
    <t>Ferrari avv. Alberto</t>
  </si>
  <si>
    <t>Fornoni marmi srl</t>
  </si>
  <si>
    <t>FRATELLI BAGGI SRL</t>
  </si>
  <si>
    <t xml:space="preserve">Fratelli Baggi srl </t>
  </si>
  <si>
    <t xml:space="preserve">FRATELLI MAZZA </t>
  </si>
  <si>
    <t>G.M.V. IMPIANTI ELETTRICI SNC</t>
  </si>
  <si>
    <t xml:space="preserve">V00007 </t>
  </si>
  <si>
    <t>FATTURE A RICEVERE</t>
  </si>
  <si>
    <t>GHILARDINI ILARIA</t>
  </si>
  <si>
    <t xml:space="preserve">CONSULENZA COND. SORISOLE </t>
  </si>
  <si>
    <t xml:space="preserve">RESIDUO </t>
  </si>
  <si>
    <t>GMG CENTROEDILE</t>
  </si>
  <si>
    <t>Gruppo Carmeli spa</t>
  </si>
  <si>
    <t>Gruppo Negozi srl</t>
  </si>
  <si>
    <t>GS Rubiera srl</t>
  </si>
  <si>
    <t>Gualeni Paolo</t>
  </si>
  <si>
    <t>guffanti avv. Giulio Mario</t>
  </si>
  <si>
    <t>Gypsum srl</t>
  </si>
  <si>
    <t>Happily srl</t>
  </si>
  <si>
    <t>HAPPILY SRL</t>
  </si>
  <si>
    <t>Idras spa</t>
  </si>
  <si>
    <t>IDRAULICO CATTANEO MARCO</t>
  </si>
  <si>
    <t>Idria Ponteggi</t>
  </si>
  <si>
    <t>Ikea italia</t>
  </si>
  <si>
    <t>IKEA ITALIA</t>
  </si>
  <si>
    <t>Geom. Imberti Daniele</t>
  </si>
  <si>
    <t>attendo fattura</t>
  </si>
  <si>
    <t>vedi "partite aperte in attesa di fatturare"</t>
  </si>
  <si>
    <t>Incemento</t>
  </si>
  <si>
    <t>InfoCamere S.C.p.A.</t>
  </si>
  <si>
    <t>Intesa Home</t>
  </si>
  <si>
    <t>Intesa san paolo S.p.a.</t>
  </si>
  <si>
    <t>Intesa Sanpaolo S.p.a.</t>
  </si>
  <si>
    <t>Iris Mobili srl</t>
  </si>
  <si>
    <t xml:space="preserve">JYSK Italia Srl </t>
  </si>
  <si>
    <t>Kuwait Petroleum Italia spa</t>
  </si>
  <si>
    <t>fornitura fino al 15/10</t>
  </si>
  <si>
    <t>pagata???</t>
  </si>
  <si>
    <t>KUWAIT PETROLEUM ITALIA SPA</t>
  </si>
  <si>
    <t>La Piazzoni s.r.l.</t>
  </si>
  <si>
    <t>La piazzoni s.r.l.</t>
  </si>
  <si>
    <t>Trezzano Rosa_  nolo gru dsl 8/09/25 al 7/11/25</t>
  </si>
  <si>
    <t>LA PIAZZONI S.R.L.</t>
  </si>
  <si>
    <t>contestato</t>
  </si>
  <si>
    <t>Lanfranchi Marco</t>
  </si>
  <si>
    <t>Lanzi Florovivaistica</t>
  </si>
  <si>
    <t>file:///\\192.168.1.231\..\AppData\Acquisti\2023\EV\Proforme\Bellini%20173-edilvertova-prog-via%20ghislandiBG-L10.pdf</t>
  </si>
  <si>
    <t>Leon d'oro di Paola Catrullo</t>
  </si>
  <si>
    <t>Leroy Merlin</t>
  </si>
  <si>
    <t>file:///\\192.168.1.231\..\AppData\Acquisti\2023\EV\Proforme\BELLOLI%204162%20nota%2027.10.23%20-%20Colombini_Gagliolo.pdf</t>
  </si>
  <si>
    <t>LEROY MERLIN</t>
  </si>
  <si>
    <t>Libreria Amministrativa s.a.s.</t>
  </si>
  <si>
    <t>LIBRERIA AMMINISTRATIVA S.A.S.</t>
  </si>
  <si>
    <t xml:space="preserve">Locanda Rosa </t>
  </si>
  <si>
    <t>Luce in srl</t>
  </si>
  <si>
    <t>file:///\\192.168.1.231\..\AppData\Acquisti\2023\EV\Proforme\BELLOLI%20doc%204185%20del%2020-11-2023-dm.pdf</t>
  </si>
  <si>
    <t>Madaschi Giuseppe</t>
  </si>
  <si>
    <t xml:space="preserve">MAFFEIS CENTRO SERVIZI </t>
  </si>
  <si>
    <t>Malto &amp; Luppolo Bar Liu snc di Ongaro F. &amp; C.</t>
  </si>
  <si>
    <t>MALTO &amp; LUPPOLO BAR LIU SNC DI ONGARO F. &amp; C.</t>
  </si>
  <si>
    <t>Mancusi Davide Avvocato</t>
  </si>
  <si>
    <t xml:space="preserve">Markolor srl </t>
  </si>
  <si>
    <t>Mazzoleni Rudy</t>
  </si>
  <si>
    <t>Mazzucchelli Nadia</t>
  </si>
  <si>
    <t>Mediamarket SPA</t>
  </si>
  <si>
    <t>Merelli Annamaria</t>
  </si>
  <si>
    <t>Met Energia Italia Spa</t>
  </si>
  <si>
    <t xml:space="preserve">VE25-090247 </t>
  </si>
  <si>
    <t xml:space="preserve">VE25-127818 </t>
  </si>
  <si>
    <t>Metro Italia spa</t>
  </si>
  <si>
    <t>MINISTERO DELLA GIUSTIZIA</t>
  </si>
  <si>
    <t>Moioli Valerio</t>
  </si>
  <si>
    <t>file:///\\192.168.1.231\..\AppData\Acquisti\2023\EV\Fatture\EV%20-%20MOIOLI%20ft%20856%20del%2027-11-2023.pdf</t>
  </si>
  <si>
    <t>file:///\\192.168.1.231\..\AppData\Acquisti\2023\EV\Fatture\EV%20-%20MOIOLI%20ft%20972%20del%2022-12-2023.pdf</t>
  </si>
  <si>
    <t>file:///\\192.168.1.231\..\AppData\Acquisti\2024\EV\Fatture\EV%20-%20MOIOLI%20ft%20247%20del%2030-04-2024.pdf</t>
  </si>
  <si>
    <t>MOIOLI VALERIO</t>
  </si>
  <si>
    <t>Mya srl</t>
  </si>
  <si>
    <t>Myo spa</t>
  </si>
  <si>
    <t>MYO SPA</t>
  </si>
  <si>
    <t>Nagoya Curno srl</t>
  </si>
  <si>
    <t>Nagoya curno srl</t>
  </si>
  <si>
    <t>Newteam srl</t>
  </si>
  <si>
    <t>Nodari Bruno</t>
  </si>
  <si>
    <t>NSA SRL</t>
  </si>
  <si>
    <t>Olimpia s.r.l. Unipersonale</t>
  </si>
  <si>
    <t>OLIMPIA S.R.L. UNIPERSONALE</t>
  </si>
  <si>
    <t>Oltrevino di Antonio Lacerenza</t>
  </si>
  <si>
    <t>Original Salads srl</t>
  </si>
  <si>
    <t>P&amp;P LMC srl</t>
  </si>
  <si>
    <t>P&amp;P LMC SRL</t>
  </si>
  <si>
    <t>P.F.A Sas</t>
  </si>
  <si>
    <t>Parcheggi Italia spa</t>
  </si>
  <si>
    <t>PARCHEGGI ITALIA SPA</t>
  </si>
  <si>
    <t xml:space="preserve">Parcheggi Italia spa </t>
  </si>
  <si>
    <t>PC Genesi di Bosio Ferruccio</t>
  </si>
  <si>
    <t>Pedretti s.r.l.</t>
  </si>
  <si>
    <t>tranche di 13k di ottobre e novembre</t>
  </si>
  <si>
    <t>Per Più soluzioni srl</t>
  </si>
  <si>
    <t>PER PIÙ SOLUZIONI SRL</t>
  </si>
  <si>
    <t xml:space="preserve">ATT.FATTURA </t>
  </si>
  <si>
    <t>PESCE ROBERTO GEOM.</t>
  </si>
  <si>
    <t>PARCELLA</t>
  </si>
  <si>
    <t xml:space="preserve">Piccardi Maria </t>
  </si>
  <si>
    <t>PICCARDI MARINA</t>
  </si>
  <si>
    <t>PIT STOP REVOLUTION</t>
  </si>
  <si>
    <t>Pixartprinting spa</t>
  </si>
  <si>
    <t>Poggio Carlo</t>
  </si>
  <si>
    <t>file:///\\192.168.1.231\..\AppData\Acquisti\2020\Fatture\EV%20-%20proforme\EV%20-%20Poggio%20Carlo%20npf%2034_2020%20del%2018-06-2020.pdf</t>
  </si>
  <si>
    <t>Poker di Grassi Danilo</t>
  </si>
  <si>
    <t>Poma Mario srl</t>
  </si>
  <si>
    <t>Prean srl</t>
  </si>
  <si>
    <t>Project s.r.l.</t>
  </si>
  <si>
    <t>Punto gru di Romano Giuseppe</t>
  </si>
  <si>
    <t>Raz snc di Razmasa Davide e Dario</t>
  </si>
  <si>
    <t>RBP SRL</t>
  </si>
  <si>
    <t>Register spa</t>
  </si>
  <si>
    <t>Repower Vendita Italia</t>
  </si>
  <si>
    <t>Residenza  Paradiso srl</t>
  </si>
  <si>
    <t>Residenza Paradiso Srl</t>
  </si>
  <si>
    <t>Rinaldi Giulia</t>
  </si>
  <si>
    <t>Rinaldi Kristian</t>
  </si>
  <si>
    <t>RINALDI KRISTIAN</t>
  </si>
  <si>
    <t>Ristorante pizzeria Centauri di Merelli Annamaria</t>
  </si>
  <si>
    <t>Rocca Giuseppe</t>
  </si>
  <si>
    <t>Rubinetteria Shop srl</t>
  </si>
  <si>
    <t>Ruggipav sas di Trapletti Ruggero &amp;C.</t>
  </si>
  <si>
    <t>RUGGIPAV SAS DI TRAPLETTI RUGGERO &amp;C.</t>
  </si>
  <si>
    <t>S.E.A. s.r.l.</t>
  </si>
  <si>
    <t>Salvetti srl</t>
  </si>
  <si>
    <t>Bonifico BCC</t>
  </si>
  <si>
    <t>RIBA BCC</t>
  </si>
  <si>
    <t>Ser car ristorazione collettiva spa</t>
  </si>
  <si>
    <t xml:space="preserve">Ser car ristorazione collettiva spa </t>
  </si>
  <si>
    <t>Service Precast srl</t>
  </si>
  <si>
    <t>Sessantini Impianti srl</t>
  </si>
  <si>
    <t>SKLUM</t>
  </si>
  <si>
    <t>Solution srl</t>
  </si>
  <si>
    <t>Spelgatti srl</t>
  </si>
  <si>
    <t>Stella Home srl</t>
  </si>
  <si>
    <t>Studio Giagnoni STP s.r.l.</t>
  </si>
  <si>
    <t>STUDIO GIAGNONI STP S.R.L.</t>
  </si>
  <si>
    <t>Studio Giagnoni STP srl</t>
  </si>
  <si>
    <t xml:space="preserve">Studio Giagnoni STP srl </t>
  </si>
  <si>
    <t>Studio Legale Belloli e Associati</t>
  </si>
  <si>
    <t xml:space="preserve">vedi voce belloli con saldo tot ns partite aperte </t>
  </si>
  <si>
    <t>Studio notarile associato Tucci Turconi</t>
  </si>
  <si>
    <t>System project srl</t>
  </si>
  <si>
    <t>SYSTEM PROJECT SRL</t>
  </si>
  <si>
    <t>Tappezziere Moroni</t>
  </si>
  <si>
    <t>saldo rif fattura nr 8</t>
  </si>
  <si>
    <t>saldo rif fattura nr 9</t>
  </si>
  <si>
    <t xml:space="preserve">Taverna San Giorgio </t>
  </si>
  <si>
    <t>Techind</t>
  </si>
  <si>
    <t>Telepass spa</t>
  </si>
  <si>
    <t>TELEPASS SPA</t>
  </si>
  <si>
    <t xml:space="preserve">Telepass spa </t>
  </si>
  <si>
    <t>Termoidraulica V.M</t>
  </si>
  <si>
    <t>A RICEVERE?</t>
  </si>
  <si>
    <t>TERMOIDRAULICA V.M</t>
  </si>
  <si>
    <t>TOT. DEBITO A SALDO E STRALCIO ACCORDO DEL14,10,25_ DECRETO ING.5017/2025</t>
  </si>
  <si>
    <t>TIM S.p.a.</t>
  </si>
  <si>
    <t>TIM S.P.A.</t>
  </si>
  <si>
    <t>Tomasoni ing. Luigi</t>
  </si>
  <si>
    <t>Tony s.r.l.</t>
  </si>
  <si>
    <t>Top Coperture srl</t>
  </si>
  <si>
    <t>DA CONSIDERARE VENDITA IN PERMUTA APPARTAMENTO BERGAMO. MANCA SALDO PER CHIUDERE LA BANCA (IPOTIZZATO CIRCA UN 50K)</t>
  </si>
  <si>
    <t>Trattoria la patta</t>
  </si>
  <si>
    <t xml:space="preserve">FR A25/1433 </t>
  </si>
  <si>
    <t xml:space="preserve">Trattoria Parietti snc </t>
  </si>
  <si>
    <t>Trentino mobilita spa</t>
  </si>
  <si>
    <t>Tuttauto s.n.c. di Fornoni Giuseppe &amp; C.</t>
  </si>
  <si>
    <t>Ultrasonic srl</t>
  </si>
  <si>
    <t>Uniacque spa</t>
  </si>
  <si>
    <t>UNIACQUE SPA</t>
  </si>
  <si>
    <t xml:space="preserve">Unieuro spa </t>
  </si>
  <si>
    <t>V.E.M. srl</t>
  </si>
  <si>
    <t>Varg srl</t>
  </si>
  <si>
    <t>Verisure Italy srl</t>
  </si>
  <si>
    <t>VERISURE ITALY SRL</t>
  </si>
  <si>
    <t xml:space="preserve">Verti Assicurazioni </t>
  </si>
  <si>
    <t>Viemme Porte srl</t>
  </si>
  <si>
    <t>VIEMME PORTE SRL</t>
  </si>
  <si>
    <t xml:space="preserve">Vittoria Assicurazioni </t>
  </si>
  <si>
    <t>WBX srl</t>
  </si>
  <si>
    <t xml:space="preserve">WICASA SRL </t>
  </si>
  <si>
    <t>Wuerth s.r.l.</t>
  </si>
  <si>
    <t>Zaninoni Packaging</t>
  </si>
  <si>
    <t>ZANINONI PACKAGING</t>
  </si>
  <si>
    <t>Zanutta spa</t>
  </si>
  <si>
    <t>Zenoni Maicol Alessandro</t>
  </si>
  <si>
    <t>BONIFICO LUGLIO PIANO DI RIENTRO</t>
  </si>
  <si>
    <t>Abaco spa</t>
  </si>
  <si>
    <t>Amazon Businness</t>
  </si>
  <si>
    <t xml:space="preserve">A CREDITO </t>
  </si>
  <si>
    <t>Autostrada Pedemontane</t>
  </si>
  <si>
    <t>C:\Users\Ufficio\Desktop\Amministrazione\Acquisti\2020\Fatture\EV - proforme\EV - Bellini e associati npf 158_2020 del 22-09-2020.pdf</t>
  </si>
  <si>
    <t>Bricoman Italia s.r.l. società a socio unico</t>
  </si>
  <si>
    <t>Buttinni ferramente snc</t>
  </si>
  <si>
    <t>Comune di Alzano</t>
  </si>
  <si>
    <t>Consit Mangili Sibella srl</t>
  </si>
  <si>
    <t>01/09/2025</t>
  </si>
  <si>
    <t xml:space="preserve">RATEIZZATO CON ASSEGNI </t>
  </si>
  <si>
    <t>DA MAGGIO A AGOSTO 2025</t>
  </si>
  <si>
    <t>Edilscavi di Damiano Perani</t>
  </si>
  <si>
    <t>ENERGY EVOLUTION</t>
  </si>
  <si>
    <t>Euronics italia spa</t>
  </si>
  <si>
    <t xml:space="preserve">TUTTE </t>
  </si>
  <si>
    <t>Facchin Gru</t>
  </si>
  <si>
    <t>Fratelli Baggi srl</t>
  </si>
  <si>
    <t>FRATELLI MAZZA</t>
  </si>
  <si>
    <t>G.M.V. Impianti elettrici snc</t>
  </si>
  <si>
    <t>Idraulico Cattaneo Marco</t>
  </si>
  <si>
    <t>Ikea Italia</t>
  </si>
  <si>
    <t>Imberti Daniele</t>
  </si>
  <si>
    <t>JYSK Italia Srl</t>
  </si>
  <si>
    <t>LEADERS</t>
  </si>
  <si>
    <t xml:space="preserve">PROF 34 </t>
  </si>
  <si>
    <t>PROF????</t>
  </si>
  <si>
    <t>Leaders srl</t>
  </si>
  <si>
    <t>Locanda Rosa</t>
  </si>
  <si>
    <t>MAFFEIS CENTRO SERVIZI</t>
  </si>
  <si>
    <t>Markolor srl</t>
  </si>
  <si>
    <t>Ministero della Giustizia</t>
  </si>
  <si>
    <t xml:space="preserve">ACCONTO </t>
  </si>
  <si>
    <t>Perani Damiano</t>
  </si>
  <si>
    <t>Piccardi Marina</t>
  </si>
  <si>
    <t>125000</t>
  </si>
  <si>
    <t>Taverna San Giorgio</t>
  </si>
  <si>
    <t>Trattoria Parietti snc</t>
  </si>
  <si>
    <t>Unieuro spa</t>
  </si>
  <si>
    <t>Verti Assicurazioni</t>
  </si>
  <si>
    <t>Vittoria Assicurazioni</t>
  </si>
  <si>
    <t>WICASA SRL</t>
  </si>
  <si>
    <t>(vuoto)</t>
  </si>
  <si>
    <t>(Tutto)</t>
  </si>
  <si>
    <t>Etichette di riga</t>
  </si>
  <si>
    <t>Somma di Importo</t>
  </si>
  <si>
    <t xml:space="preserve">Consit Mangili Sibella srl </t>
  </si>
  <si>
    <t xml:space="preserve">GHILARDINI ILARIA </t>
  </si>
  <si>
    <t>Totale complessivo</t>
  </si>
  <si>
    <t>⚠️</t>
  </si>
  <si>
    <t xml:space="preserve">✅ </t>
  </si>
  <si>
    <t xml:space="preserve">ℹ️ </t>
  </si>
  <si>
    <t>IMPORTO SCHEDULATO</t>
  </si>
  <si>
    <t>IMPORTO SCHEDULATO PAGATO</t>
  </si>
  <si>
    <t>VERIFICA</t>
  </si>
  <si>
    <t>STATO</t>
  </si>
  <si>
    <t>Solution</t>
  </si>
  <si>
    <t>IDRIA</t>
  </si>
  <si>
    <t>TFR GIOVANNI</t>
  </si>
  <si>
    <t>TFR PRIORI</t>
  </si>
  <si>
    <t>E/U</t>
  </si>
  <si>
    <t>U</t>
  </si>
  <si>
    <t>Mese</t>
  </si>
  <si>
    <t>(più elementi)</t>
  </si>
  <si>
    <t>CONFERMATO?</t>
  </si>
  <si>
    <t>P</t>
  </si>
  <si>
    <t>Somma di Importo €</t>
  </si>
  <si>
    <t>Etichette di colonna</t>
  </si>
  <si>
    <t>INTESA</t>
  </si>
  <si>
    <t>SONDRIO</t>
  </si>
  <si>
    <t>Domiciliazioni varie</t>
  </si>
  <si>
    <t>28/02</t>
  </si>
  <si>
    <t>30/01</t>
  </si>
  <si>
    <t>30/03</t>
  </si>
  <si>
    <t>Mutuo bper</t>
  </si>
  <si>
    <t>Mutuo BPS</t>
  </si>
  <si>
    <t>01/02</t>
  </si>
  <si>
    <t>01/03</t>
  </si>
  <si>
    <t>Mutuo Intesa</t>
  </si>
  <si>
    <t>28/03</t>
  </si>
  <si>
    <t>Stipendi dipendenti</t>
  </si>
  <si>
    <t>15/02</t>
  </si>
  <si>
    <t>15/03</t>
  </si>
  <si>
    <t>TFR Priori</t>
  </si>
  <si>
    <t>WBX SRL</t>
  </si>
  <si>
    <t>GUALENI PAOLO</t>
  </si>
  <si>
    <t>MAZZOLENI RUDY</t>
  </si>
  <si>
    <t>CORNOLTI POSATORI SNC DEI F.LLI CORNOLTI</t>
  </si>
  <si>
    <t>AGRIRISTORANTE SANT'ALESSANDRO S.R.L.</t>
  </si>
  <si>
    <t>IMBERTI DANIELE</t>
  </si>
  <si>
    <t>ROCCA GIUSEPPE</t>
  </si>
  <si>
    <t>CASALI NICOLA</t>
  </si>
  <si>
    <t>CUCCHI PETER</t>
  </si>
  <si>
    <t>OLTREVINO DI ANTONIO LACERENZA</t>
  </si>
  <si>
    <t>ECOBERG SRL</t>
  </si>
  <si>
    <t>ELETTRAUTO BELOTTI FRANCO &amp; C. SNC</t>
  </si>
  <si>
    <t>LEADERS SRL</t>
  </si>
  <si>
    <t>RINALDI GIULIA</t>
  </si>
  <si>
    <t>GRUPPO NEGOZI SRL</t>
  </si>
  <si>
    <t>MAZZUCCHELLI NADIA</t>
  </si>
  <si>
    <t>PROJECT S.R.L.</t>
  </si>
  <si>
    <t>LEON D'ORO DI PAOLA CATRULLO</t>
  </si>
  <si>
    <t>STUDIO NOTARILE ASSOCIATO TUCCI TURCONI</t>
  </si>
  <si>
    <t>DA LEONE DI COSTA CARLO</t>
  </si>
  <si>
    <t>BORDOGNI FABIO</t>
  </si>
  <si>
    <t>PUNTO GRU DI ROMANO GIUSEPPE</t>
  </si>
  <si>
    <t>SESSANTINI IMPIANTI SRL</t>
  </si>
  <si>
    <t>VARG SRL</t>
  </si>
  <si>
    <t>BALLAN SPA</t>
  </si>
  <si>
    <t>ARTES S.R.L.</t>
  </si>
  <si>
    <t>TONY S.R.L.</t>
  </si>
  <si>
    <t>MARKOLOR SRL</t>
  </si>
  <si>
    <t>NAGOYA CURNO SRL</t>
  </si>
  <si>
    <t>MYA SRL</t>
  </si>
  <si>
    <t>GS RUBIERA SRL</t>
  </si>
  <si>
    <t>POMA MARIO SRL</t>
  </si>
  <si>
    <t>EUREKA LED DI ZHU MIAO</t>
  </si>
  <si>
    <t>SER CAR RISTORAZIONE COLLETTIVA SPA</t>
  </si>
  <si>
    <t>IRIS MOBILI SRL</t>
  </si>
  <si>
    <t>RISTORANTE PIZZERIA CENTAURI DI MERELLI ANNAMARIA</t>
  </si>
  <si>
    <t>DEUTSCHORDENSSCHWESTERN LANA</t>
  </si>
  <si>
    <t>RUBINETTERIA SHOP SRL</t>
  </si>
  <si>
    <t>ZENONI MAICOL ALESSANDRO</t>
  </si>
  <si>
    <t>EDILSCAVI DI DAMIANO PERANI</t>
  </si>
  <si>
    <t>BARAZZONI SPA</t>
  </si>
  <si>
    <t>ANSELMO S.R.L.</t>
  </si>
  <si>
    <t>CENPI SCRL</t>
  </si>
  <si>
    <t>TUTTAUTO S.N.C. DI FORNONI GIUSEPPE &amp; C.</t>
  </si>
  <si>
    <t>VEN0101001202</t>
  </si>
  <si>
    <t>AGOSTANI SRL CON SOCIO UNICO</t>
  </si>
  <si>
    <t>Giorno</t>
  </si>
  <si>
    <t>Beneficiario</t>
  </si>
  <si>
    <t>Importo €</t>
  </si>
  <si>
    <t>Conto</t>
  </si>
  <si>
    <t xml:space="preserve">SONDRIO </t>
  </si>
  <si>
    <t xml:space="preserve">Tot Saldo </t>
  </si>
  <si>
    <t>Colonna2</t>
  </si>
  <si>
    <t>Colonna3</t>
  </si>
  <si>
    <t>SALDI INIZIALI</t>
  </si>
  <si>
    <t>Al 29/09/2025</t>
  </si>
  <si>
    <t>Tutti i conti</t>
  </si>
  <si>
    <t>LEGENDA</t>
  </si>
  <si>
    <t>TOTALE SEPTEMBER 2025</t>
  </si>
  <si>
    <t>Riepilogo mese</t>
  </si>
  <si>
    <t>PROVVISORIA</t>
  </si>
  <si>
    <t>September 2025</t>
  </si>
  <si>
    <t>Mutuo BPM</t>
  </si>
  <si>
    <t>CONFERMATA</t>
  </si>
  <si>
    <t>BEPPE</t>
  </si>
  <si>
    <t>Viacard SEPA</t>
  </si>
  <si>
    <t>ENTRATE PREVISTE</t>
  </si>
  <si>
    <t>USCITE PREVISTE:</t>
  </si>
  <si>
    <t>DELTA:</t>
  </si>
  <si>
    <t>RIMANENZA PREVISTA:</t>
  </si>
  <si>
    <t>TOTALE OCTOBER 2025</t>
  </si>
  <si>
    <t>saldo (entrate-uscite)</t>
  </si>
  <si>
    <t>DI RIMANENZA EFFETTIVA</t>
  </si>
  <si>
    <t>October 2025</t>
  </si>
  <si>
    <t>Interessi e liquididazioni</t>
  </si>
  <si>
    <t>GIROCONTO</t>
  </si>
  <si>
    <t>DA BPER A BPM</t>
  </si>
  <si>
    <t>E</t>
  </si>
  <si>
    <t>DA SONDRIO A BPM</t>
  </si>
  <si>
    <t>PRIORI</t>
  </si>
  <si>
    <t>Interessi trimestrali BPM</t>
  </si>
  <si>
    <t>FINANZIAMENTO</t>
  </si>
  <si>
    <t>VERSAMENTO ILARIA</t>
  </si>
  <si>
    <t>Verisure RID</t>
  </si>
  <si>
    <t>06/10</t>
  </si>
  <si>
    <t>anticipo fatture bps</t>
  </si>
  <si>
    <t>anticipo fatture bcc</t>
  </si>
  <si>
    <t>Mutuo Brembilla</t>
  </si>
  <si>
    <t>Assicurazione Arca</t>
  </si>
  <si>
    <t>finanziamento bper</t>
  </si>
  <si>
    <t>DA SONDRIO A BCC</t>
  </si>
  <si>
    <t>DA BPER A BCC</t>
  </si>
  <si>
    <t>DA BPS A INTESA</t>
  </si>
  <si>
    <t>CARTA BPM 5396</t>
  </si>
  <si>
    <t>Bonifico + assegno 5120 del 13/10</t>
  </si>
  <si>
    <t>CAMBIALE</t>
  </si>
  <si>
    <t>RIMBORSO VERSAMENTO</t>
  </si>
  <si>
    <t>Borgia Box</t>
  </si>
  <si>
    <t>Borgia Box - FT 19</t>
  </si>
  <si>
    <t>Energy Evolution</t>
  </si>
  <si>
    <t>finanziamento bps</t>
  </si>
  <si>
    <t>Verti assicurazione clio</t>
  </si>
  <si>
    <t>30/10</t>
  </si>
  <si>
    <t>fornoni marmi</t>
  </si>
  <si>
    <t>Cofidis</t>
  </si>
  <si>
    <t>fratelli testa assegno</t>
  </si>
  <si>
    <t>Home in evolution</t>
  </si>
  <si>
    <t>restituzione conferimento</t>
  </si>
  <si>
    <t>Punto Gru</t>
  </si>
  <si>
    <t>Gypsum</t>
  </si>
  <si>
    <t>con pagamento ricezione ft 22 / CONDOMINIO SERENA</t>
  </si>
  <si>
    <t>Assicurazione Vittoria</t>
  </si>
  <si>
    <t>Assicurazione Bergamo, Via Ghislandi</t>
  </si>
  <si>
    <t>PROFORMA</t>
  </si>
  <si>
    <t>Madaschi</t>
  </si>
  <si>
    <t>Facchin</t>
  </si>
  <si>
    <t>decreto ingiuntivo</t>
  </si>
  <si>
    <t>Sessantini</t>
  </si>
  <si>
    <t>DONATI</t>
  </si>
  <si>
    <t>LANFRANCHI</t>
  </si>
  <si>
    <t>RODIGARI</t>
  </si>
  <si>
    <t>BACIS</t>
  </si>
  <si>
    <t>F24 Colombini</t>
  </si>
  <si>
    <t>Faro SX Dacia</t>
  </si>
  <si>
    <t>Davide Mancusi</t>
  </si>
  <si>
    <t>ASSEGNO</t>
  </si>
  <si>
    <t>Interessi e commissioni</t>
  </si>
  <si>
    <t>aggiornato al 21/10</t>
  </si>
  <si>
    <t>Cassa</t>
  </si>
  <si>
    <t>Assicurazione RC AON</t>
  </si>
  <si>
    <t>DA BCC A BPM</t>
  </si>
  <si>
    <t>Appartamento finale</t>
  </si>
  <si>
    <t xml:space="preserve">negozio finale </t>
  </si>
  <si>
    <t>Provvigioni Gabetti negozio</t>
  </si>
  <si>
    <t>Provvigioni Gabetti appartamento</t>
  </si>
  <si>
    <t>I24 Inail</t>
  </si>
  <si>
    <t>CARTA BCC *288</t>
  </si>
  <si>
    <t>contabile da mandare</t>
  </si>
  <si>
    <t>Wuerth</t>
  </si>
  <si>
    <t>PR Pesce</t>
  </si>
  <si>
    <t>Duferco</t>
  </si>
  <si>
    <t>DA SONDRIO A INTESA</t>
  </si>
  <si>
    <t>Olimpia energia</t>
  </si>
  <si>
    <t>ESTINZIONE MUTUO BREMBILLA</t>
  </si>
  <si>
    <t>Sorisole:  FT22 DEL 07/10 Certificato pagamento 1</t>
  </si>
  <si>
    <t>2431.40 DI RITENUTA DI ACCONTO</t>
  </si>
  <si>
    <t>PAGOPA</t>
  </si>
  <si>
    <t>Codice avviso: 300202000058421541.</t>
  </si>
  <si>
    <t>saldo cessione del quinto priori</t>
  </si>
  <si>
    <t>Priori fabrizio</t>
  </si>
  <si>
    <t>fratelli testa</t>
  </si>
  <si>
    <t>Vs assegno n.0014283786</t>
  </si>
  <si>
    <t>TOTALE NOVEMBER 2025</t>
  </si>
  <si>
    <t>November 2025</t>
  </si>
  <si>
    <t>01/11</t>
  </si>
  <si>
    <t>Codice avviso: 397000000112597392.</t>
  </si>
  <si>
    <t>Codice avviso: 397000000112597804.</t>
  </si>
  <si>
    <t>CARTA BPS 7639</t>
  </si>
  <si>
    <t>provini + pasto</t>
  </si>
  <si>
    <t>Borgia Box - FT 28</t>
  </si>
  <si>
    <t>Rit. Bonifici 937.70</t>
  </si>
  <si>
    <t>RIBA 10/11</t>
  </si>
  <si>
    <t>Ecotaurus</t>
  </si>
  <si>
    <t>30/11</t>
  </si>
  <si>
    <t>Sercar</t>
  </si>
  <si>
    <t>Bollettino postale</t>
  </si>
  <si>
    <t xml:space="preserve"> CCP nr.000000008003</t>
  </si>
  <si>
    <t>CARTA BPS 7621</t>
  </si>
  <si>
    <t>F24  INPS-INAIL</t>
  </si>
  <si>
    <t>10/11</t>
  </si>
  <si>
    <t>saldo cedolini 2025 PRORI</t>
  </si>
  <si>
    <t>Rodifari, Alberto, Simona, Kri</t>
  </si>
  <si>
    <t>Codice avviso: 397000000113063713.</t>
  </si>
  <si>
    <t>ft 31 - Condominio Serena</t>
  </si>
  <si>
    <t>RITENUTA DI 2800.49</t>
  </si>
  <si>
    <t>Idraulica Marco Cattaneo</t>
  </si>
  <si>
    <t>Markolor</t>
  </si>
  <si>
    <t>RIBA 30/11</t>
  </si>
  <si>
    <t>Versamenti rateali AdE</t>
  </si>
  <si>
    <t>f24 agenzia delle entrate</t>
  </si>
  <si>
    <t>Prean</t>
  </si>
  <si>
    <t>Anselmo</t>
  </si>
  <si>
    <t>DA BCC A INTESA</t>
  </si>
  <si>
    <t>Codice avviso: 300720000004905520.</t>
  </si>
  <si>
    <t>Codice avviso: 300010000267983562.</t>
  </si>
  <si>
    <t>Codice avviso: 326259100070161319.</t>
  </si>
  <si>
    <t>FT 27 - Sirio</t>
  </si>
  <si>
    <t>Assicurazione Genertel</t>
  </si>
  <si>
    <t>Targa GD763GG contratto 101865639</t>
  </si>
  <si>
    <t>home in evolution</t>
  </si>
  <si>
    <t>PAGOPA da i DEL 26.11.25 17:28Id.Tran.=99330996655-30048724568 899177</t>
  </si>
  <si>
    <t>*2025-11-28*GENERTEL S.P.A. 2025112600501378220006 RIMP0001 RIMBORSO POL. 101556154 CON SCAD. 05.11.EDILVERTOVA SRL</t>
  </si>
  <si>
    <t>Borgia Box - FT 29</t>
  </si>
  <si>
    <t>bonifico fuori piano di rientro mensilità settembre-ottobre</t>
  </si>
  <si>
    <t xml:space="preserve">Cenpi </t>
  </si>
  <si>
    <t>Euronics</t>
  </si>
  <si>
    <t>PAGATO IL PRIMO DI DICEMBRE</t>
  </si>
  <si>
    <t>Ft 28 - Edilinvestimenti</t>
  </si>
  <si>
    <t>CARTA BPM 0598</t>
  </si>
  <si>
    <t>DA BPM A BPER</t>
  </si>
  <si>
    <t>FCA BANK</t>
  </si>
  <si>
    <t>mercedes</t>
  </si>
  <si>
    <t>TOTALE DECEMBER 2025</t>
  </si>
  <si>
    <t>December 2025</t>
  </si>
  <si>
    <t>01/12</t>
  </si>
  <si>
    <t>30/12</t>
  </si>
  <si>
    <t>Mutuo bps</t>
  </si>
  <si>
    <t>Ft 23 - IMM SAVE</t>
  </si>
  <si>
    <t>889.80 euro tolti di gru (bonifico con riserva di ripetizione)</t>
  </si>
  <si>
    <t>Ft 23 - Edilinvestimenti</t>
  </si>
  <si>
    <t>SALDO PARTITE APERTE KRI (PER PENSIONE) + FT ILARIA + STIPENDI DIPENDENTI</t>
  </si>
  <si>
    <t>RIBA DEL 10/12: A CREDITO SICCOME GIA PAGATA CON ASSEGNO DEL 10/12</t>
  </si>
  <si>
    <t>FT 2 - RINALDI KRISTIAN</t>
  </si>
  <si>
    <t>PAGOPA da i DEL 15.12.25 17:2100012400150255379. multa garda del 03/12/2025</t>
  </si>
  <si>
    <t>CONTRIBUTI DIPENDENTI</t>
  </si>
  <si>
    <t>Caseificio Paleni</t>
  </si>
  <si>
    <t>FT 34 - Condominio Serena</t>
  </si>
  <si>
    <t>DA BPER A INTESA</t>
  </si>
  <si>
    <t>DA BPER A SONDRIO</t>
  </si>
  <si>
    <t>CONTRIBUTI DI NOVEMBRE</t>
  </si>
  <si>
    <t>Assegno ?</t>
  </si>
  <si>
    <t>CARTA BCC *877</t>
  </si>
  <si>
    <t>Pagamento preavviso numero 900219616-C/2025 Codice avviso: 304780000014631388.</t>
  </si>
  <si>
    <t>RID SU BCC</t>
  </si>
  <si>
    <t>saldo ft 34 - Condominio Serena</t>
  </si>
  <si>
    <t>Saldo ft 35 - Condominio Serena</t>
  </si>
  <si>
    <t>Contanti atti finale (-2000 gia dati ai dipendenti)</t>
  </si>
  <si>
    <t>TOTALE JANUARY 2026</t>
  </si>
  <si>
    <t>January 2026</t>
  </si>
  <si>
    <t>SALDO 65584.37</t>
  </si>
  <si>
    <t>SALDO 2593.51</t>
  </si>
  <si>
    <t>SALDO 14083.40</t>
  </si>
  <si>
    <t>SALDO 61.15</t>
  </si>
  <si>
    <t>01/01</t>
  </si>
  <si>
    <t>ASSEGNOD EL 07/01</t>
  </si>
  <si>
    <t>SEPA 13-01</t>
  </si>
  <si>
    <t>hanno portato avanti la pratica col legale</t>
  </si>
  <si>
    <t>CANTIERE DI BERGAMO Formazione di rampa</t>
  </si>
  <si>
    <t>TOTALE FEBRUARY 2026</t>
  </si>
  <si>
    <t>February 2026</t>
  </si>
  <si>
    <t>RIBA DEL 10/12</t>
  </si>
  <si>
    <t>emissione fattura 30/11</t>
  </si>
  <si>
    <t>CANTIERE DI SORISOLE Formazione di pavimento
industriale</t>
  </si>
  <si>
    <t>TOTALE MARCH 2026</t>
  </si>
  <si>
    <t>March 2026</t>
  </si>
  <si>
    <t>SCADENAZ ER AIL 31-01</t>
  </si>
  <si>
    <t>TOTALE APRIL 2026</t>
  </si>
  <si>
    <t>April 2026</t>
  </si>
  <si>
    <t>06/04</t>
  </si>
  <si>
    <t>15/04</t>
  </si>
  <si>
    <t>SETTEMBRE</t>
  </si>
  <si>
    <t>28/04</t>
  </si>
  <si>
    <t>TOTALE MAY 2026</t>
  </si>
  <si>
    <t>May 2026</t>
  </si>
  <si>
    <t>15/05</t>
  </si>
  <si>
    <t>28/05</t>
  </si>
  <si>
    <t>TOTALE JUNE 2026</t>
  </si>
  <si>
    <t>June 2026</t>
  </si>
  <si>
    <t>15/06</t>
  </si>
  <si>
    <t>28/06</t>
  </si>
  <si>
    <t>30/06</t>
  </si>
  <si>
    <t>TOTALE JULY 2026</t>
  </si>
  <si>
    <t>July 2026</t>
  </si>
  <si>
    <t>TOTALE A DEFINIRE</t>
  </si>
  <si>
    <t>Da definire</t>
  </si>
  <si>
    <t>?</t>
  </si>
  <si>
    <t>F24 mail 27/06</t>
  </si>
  <si>
    <t>Wix sito edilvertova</t>
  </si>
  <si>
    <t>Cavallini&amp;Partners</t>
  </si>
  <si>
    <t>Casali</t>
  </si>
  <si>
    <t>Cucchi</t>
  </si>
  <si>
    <t>Armici</t>
  </si>
  <si>
    <t>Lanfranchi carrelli</t>
  </si>
  <si>
    <t>Crediti fiscali</t>
  </si>
  <si>
    <t>Immobiliare72</t>
  </si>
  <si>
    <t>Imbersago</t>
  </si>
  <si>
    <t>Borgia box</t>
  </si>
  <si>
    <t>SGII</t>
  </si>
  <si>
    <t>SCADENZIARIO</t>
  </si>
  <si>
    <t>DATA</t>
  </si>
  <si>
    <t>IMPORTO</t>
  </si>
  <si>
    <t>BANCA - MUTUO</t>
  </si>
  <si>
    <t>DESCRIZIONE</t>
  </si>
  <si>
    <t>SOCIETA'</t>
  </si>
  <si>
    <t>SCADENZA</t>
  </si>
  <si>
    <t>IMPORTO PAGATO</t>
  </si>
  <si>
    <t>giorni alla prossima rata</t>
  </si>
  <si>
    <t>BCC - 19169</t>
  </si>
  <si>
    <t xml:space="preserve">BREMBILLA </t>
  </si>
  <si>
    <t>EV</t>
  </si>
  <si>
    <t>Amministrazione\Banca\Mutui\EV\BCC -9169 BREMBILLA\contabili\rata 139 del 06-07-2024.PDF</t>
  </si>
  <si>
    <t>Amministrazione\Banca\Mutui\EV\BCC -9169 BREMBILLA\contabili\rata 140 del 06-08-2024.pdf</t>
  </si>
  <si>
    <t>..\Amministrazione\Banca\Mutui\EV\BCC -9169 BREMBILLA\contabili\rata 141 del 06-09-2024.pdf</t>
  </si>
  <si>
    <t>..\Amministrazione\Banca\Mutui\EV\BCC -9169 BREMBILLA\contabili\rata 142 del 07-10-2024.PDF</t>
  </si>
  <si>
    <t>..\..\Downloads\stampa_20241107154129.pdf</t>
  </si>
  <si>
    <t>caricare contabile (scesa)</t>
  </si>
  <si>
    <t>BCC - 20476</t>
  </si>
  <si>
    <t>Amministrazione\Banca\Mutui\EV\BCC -0476 BREMBILLA BIS\contabili\rata 112 del 10-07-2024.PDF</t>
  </si>
  <si>
    <t>Amministrazione\Banca\Mutui\EV\BCC -0476 BREMBILLA BIS\contabili\rata 113 del 12-08-2024.PDF</t>
  </si>
  <si>
    <t>Amministrazione\Banca\Mutui\EV\BCC -0476 BREMBILLA BIS\contabili\rata 114 del 10-09-2024.pdf</t>
  </si>
  <si>
    <t>..\Amministrazione\Banca\Mutui\EV\BCC -0476 BREMBILLA BIS\contabili\rata 115 del 10-10-2024.PDF</t>
  </si>
  <si>
    <t>BPM - 8437</t>
  </si>
  <si>
    <t>CAPANNONE LIGURIA</t>
  </si>
  <si>
    <t>Amministrazione\Banca\Mutui\EV\BPM -8437 CAPANNONE\contabili\rata 53 del 30-06-2024.pdf</t>
  </si>
  <si>
    <t>Amministrazione\Banca\Mutui\EV\BPM -8437 CAPANNONE\contabili\rata 54 del 07-08-2024.pdf</t>
  </si>
  <si>
    <t>Amministrazione\Banca\Mutui\EV\BPM -8437 CAPANNONE\contabili\rata 55 del 05-09-2024.pdf</t>
  </si>
  <si>
    <t>..\Amministrazione\Banca\Mutui\EV\BPM -8437 CAPANNONE\contabili\rata 56 del 30-09-2024.pdf</t>
  </si>
  <si>
    <t>..\Amministrazione\Banca\Mutui\EV\BPM -8437 CAPANNONE\contabili\rata 57 del 31-10-2024.pdf</t>
  </si>
  <si>
    <t>BPM - 5964</t>
  </si>
  <si>
    <t>GHISLANDI - PREAMMORTAMENTO</t>
  </si>
  <si>
    <t>Amministrazione\Banca\Mutui\EV\BPM -5964 BERGAMO_VIA GHISLANDI\contabili\rata 5 del 02-07-2024.pdf</t>
  </si>
  <si>
    <t>Amministrazione\Banca\Mutui\EV\BPM -5964 BERGAMO_VIA GHISLANDI\contabili\rata 5 del 05-07-2024.pdf</t>
  </si>
  <si>
    <t>..\Amministrazione\Banca\Mutui\EV\BPM -5964 BERGAMO_VIA GHISLANDI\contabili\rata 6 del 30-09-2024.pdf</t>
  </si>
  <si>
    <t>verificare</t>
  </si>
  <si>
    <t>GHISLANDI - AMMORTAMENTO</t>
  </si>
  <si>
    <t>BPM - 1151</t>
  </si>
  <si>
    <t>LIQUIDITA'</t>
  </si>
  <si>
    <t>Amministrazione\Banca\Mutui\EV\BPM - 1151 F24 e 13MENSILITA'\contabilità\rata 4 del 26-06-2024.pdf</t>
  </si>
  <si>
    <t>Amministrazione\Banca\Mutui\EV\BPM - 1151 F24 e 13MENSILITA'\contabilità\rata 5 del 07-08-2024.pdf</t>
  </si>
  <si>
    <t>Amministrazione\Banca\Mutui\EV\BPM - 1151 F24 e 13MENSILITA'\contabilità\rata 6 del 30-08-2024.pdf</t>
  </si>
  <si>
    <t>..\Amministrazione\Banca\Mutui\EV\BPM - 1151 F24 e 13MENSILITA'\contabilità\rata 7 del 26-09-2024.pdf</t>
  </si>
  <si>
    <t>..\Amministrazione\Banca\Mutui\EV\BPM - 1151 F24 e 13MENSILITA'\contabilità\rata numero 8 del 26-10-2024.pdf</t>
  </si>
  <si>
    <t>..\Amministrazione\Banca\Mutui\EV\BPM - 1151 F24 e 13MENSILITA'\contabilità\rata numero 9 del 26-11-2024.pdf</t>
  </si>
  <si>
    <t>INTESA - 1506</t>
  </si>
  <si>
    <t>COVID</t>
  </si>
  <si>
    <t>..\..\..\..\Desktop\Amministrazione\Banca\Mutui\EV\INTESA - 1506 COVID\contabili\rata 18 del 30-06-2024.pdf</t>
  </si>
  <si>
    <t>Amministrazione\Banca\Mutui\EV\INTESA - 1506 COVID\contabili\rata 19 del 30-07-2024.pdf</t>
  </si>
  <si>
    <t>Amministrazione\Banca\Mutui\EV\INTESA - 1506 COVID\contabili\rata 20 del 30-08-2024.pdf</t>
  </si>
  <si>
    <t>INTESA - 1507</t>
  </si>
  <si>
    <t>INTESA - 1508</t>
  </si>
  <si>
    <t>INTESA - 1509</t>
  </si>
  <si>
    <t>INTESA - 1510</t>
  </si>
  <si>
    <t>INTESA - 1511</t>
  </si>
  <si>
    <t>INTESA - 1512</t>
  </si>
  <si>
    <t>INTESA - 1513</t>
  </si>
  <si>
    <t>INTESA - 1514</t>
  </si>
  <si>
    <t>INTESA - 1515</t>
  </si>
  <si>
    <t>INTESA - 1516</t>
  </si>
  <si>
    <t>INTESA - 1517</t>
  </si>
  <si>
    <t>INTESA - 1518</t>
  </si>
  <si>
    <t>INTESA - 1519</t>
  </si>
  <si>
    <t>INTESA - 1520</t>
  </si>
  <si>
    <t>INTESA - 1521</t>
  </si>
  <si>
    <t>INTESA - 1522</t>
  </si>
  <si>
    <t>INTESA - 1523</t>
  </si>
  <si>
    <t>INTESA - 1524</t>
  </si>
  <si>
    <t>INTESA - 1525</t>
  </si>
  <si>
    <t>INTESA - 1526</t>
  </si>
  <si>
    <t>INTESA - 1527</t>
  </si>
  <si>
    <t>INTESA - 1528</t>
  </si>
  <si>
    <t>INTESA - 1529</t>
  </si>
  <si>
    <t>INTESA - 1530</t>
  </si>
  <si>
    <t>INTESA - 1531</t>
  </si>
  <si>
    <t>INTESA - 1532</t>
  </si>
  <si>
    <t>INTESA - 1533</t>
  </si>
  <si>
    <t>INTESA - 1534</t>
  </si>
  <si>
    <t>INTESA - 1535</t>
  </si>
  <si>
    <t>BPS - 3086</t>
  </si>
  <si>
    <t>PRESTITO COOPERATIVO</t>
  </si>
  <si>
    <t>..\..\..\..\Desktop\Amministrazione\Banca\Mutui\EV\BPS -3086\contabili\rata 15 del 01-07-2024.pdf</t>
  </si>
  <si>
    <t>Amministrazione\Banca\Mutui\EV\BPS -3086\contabili\rata 16 del 01-07-2024.pdf</t>
  </si>
  <si>
    <t>..\Amministrazione\Banca\Mutui\EV\BPS -3086\contabili\rata 17 del 01-09-2024.pdf</t>
  </si>
  <si>
    <t>..\..\Downloads\stampa_20241015181111.pdf</t>
  </si>
  <si>
    <t>\\pc-simona\Scanner\20241119131727604.pdf</t>
  </si>
  <si>
    <t>FORNITORE</t>
  </si>
  <si>
    <t>DATA PAGAMENTO</t>
  </si>
  <si>
    <t>Assolari</t>
  </si>
  <si>
    <t>BCC - 601460</t>
  </si>
  <si>
    <t>\\pc-simona\Scanner\20241008092656706.pdf</t>
  </si>
  <si>
    <t>Viemme Porte</t>
  </si>
  <si>
    <t>\\PC-SIMONA\Scanner\20240905150523666.pdf</t>
  </si>
  <si>
    <t>Intesa Parquet</t>
  </si>
  <si>
    <t>\\pc-simona\Scanner\20240913120450131.pdf</t>
  </si>
  <si>
    <t>Edilcommercio</t>
  </si>
  <si>
    <t>\\pc-simona\Scanner\20240913122336791.pdf</t>
  </si>
  <si>
    <t>Intesa Work</t>
  </si>
  <si>
    <t>Zanutta</t>
  </si>
  <si>
    <t>\\pc-simona\Scanner\20241008111719671.pdf</t>
  </si>
  <si>
    <t>Carbonari Geom Giorgio</t>
  </si>
  <si>
    <t>BPM -1980</t>
  </si>
  <si>
    <t>\\pc-simona\Scanner\20241024131612765.pdf</t>
  </si>
  <si>
    <t>GMG</t>
  </si>
  <si>
    <t>BPM - 1980</t>
  </si>
  <si>
    <t>\\pc-simona\Scanner\20241022103204126.pdf</t>
  </si>
  <si>
    <t>TB carpenteria</t>
  </si>
  <si>
    <t>\\pc-simona\Scanner\20241010122902336.pdf</t>
  </si>
  <si>
    <t>\\pc-simona\Scanner\20240913122055537.pdf</t>
  </si>
  <si>
    <t>\\pc-simona\Scanner\20241010113731816.pdf</t>
  </si>
  <si>
    <t>\\pc-simona\Scanner\20241010113742250.pdf</t>
  </si>
  <si>
    <t>ASSEGNO CIRCOLARE</t>
  </si>
  <si>
    <t>\\pc-simona\Scanner\20241126124425421.pdf</t>
  </si>
  <si>
    <t>Termoidraulica</t>
  </si>
  <si>
    <t>\\pc-simona\Scanner\20241120131656659.pdf</t>
  </si>
  <si>
    <t>\\pc-simona\Scanner\20241003151040376.pdf</t>
  </si>
  <si>
    <t>Service Precast</t>
  </si>
  <si>
    <t>\\pc-simona\Scanner\20241118113336886.pdf</t>
  </si>
  <si>
    <t>RC IMPIANTI</t>
  </si>
  <si>
    <t>..\..\Downloads\rc impianti.pdf</t>
  </si>
  <si>
    <t>\\pc-simona\Scanner\20241107154310490.pdf</t>
  </si>
  <si>
    <t>Ballan</t>
  </si>
  <si>
    <t>\\pc-simona\Scanner\20241018153011078.pdf</t>
  </si>
  <si>
    <t>\\pc-simona\Scanner\20241211143305789.pdf</t>
  </si>
  <si>
    <t>Zanotti Walter</t>
  </si>
  <si>
    <t>\\pc-simona\Scanner\20241206113310737.pdf</t>
  </si>
  <si>
    <t>BCC -601460</t>
  </si>
  <si>
    <t>\\pc-simona\Scanner\20241203112550383.pdf</t>
  </si>
  <si>
    <t>\\pc-simona\Scanner\20241118112332435.pdf</t>
  </si>
  <si>
    <t>\\pc-simona\Scanner\20250114091146131.pdf</t>
  </si>
  <si>
    <t>\\pc-simona\Scanner\20250110110756354.pdf</t>
  </si>
  <si>
    <t>\\pc-simona\Scanner\20241211143251007.pdf</t>
  </si>
  <si>
    <t>\\pc-simona\Scanner\20250307110138995.pdf</t>
  </si>
  <si>
    <t>\\pc-simona\Scanner\20250307105752139.pdf</t>
  </si>
  <si>
    <t>\\pc-simona\Scanner\20250114092241954.pdf</t>
  </si>
  <si>
    <t>\\PC-SIMONA\Scanner\20250108171156662.pdf</t>
  </si>
  <si>
    <t>\\pc-simona\Scanner\20250314172055373.pdf</t>
  </si>
  <si>
    <t>Spelgatti</t>
  </si>
  <si>
    <t>\\pc-simona\Scanner\20250417134304452.pdf</t>
  </si>
  <si>
    <t>\\pc-simona\Scanner\20250321182240624.pdf</t>
  </si>
  <si>
    <t>\\pc-simona\Scanner\20250507104247005.pdf</t>
  </si>
  <si>
    <t>La piazzoni</t>
  </si>
  <si>
    <t>\\pc-simona\Scanner\20250617212426484.pdf</t>
  </si>
  <si>
    <t>Salvetti</t>
  </si>
  <si>
    <t>\\pc-simona\Scanner\20250520163754893.pdf</t>
  </si>
  <si>
    <t>EDV</t>
  </si>
  <si>
    <t>\\pc-simona\Scanner\20250325130127835.pdf</t>
  </si>
  <si>
    <t>\\pc-simona\Scanner\20250625152203597.pdf</t>
  </si>
  <si>
    <t>\\pc-simona\Scanner\20250507104602039.pdf</t>
  </si>
  <si>
    <t>Edilcommericio</t>
  </si>
  <si>
    <t>\\pc-simona\Scanner\20250507124826412.pdf</t>
  </si>
  <si>
    <t>Edilcommercvio</t>
  </si>
  <si>
    <t>\\pc-simona\Scanner\20250508181512591.pdf</t>
  </si>
  <si>
    <t>\\192.168.1.231\scambio\KRISTIAN\FORNITORI\CONTESTAZIONI\WUERTH.pdf</t>
  </si>
  <si>
    <t>\\pc-simona\Scanner\20250612130320242.pdf</t>
  </si>
  <si>
    <t>\\pc-simona\Scanner\20250612130304684.pdf</t>
  </si>
  <si>
    <t>Crimer</t>
  </si>
  <si>
    <t>\\pc-simona\Scanner\20250723104227997.pdf</t>
  </si>
  <si>
    <t>BPS</t>
  </si>
  <si>
    <t>ANTICIPO FATTURE</t>
  </si>
  <si>
    <t>..\..\Downloads\Richiesta di anticipo 213907 (2).pdf</t>
  </si>
  <si>
    <t>\\pc-simona\Scanner\20250311155932969.pdf</t>
  </si>
  <si>
    <t>F.lli testa</t>
  </si>
  <si>
    <t>\\pc-simona\Scanner\20250925153046250.pdf</t>
  </si>
  <si>
    <t>\\pc-simona\Scanner\20250731161902022.pdf</t>
  </si>
  <si>
    <t>\\pc-simona\Scanner\EDILCASSA_RIENTRO.pdf</t>
  </si>
  <si>
    <t>\\pc-simona\Scanner\20250924130627209.pdf</t>
  </si>
  <si>
    <t>\\pc-simona\Scanner\20251113145550165.pdf</t>
  </si>
  <si>
    <t>\\pc-simona\Scanner\20251205165415386.pdf</t>
  </si>
  <si>
    <t>\\pc-simona\Scanner\20251028113426983.pdf</t>
  </si>
  <si>
    <t xml:space="preserve">Bianca Leidi </t>
  </si>
  <si>
    <t>ANNULLATO</t>
  </si>
  <si>
    <t>\\pc-simona\Scanner\20250311160355200.pdf</t>
  </si>
  <si>
    <t>Cliente</t>
  </si>
  <si>
    <t>Nro Contratto</t>
  </si>
  <si>
    <t xml:space="preserve">Ramo </t>
  </si>
  <si>
    <t>Rischio</t>
  </si>
  <si>
    <t xml:space="preserve">Frazionamento </t>
  </si>
  <si>
    <t>N.</t>
  </si>
  <si>
    <t xml:space="preserve">Scadenza </t>
  </si>
  <si>
    <t>USCITA ANNUA</t>
  </si>
  <si>
    <t xml:space="preserve">Compagnia </t>
  </si>
  <si>
    <t>scadenza</t>
  </si>
  <si>
    <t>Edilvertova srl</t>
  </si>
  <si>
    <t>406549610</t>
  </si>
  <si>
    <t>Decennale postuma</t>
  </si>
  <si>
    <t>Via P. Cavalli 20 - Villa Di Serio (BG) - 24020</t>
  </si>
  <si>
    <t>Temporanea</t>
  </si>
  <si>
    <t>AXA ASS.NI SPA - Gerenza Milano</t>
  </si>
  <si>
    <t>1397060</t>
  </si>
  <si>
    <t>Via San Francesco d'Assisi, Dalmine (BG), 24044</t>
  </si>
  <si>
    <t>REVO S.P.A. - Agenzia Acc Marchesi</t>
  </si>
  <si>
    <t>1499456</t>
  </si>
  <si>
    <t>Via Caffaro 2, Bergamo (BG), 24124</t>
  </si>
  <si>
    <t>407555354</t>
  </si>
  <si>
    <t>Via Lavi 59/60, Treviolo (BG), 24048</t>
  </si>
  <si>
    <t>412119551</t>
  </si>
  <si>
    <t>Via Ghislandi 51, Bergamo (BG), 24125</t>
  </si>
  <si>
    <t>AXA ASS.NI SPA - Agenzia Assiprefin</t>
  </si>
  <si>
    <t>537.047.0000907237</t>
  </si>
  <si>
    <t>Incendio</t>
  </si>
  <si>
    <t>Via Vittore Ghislandi snc, Bergamo (BG), 24125</t>
  </si>
  <si>
    <t>Annuale</t>
  </si>
  <si>
    <t>VITTORIA - Agenzia F.lli Giovanardi</t>
  </si>
  <si>
    <t>537.058.0000905397</t>
  </si>
  <si>
    <t>Via Dell'Artigianato 76, Finale Ligure (SV), 17024</t>
  </si>
  <si>
    <t>411593602</t>
  </si>
  <si>
    <t>Legge 210</t>
  </si>
  <si>
    <t>Ghilardini Ilaria</t>
  </si>
  <si>
    <t>Semestrale</t>
  </si>
  <si>
    <t>409729043</t>
  </si>
  <si>
    <t>Bianchi - Ceccon</t>
  </si>
  <si>
    <t>409729344</t>
  </si>
  <si>
    <t>Silvestro</t>
  </si>
  <si>
    <t>409729408</t>
  </si>
  <si>
    <t>Mora - Austoni</t>
  </si>
  <si>
    <t>409786137</t>
  </si>
  <si>
    <t>Bianchi Michele</t>
  </si>
  <si>
    <t>47878304</t>
  </si>
  <si>
    <t>RCT/RCO</t>
  </si>
  <si>
    <t>HELVETIA - Agenzia Euroconsulting srl</t>
  </si>
  <si>
    <t>084.058.0000912303</t>
  </si>
  <si>
    <t>Globale abitazione</t>
  </si>
  <si>
    <t>Via Li Sambuli Snc, Trinità D'Agultu e Vignola (SS), 07038</t>
  </si>
  <si>
    <t>VITTORIA - Agenzia Cortesi</t>
  </si>
  <si>
    <t>538386355</t>
  </si>
  <si>
    <t>RC AUTOCARRO/I/F-KAS</t>
  </si>
  <si>
    <t>FL041BG</t>
  </si>
  <si>
    <t>ALLIANZ NEXT SPA - Euroconsulting</t>
  </si>
  <si>
    <t>200748182</t>
  </si>
  <si>
    <t>RCA/INC/F/KASKO</t>
  </si>
  <si>
    <t>GE350GF</t>
  </si>
  <si>
    <t>UNIPOL SPA Gerenza</t>
  </si>
  <si>
    <t>TOTALE ANNUO ASSICURAZIOINI</t>
  </si>
  <si>
    <t>DOMICILIAZIONE</t>
  </si>
  <si>
    <t>APRILE</t>
  </si>
  <si>
    <t>MAGGIO</t>
  </si>
  <si>
    <t>GIUGNO</t>
  </si>
  <si>
    <t>LUGLIO</t>
  </si>
  <si>
    <t>AGOSTO</t>
  </si>
  <si>
    <t>OTTOBRE</t>
  </si>
  <si>
    <t>NOVEMBRE</t>
  </si>
  <si>
    <t>DICEMBRE</t>
  </si>
  <si>
    <t>GENNAIO</t>
  </si>
  <si>
    <t>FEBBRAIO</t>
  </si>
  <si>
    <t>MARZO</t>
  </si>
  <si>
    <t>MEDIA</t>
  </si>
  <si>
    <t>DA CONSIDERARE DI ADDEBITI NEL MESE</t>
  </si>
  <si>
    <t>CARTA 8577</t>
  </si>
  <si>
    <t>CARTA 6468</t>
  </si>
  <si>
    <t>CARTA 3877</t>
  </si>
  <si>
    <t>il 25</t>
  </si>
  <si>
    <t>CARTA 9288</t>
  </si>
  <si>
    <t>UTN</t>
  </si>
  <si>
    <t>COFIDIS</t>
  </si>
  <si>
    <t>VERISURE</t>
  </si>
  <si>
    <t>l'1</t>
  </si>
  <si>
    <t>CHIURLO</t>
  </si>
  <si>
    <t>CULLIGAN</t>
  </si>
  <si>
    <t>BANCA POPOLARE DI BERGAMO</t>
  </si>
  <si>
    <t>BANCA PSA</t>
  </si>
  <si>
    <t>E.ON</t>
  </si>
  <si>
    <t>il 15</t>
  </si>
  <si>
    <t>RCI BANQUE</t>
  </si>
  <si>
    <t>il 14</t>
  </si>
  <si>
    <t>OLIMPIA</t>
  </si>
  <si>
    <t>MET</t>
  </si>
  <si>
    <t>BIELLA</t>
  </si>
  <si>
    <t>KUWAIT</t>
  </si>
  <si>
    <t>il 5 ed il 20</t>
  </si>
  <si>
    <t>TELECOM - TIM</t>
  </si>
  <si>
    <t>Il 10</t>
  </si>
  <si>
    <t>REPOWER</t>
  </si>
  <si>
    <t>AUTOSTRADE</t>
  </si>
  <si>
    <t>L'1 SU BPS</t>
  </si>
  <si>
    <t>TELEPASS</t>
  </si>
  <si>
    <t>TOT</t>
  </si>
  <si>
    <t>DATA ACCORDO</t>
  </si>
  <si>
    <t>DESCRIZIONE ACCORDO</t>
  </si>
  <si>
    <t>IMPORTO DELL'ACCORDO</t>
  </si>
  <si>
    <t>RIFERIMENTI</t>
  </si>
  <si>
    <t>RATE E SCADENZE CONCORDATE</t>
  </si>
  <si>
    <t>NOTE LEGALI/CONDIZIONI</t>
  </si>
  <si>
    <t>Lavori su Varigotti</t>
  </si>
  <si>
    <t>\\192.168.1.231\scambio\KRISTIAN\FORNITORI\CONTESTAZIONI\ANSELMO.pdf</t>
  </si>
  <si>
    <t>4 rate da 2192.41</t>
  </si>
  <si>
    <t>saldo ft 483-519</t>
  </si>
  <si>
    <t>..\..\..\KRISTIAN\FORNITORI\CONTESTAZIONI\ARTES.pdf</t>
  </si>
  <si>
    <t>entro settembre</t>
  </si>
  <si>
    <t>nessuna nota legale</t>
  </si>
  <si>
    <t>nessun accordo</t>
  </si>
  <si>
    <t>ritiro e smaltimento di materiali edili</t>
  </si>
  <si>
    <t>chiedono il saldo in un'unica volta</t>
  </si>
  <si>
    <t>minacciano l'intervento del loro legale</t>
  </si>
  <si>
    <t>Bosio Commerciale</t>
  </si>
  <si>
    <t>saldo ft 697-606</t>
  </si>
  <si>
    <t>passato in ufficio il 17/07/2025, da sentire per pagamenti</t>
  </si>
  <si>
    <t>Buttinoni</t>
  </si>
  <si>
    <t xml:space="preserve">ft </t>
  </si>
  <si>
    <t>saldo riba vecchia</t>
  </si>
  <si>
    <t>PRIORI CESSIONE QUINTO</t>
  </si>
  <si>
    <t>settimana del 21</t>
  </si>
  <si>
    <t>CriMer</t>
  </si>
  <si>
    <t>ft ?</t>
  </si>
  <si>
    <t>saldiamo la riba di agosto e la restando ci vediamo a settembre</t>
  </si>
  <si>
    <t>chiamato in ufficio</t>
  </si>
  <si>
    <t>Delprino</t>
  </si>
  <si>
    <t>\\192.168.1.231\scambio\KRISTIAN\FORNITORI\CONTESTAZIONI\DELPRINO.txt</t>
  </si>
  <si>
    <t>saldo ft 2078 2723 3394 4108</t>
  </si>
  <si>
    <t>..\..\..\KRISTIAN\FORNITORI\CONTESTAZIONI\ECOTAURUS.pdf</t>
  </si>
  <si>
    <t>mandano comunicazioni mail. Ultima di 19/07/2025</t>
  </si>
  <si>
    <t>ESSEBI</t>
  </si>
  <si>
    <t>saldo fattura 24 del 29/04/2025</t>
  </si>
  <si>
    <t>\\192.168.1.231\scambio\KRISTIAN\FORNITORI\CONTESTAZIONI\ESSEBI.pdf</t>
  </si>
  <si>
    <t>DIFFIDA 25/06</t>
  </si>
  <si>
    <t>NOTA LEGALE E DIFFIDA</t>
  </si>
  <si>
    <t>cantieri pregressi</t>
  </si>
  <si>
    <t>\\192.168.1.231\scambio\KRISTIAN\FORNITORI\CONTESTAZIONI\FRATELLI_TESTA.pdf</t>
  </si>
  <si>
    <t>nell'allegato mancano bonifico di 5000 fatto ad inizio giugno</t>
  </si>
  <si>
    <t>rientro di fattura di 1162.73</t>
  </si>
  <si>
    <t>\\192.168.1.231\scambio\KRISTIAN\FORNITORI\CONTESTAZIONI\GYPSUM.pdf</t>
  </si>
  <si>
    <t>ci sentiamo a metà Luglio</t>
  </si>
  <si>
    <t>fornitura di attrezzatura edile</t>
  </si>
  <si>
    <t>\\192.168.1.231\scambio\KRISTIAN\FORNITORI\CONTESTAZIONI\LA PIAZZONI.pdf</t>
  </si>
  <si>
    <t>25000 ogni mese da giugno a settembre</t>
  </si>
  <si>
    <t>Comune di Vertova</t>
  </si>
  <si>
    <t>situazione GHILARDINI ILARIA</t>
  </si>
  <si>
    <t>Rata mensile di 254,56 euro a partire dal 31/12/2024</t>
  </si>
  <si>
    <t>Comune di Gazzaniga</t>
  </si>
  <si>
    <t>da definire quando pagare</t>
  </si>
  <si>
    <t>Libreria amministrativa</t>
  </si>
  <si>
    <t xml:space="preserve">ufficio </t>
  </si>
  <si>
    <t>\\192.168.1.231\scambio\KRISTIAN\FORNITORI\CONTESTAZIONI\LIBRERIA AMMINISTRATIVA.pdf</t>
  </si>
  <si>
    <t>SALDO</t>
  </si>
  <si>
    <t>madaschi Giuseppe</t>
  </si>
  <si>
    <t>manutenzione mezzi</t>
  </si>
  <si>
    <t>Medici</t>
  </si>
  <si>
    <t>Opere su Bergamo Ghislandi</t>
  </si>
  <si>
    <t xml:space="preserve">in parole con Ilaria </t>
  </si>
  <si>
    <t>nessuna nota legale, non ci lavora finchè non ha il saldo</t>
  </si>
  <si>
    <t>slado della riba insoluta + accordo per ritiro crediti</t>
  </si>
  <si>
    <t>\\192.168.1.231\scambio\KRISTIAN\FORNITORI\CONTESTAZIONI\PEDRETTI.pdf</t>
  </si>
  <si>
    <t>ricevuto diffida il 21/05/2025</t>
  </si>
  <si>
    <t>diffida del 21/05/2025</t>
  </si>
  <si>
    <t>opere di demolizioni e scavi</t>
  </si>
  <si>
    <t>\\pc-simona\Scanner\20250702155421530.pdf</t>
  </si>
  <si>
    <t>Accordo parlato col titolare di un rientro mensile con importi a noi comodi</t>
  </si>
  <si>
    <t>Poker Grassi Danilo</t>
  </si>
  <si>
    <t>linee vita di Torre Boldone</t>
  </si>
  <si>
    <t>\\192.168.1.231\scambio\KRISTIAN\FORNITORI\CONTESTAZIONI\POKER GRASSI.pdf</t>
  </si>
  <si>
    <t>nessuna nota legale per ora</t>
  </si>
  <si>
    <t>Project srl</t>
  </si>
  <si>
    <t>vetri Torre Boldone</t>
  </si>
  <si>
    <t>\\192.168.1.231\scambio\KRISTIAN\FORNITORI\CONTESTAZIONI\PROJECT SRL.pdf</t>
  </si>
  <si>
    <t>fornitura di ferro per carpenteria</t>
  </si>
  <si>
    <t>\\192.168.1.231\scambio\KRISTIAN\FORNITORI\CONTESTAZIONI\RBP.pdf</t>
  </si>
  <si>
    <t>entro fine marzo 12600</t>
  </si>
  <si>
    <t>cantiere di Bergamo e Scanzorosciate</t>
  </si>
  <si>
    <t>\\192.168.1.231\scambio\KRISTIAN\FORNITORI\CONTESTAZIONI\ALMICI_CLAUDIO RAMPINELLI.pdf</t>
  </si>
  <si>
    <t>chiede informaizoni circa il saldo</t>
  </si>
  <si>
    <t>porte Bergamo Ghislandi</t>
  </si>
  <si>
    <t>\\192.168.1.231\scambio\KRISTIAN\FORNITORI\CONTESTAZIONI\ROCCA.png</t>
  </si>
  <si>
    <t>rimasto col saldo per metà Giugno con incassi dei bonus, che non abbiamo rispettato</t>
  </si>
  <si>
    <t>Prossimi col legale</t>
  </si>
  <si>
    <t>sollecita per il saldo dell'ultima fattura di Scanzo</t>
  </si>
  <si>
    <t>\\192.168.1.231\scambio\KRISTIAN\FORNITORI\CONTESTAZIONI\RUGGIPAV.pdf</t>
  </si>
  <si>
    <t>PER FARE RAMPA KENNEDY + BERGAMO</t>
  </si>
  <si>
    <t>\\192.168.1.231\scambio\KRISTIAN\FORNITORI\CONTESTAZIONI\SALVETTI.pdf</t>
  </si>
  <si>
    <t>accordo scritto già non rispettato</t>
  </si>
  <si>
    <t>Sebach</t>
  </si>
  <si>
    <t>chiedono riscontro e saldo in merito a ft insolute per 750euro</t>
  </si>
  <si>
    <t>\\192.168.1.231\scambio\KRISTIAN\FORNITORI\CONTESTAZIONI\SEBACH.pdf</t>
  </si>
  <si>
    <t>500 entro il 15/07</t>
  </si>
  <si>
    <t>legale</t>
  </si>
  <si>
    <t>hanno atto di ingiunzione dei conti con legale.</t>
  </si>
  <si>
    <t>\\192.168.1.231\scambio\KRISTIAN\FORNITORI\CONTESTAZIONI\SPELGATTI.pdf</t>
  </si>
  <si>
    <t>15/04-15/05-15/06-15/07</t>
  </si>
  <si>
    <t xml:space="preserve">PAGAMENTO </t>
  </si>
  <si>
    <t>CHIAMATO + MAIL. ABBASTANZA PAZIENTI</t>
  </si>
  <si>
    <t>\\pc-simona\Scanner\20250702154058756.pdf</t>
  </si>
  <si>
    <t>9487 nel breve e due tranche di 17.000 nel medio lungo periodo</t>
  </si>
  <si>
    <t>VEM</t>
  </si>
  <si>
    <t>Settimana del 21</t>
  </si>
  <si>
    <t>forniture varie</t>
  </si>
  <si>
    <t>Detto importo potrà essere versato in 3 rate da € 1.236,82 ciascuna a partire dal 30 giugno 2025 e successive a 30 gg.</t>
  </si>
  <si>
    <t>decreto ingiuntivo dal 15/07/2025</t>
  </si>
  <si>
    <t>Bellini associati</t>
  </si>
  <si>
    <t>proforme mai saldate</t>
  </si>
  <si>
    <t>vedi mail del 18/07 dove cheidono il saldo delle proforme aperte</t>
  </si>
  <si>
    <t>..\..\..\KRISTIAN\FORNITORI\CONTESTAZIONI\FORNONIMARMI.pdf</t>
  </si>
  <si>
    <t>mandano mail per pagamento bonifico siccome riba respinta</t>
  </si>
  <si>
    <t>SALDO FT</t>
  </si>
  <si>
    <t>han chiamato, son rimasto col saldo per metà/fine ottobre</t>
  </si>
  <si>
    <t>NSA</t>
  </si>
  <si>
    <t>CHIEDONO SALDO FATTURA DI FINE SETTEMBRE</t>
  </si>
  <si>
    <t>han chiamato ed ho speso parole per un saldo a 60giorni, quindi per fine novembre</t>
  </si>
  <si>
    <t>Almici</t>
  </si>
  <si>
    <t>acconto subito 50% entro fine anno</t>
  </si>
  <si>
    <t>Andrea Losa</t>
  </si>
  <si>
    <t>Artes</t>
  </si>
  <si>
    <t>assolari assegno</t>
  </si>
  <si>
    <t>da pianificare</t>
  </si>
  <si>
    <t>Belloli attilio</t>
  </si>
  <si>
    <t>Bergamelli</t>
  </si>
  <si>
    <t>Bigaglia</t>
  </si>
  <si>
    <t>postatato al 2026</t>
  </si>
  <si>
    <t>Bordogni</t>
  </si>
  <si>
    <t>Borgia</t>
  </si>
  <si>
    <t>eliminare</t>
  </si>
  <si>
    <t>Bosio commerciale</t>
  </si>
  <si>
    <t>40% subito 40% novembre + saldo entro fine anno</t>
  </si>
  <si>
    <t>contestare</t>
  </si>
  <si>
    <t>pagato</t>
  </si>
  <si>
    <t>da pagare entro fine anno</t>
  </si>
  <si>
    <t>Culligan</t>
  </si>
  <si>
    <t>da scadenziare</t>
  </si>
  <si>
    <t>Ecoberg</t>
  </si>
  <si>
    <t>tassativo</t>
  </si>
  <si>
    <t>edilcommercio cambiale</t>
  </si>
  <si>
    <t>Edilcommercio cambiale</t>
  </si>
  <si>
    <t>Edilnova</t>
  </si>
  <si>
    <t>assolutamente da postadare</t>
  </si>
  <si>
    <t>tassativo 48000 in 3 rate</t>
  </si>
  <si>
    <t>20.000 in 6 rate mensili</t>
  </si>
  <si>
    <t>65000 diecimila al amese</t>
  </si>
  <si>
    <t>GMV</t>
  </si>
  <si>
    <t>Kuwait RID</t>
  </si>
  <si>
    <t>Leaders</t>
  </si>
  <si>
    <t>18000 in 3 rate</t>
  </si>
  <si>
    <t>LuceIn</t>
  </si>
  <si>
    <t>4000 in due rate</t>
  </si>
  <si>
    <t>Met energia</t>
  </si>
  <si>
    <t>Pedretti</t>
  </si>
  <si>
    <t>105.000 in 7 tranche</t>
  </si>
  <si>
    <t>Perani</t>
  </si>
  <si>
    <t>28.000 in 4 tranche</t>
  </si>
  <si>
    <t>PR Cortinovis</t>
  </si>
  <si>
    <t>RBP</t>
  </si>
  <si>
    <t>31000 in 3 rate</t>
  </si>
  <si>
    <t>riba salvetti</t>
  </si>
  <si>
    <t>Rimborso finanziamento Ilaria</t>
  </si>
  <si>
    <t>salvetti</t>
  </si>
  <si>
    <t>65000 in 5 rate mensili</t>
  </si>
  <si>
    <t>Spettanze Ilaria e Kri</t>
  </si>
  <si>
    <t>Stipendio Priori</t>
  </si>
  <si>
    <t>Tappezzeria Moroni</t>
  </si>
  <si>
    <t>12.000 in 4 rate</t>
  </si>
  <si>
    <t>70000 IN 5 RATE</t>
  </si>
  <si>
    <t>Top Coperture</t>
  </si>
  <si>
    <t>Uniacque</t>
  </si>
  <si>
    <t>Versamento Ilaria</t>
  </si>
  <si>
    <t>AK INFORMATICA TECH SRL</t>
  </si>
  <si>
    <t>AL GARGHET SAS DI CIPOLLA EMANUELA  E C.</t>
  </si>
  <si>
    <t>ANDREA LOSA GIARDINI S.R.L.</t>
  </si>
  <si>
    <t>ANTONIO GIANNETTA NOTAIO</t>
  </si>
  <si>
    <t>RIF 480+ MAIL 30.06.25</t>
  </si>
  <si>
    <t>ASSOLARI DOMENICO E C. SNC</t>
  </si>
  <si>
    <t>NOTA DI CREDITO 752</t>
  </si>
  <si>
    <t>AUTOSTRADA PEDEMONTANE</t>
  </si>
  <si>
    <t>AVV. 100073157669</t>
  </si>
  <si>
    <t>AVVOCATO ALBERTO FERRARI</t>
  </si>
  <si>
    <t>PROFORMA257</t>
  </si>
  <si>
    <t>AVVOCATO ANTONIO GIANNETTA</t>
  </si>
  <si>
    <t>BACCINO MARCO</t>
  </si>
  <si>
    <t>BANCO BPM</t>
  </si>
  <si>
    <t>BELLINI E ASSOCIATI</t>
  </si>
  <si>
    <t>NOTA PROVV. 173/2023</t>
  </si>
  <si>
    <t>DOC. 4139</t>
  </si>
  <si>
    <t>STUDIO LEGALE BELLOLI E ASSOCIATI</t>
  </si>
  <si>
    <t>DOC. 4162</t>
  </si>
  <si>
    <t>DOC. 4173</t>
  </si>
  <si>
    <t>DOC. 4185</t>
  </si>
  <si>
    <t>DOC. 4195</t>
  </si>
  <si>
    <t>BERGAMELLI SRL</t>
  </si>
  <si>
    <t>BIALETTI STORE SRL</t>
  </si>
  <si>
    <t>BONGIORNO ANTINFORTUNISTICA SRL</t>
  </si>
  <si>
    <t>BOSIO COMMERCIALE SRL</t>
  </si>
  <si>
    <t>BRICOMAN ITALIA S.R.L. SOCIETÀ A SOCIO UNICO</t>
  </si>
  <si>
    <t>BUTTINONI GIUSEPPE &amp; FIGLI SNC</t>
  </si>
  <si>
    <t>C.M.M. CARPENTERIA METALLICA MEDICI</t>
  </si>
  <si>
    <t>CAMPLONE MAURO MASSIMO</t>
  </si>
  <si>
    <t>CAVALLINI DAL BORGO &amp; PARTNERS</t>
  </si>
  <si>
    <t>CENTER CASA</t>
  </si>
  <si>
    <t>CHIURLO SRL</t>
  </si>
  <si>
    <t>NC 20250019083273</t>
  </si>
  <si>
    <t>CONVENTO DI NEVERI</t>
  </si>
  <si>
    <t>VR 4980R/25</t>
  </si>
  <si>
    <t>COSTRUZIONI EDILI ALMICI</t>
  </si>
  <si>
    <t>CRI.MER SRL</t>
  </si>
  <si>
    <t>NC 45</t>
  </si>
  <si>
    <t>NC 1652</t>
  </si>
  <si>
    <t>DELTA SRL</t>
  </si>
  <si>
    <t>CONCILIAZIONE</t>
  </si>
  <si>
    <t>ECOTAURUS SRL</t>
  </si>
  <si>
    <t>PREGRESSI EDILCASSA</t>
  </si>
  <si>
    <t>EDILCOMMERCIO SRL</t>
  </si>
  <si>
    <t>EDILNOVA S.R.L.</t>
  </si>
  <si>
    <t>PREFATTURA</t>
  </si>
  <si>
    <t>ESPRESSO TOSCANO SRL</t>
  </si>
  <si>
    <t>FERRAMENTA 2000 SNC</t>
  </si>
  <si>
    <t>FERRARI AVV. ALBERTO</t>
  </si>
  <si>
    <t>FORNONI MARMI SRL</t>
  </si>
  <si>
    <t>FACCHIN GRU</t>
  </si>
  <si>
    <t>SALDATA DA POP O E BCC IòL 11,11,2025 E 5,12,2025</t>
  </si>
  <si>
    <t>GUFFANTI AVV. GIULIO MARIO</t>
  </si>
  <si>
    <t>GYPSUM SRL</t>
  </si>
  <si>
    <t>GRUPPO CARMELI SPA</t>
  </si>
  <si>
    <t>IDRAS SPA</t>
  </si>
  <si>
    <t>INFOCAMERE S.C.P.A.</t>
  </si>
  <si>
    <t>INTESA HOME</t>
  </si>
  <si>
    <t>INTESA SANPAOLO S.P.A.</t>
  </si>
  <si>
    <t>INTESA SAN PAOLO S.P.A.</t>
  </si>
  <si>
    <t>JYSK ITALIA SRL</t>
  </si>
  <si>
    <t>FF195202500348</t>
  </si>
  <si>
    <t>LANFRANCHI MARCO</t>
  </si>
  <si>
    <t>LANZI FLOROVIVAISTICA</t>
  </si>
  <si>
    <t>PROF 34</t>
  </si>
  <si>
    <t>LOCANDA ROSA</t>
  </si>
  <si>
    <t>LUCE IN SRL</t>
  </si>
  <si>
    <t>MADASCHI GIUSEPPE</t>
  </si>
  <si>
    <t>MANCUSI DAVIDE AVVOCATO</t>
  </si>
  <si>
    <t>MEDIAMARKET SPA</t>
  </si>
  <si>
    <t>MERELLI ANNAMARIA</t>
  </si>
  <si>
    <t>MET ENERGIA ITALIA SPA</t>
  </si>
  <si>
    <t>METRO ITALIA SPA</t>
  </si>
  <si>
    <t>NEWTEAM SRL</t>
  </si>
  <si>
    <t>NODARI BRUNO</t>
  </si>
  <si>
    <t>ORIGINAL SALADS SRL</t>
  </si>
  <si>
    <t>P.F.A SAS</t>
  </si>
  <si>
    <t>PC GENESI DI BOSIO FERRUCCIO</t>
  </si>
  <si>
    <t>PEDRETTI S.R.L.</t>
  </si>
  <si>
    <t>PERANI DAMIANO</t>
  </si>
  <si>
    <t>PROFORMA 14</t>
  </si>
  <si>
    <t>POGGIO CARLO</t>
  </si>
  <si>
    <t>PROFORMA 34/2020</t>
  </si>
  <si>
    <t>PIXARTPRINTING SPA</t>
  </si>
  <si>
    <t>POKER DI GRASSI DANILO</t>
  </si>
  <si>
    <t>PREAN SRL</t>
  </si>
  <si>
    <t>RAZ SNC DI RAZMASA DAVIDE E DARIO</t>
  </si>
  <si>
    <t>REGISTER SPA</t>
  </si>
  <si>
    <t>REPOWER VENDITA ITALIA</t>
  </si>
  <si>
    <t>RESIDENZA PARADISO SRL</t>
  </si>
  <si>
    <t>RESIDENZA  PARADISO SRL</t>
  </si>
  <si>
    <t>S.E.A. S.R.L.</t>
  </si>
  <si>
    <t>SALVETTI SRL</t>
  </si>
  <si>
    <t>SERVICE PRECAST SRL</t>
  </si>
  <si>
    <t>SPELGATTI SRL</t>
  </si>
  <si>
    <t>STELLA HOME SRL</t>
  </si>
  <si>
    <t>STUDIO GIAGNONI STP SRL</t>
  </si>
  <si>
    <t>PR84/2025</t>
  </si>
  <si>
    <t>PR321</t>
  </si>
  <si>
    <t>TAPPEZZIERE MORONI</t>
  </si>
  <si>
    <t>TAVERNA SAN GIORGIO</t>
  </si>
  <si>
    <t>TECHIND</t>
  </si>
  <si>
    <t>TOMASONI ING. LUIGI</t>
  </si>
  <si>
    <t>TOP COPERTURE SRL</t>
  </si>
  <si>
    <t>TRATTORIA LA PATTA</t>
  </si>
  <si>
    <t>TRATTORIA PARIETTI SNC</t>
  </si>
  <si>
    <t>TRENTINO MOBILITA SPA</t>
  </si>
  <si>
    <t>ULTRASONIC SRL</t>
  </si>
  <si>
    <t>UNIEURO SPA</t>
  </si>
  <si>
    <t>V.E.M. SRL</t>
  </si>
  <si>
    <t>VERTI ASSICURAZIONI</t>
  </si>
  <si>
    <t>POL VRT0332037714-1</t>
  </si>
  <si>
    <t>IN ATTESA DI FATTURA</t>
  </si>
  <si>
    <t>VITTORIA ASSICURAZIONI</t>
  </si>
  <si>
    <t>POL 0000907237</t>
  </si>
  <si>
    <t>WUERTH S.R.L.</t>
  </si>
  <si>
    <t>ZANUTTA SPA</t>
  </si>
  <si>
    <t xml:space="preserve">         </t>
  </si>
  <si>
    <t xml:space="preserve"> </t>
  </si>
  <si>
    <t>geom. imberti daniele</t>
  </si>
  <si>
    <t>PARTITE APERTE IN ATTESA DI FATTURARE</t>
  </si>
  <si>
    <t>FT???</t>
  </si>
  <si>
    <t>LINK ESTRATTO CONTO</t>
  </si>
  <si>
    <t xml:space="preserve"> P/50710/G/2026 Codice avviso: 304011000000521469.</t>
  </si>
  <si>
    <t>FABRIZIO+ALBERTO+SIMONA</t>
  </si>
  <si>
    <t>IT61TSXABEI</t>
  </si>
  <si>
    <t>Costi di spedizione | Mobil Plastic - Bidone Raccolta Differenziata 120 Litri con Coperchio e Ruote per Uso Esterno | Colore Grigio | Plastica Resistente | Certificato UNI EN 840</t>
  </si>
  <si>
    <t>000000009456026D</t>
  </si>
  <si>
    <t>PEDAGGI AUTOSTRADALI</t>
  </si>
  <si>
    <t>SEPA DD</t>
  </si>
  <si>
    <t>084530256903984</t>
  </si>
  <si>
    <t>Corporate Banking Interb</t>
  </si>
  <si>
    <t>1310/ED/2025</t>
  </si>
  <si>
    <t>SCARPA ALTA EDILE | SCARPA ALTA  PELLE FIORE - VIBRAM | SCARPA ALTA  PELLE FIORE - VIBRAM | FELPA ZIP BLU</t>
  </si>
  <si>
    <t>Bonifico bancario o postale</t>
  </si>
  <si>
    <t>FPR 69/25</t>
  </si>
  <si>
    <t>CONDOMINIO GHISLANDI, 51 BERGAMO/EDILVERTOVA SRL, CONSULENZA TECNCA, PROGETTAZIONE E DIREZIONE DEI LAVORI INTERVENTI DI MODIFICA DELLA RAMPA CARRALE. LETTERA INCARICO DEL 6/8/U.S. CONFERITO CON MAIL D</t>
  </si>
  <si>
    <t>FPR 70/25</t>
  </si>
  <si>
    <t>Tribunale di Bergamo, RG 1840/25 promosso da CONDOMINIO RESIDENZA VICOLO 17 (TREVIOLO) contro edilvertova srl - SALDO Consulenza tecnica di parte come da preventivo del 01/07/2025</t>
  </si>
  <si>
    <t>2605/2025</t>
  </si>
  <si>
    <t xml:space="preserve">METRI DOPPI STABILA | PORTA MARTELLO-TENAGLIA CUOIO | SEGA CM.53 | MARTELLO CARP. C/MAN.FIBRA VETRO 250/300gr | CHIODI 15x5O - 23X150 | LAVORO ML/100 C/ GRU | SCHIUMA POLIURETANICA X TEGOLE/COPPI ML. </t>
  </si>
  <si>
    <t>1102</t>
  </si>
  <si>
    <t>/M COMIGNOLO KOMY 86x121 RAL 7016</t>
  </si>
  <si>
    <t>821A</t>
  </si>
  <si>
    <t>MENU ADULT | SEAT ADULT | CAFFE LISCIO | ACQUA NATURALE 70CL | ACQUA NATURALE 70CL</t>
  </si>
  <si>
    <t>1855/1</t>
  </si>
  <si>
    <t xml:space="preserve">Ddt nr. 12570 del 02/12/2025 | CLS RCK 35 S4 XC1 425 II ALL - DIAMETRO RIDOTTO - | POMPAGGIO CALCESTRUZZO | CHIAMATA POMPA CALCESTRUZZO | Ddt nr. 12571 del 02/12/2025 | CLS RCK 35 S4 XC1 425 II ALL - </t>
  </si>
  <si>
    <t>PJ10899325</t>
  </si>
  <si>
    <t>SUPER SENZA PB | GASOLIO | GASOLIO | GASOLIO | GASOLIO | GASOLIO | GASOLIO | Q8HI PERFORM - 100 OTTANI | SUPER SENZA PB | GASOLIO | FEE</t>
  </si>
  <si>
    <t>000112-2025</t>
  </si>
  <si>
    <t>RENAULT CLIO (FX155TF) | SET RICAMBI | MATERIALE D'USO E MANODOPERA | FIAT DOBLO' (FL041BG) | SET RICAMBI | MATERIALE D'USO E MANODOPERA | FIAT DOBLO' (GD764GG) | SET RICAMBI | MATERIALE D'USO E MANOD</t>
  </si>
  <si>
    <t>1100/001</t>
  </si>
  <si>
    <t>VISITA ED ESAMI DEL 23 DICEMBRE 2025 SIG. SAVOLDELLI NICOLAS | VISITA MEDICA | AUDIOMETRIA | SPIROMETRIA | E.C.G. | ESCLUSIONE ALCOOL DIPENDENZA | Marca da bollo</t>
  </si>
  <si>
    <t>469</t>
  </si>
  <si>
    <t>** Rif. Doc. di trasporto 566 del 22/12/2025: | RINGHIERA A TELAI PREFABBRICATI, TIPO LEGGERO, INTERASSE 2,00 MT., IN ACCIAIO ZINCATO,   PIANA, COMPOSTA DA: TELAIO H 0,81 MT CON STECCA 10 CM INT. 2,00</t>
  </si>
  <si>
    <t>000000108034386P</t>
  </si>
  <si>
    <t>SOSTE PARCHEGGI</t>
  </si>
  <si>
    <t>000000214013111P</t>
  </si>
  <si>
    <t>000000602017587P</t>
  </si>
  <si>
    <t>FR A25\1539</t>
  </si>
  <si>
    <t>MENU FISSO</t>
  </si>
  <si>
    <t>000000076844658T</t>
  </si>
  <si>
    <t>2601C240477</t>
  </si>
  <si>
    <t>KIT MOONSHOT IT 1 un. | UPGRADE AD ALTA SICUREZZA CON ZEROVISION BUSINESS 1 un. | OFFERTA SPECIALE CANONE DA UFFICIO ATTENZIONE CLIENTE 1 un. (valida fino al 31/12/2027) | SENSORE DI MOVIMENTO CERTIFI</t>
  </si>
  <si>
    <t>SEPA DD CORE</t>
  </si>
  <si>
    <t>2601C297540</t>
  </si>
  <si>
    <t>KIT BASE 1 un. | UPGRADE AD ALTA SICUREZZA CON ZEROVISION 1 un. | OFFERTA SPECIALE CANONE DA UFFICIO ATTENZIONE CLIENTE 1 un. (valida fino al 31/12/2027) | Pack duo perimetrale GuardVision Outdoor 1 u</t>
  </si>
  <si>
    <t>2601C376531</t>
  </si>
  <si>
    <t>KIT BASE 1 un. | UPGRADE AD ALTA SICUREZZA CON ZEROVISION 1 un. | PACK PROTEZIONE (6 SHOCK SENSOR) 1 un. | SENSORE DI MOVIMENTO CERTIFICATO CON FOTOCAMERA 1 un. | MY VERISURE 1 un. | PROMOZIONE LIMITA</t>
  </si>
  <si>
    <t>2025-A7004-0006947</t>
  </si>
  <si>
    <t>SCATOLA ROSSA C/INS.PINO VERDE 20,5X16X7CM | SCATOLA LATTA CUBICA 11X11XH14CM C/COP. DIS C/OMINO MARZAPANE | SCATOLA LATTA CUBICA 11X11XH14CM C/COP. DIS C/OMINO MARZAPANE | SCATOLA LATTA CUBICA 11X11X</t>
  </si>
  <si>
    <t>edilscavi s.r.l.</t>
  </si>
  <si>
    <t>facchi srl</t>
  </si>
  <si>
    <t>fenghuang srl</t>
  </si>
  <si>
    <t>autostrade per l'italia s.p.a.</t>
  </si>
  <si>
    <t>cortinovis  gianluigi</t>
  </si>
  <si>
    <t>oberti commerciale srl</t>
  </si>
  <si>
    <t>amazon business eu s.a.r.l, sede secondaria</t>
  </si>
  <si>
    <t>\\pc-simona\Scanner\20260108095850674.pdf</t>
  </si>
  <si>
    <t>9456026D</t>
  </si>
  <si>
    <t>84530256903984</t>
  </si>
  <si>
    <t>PIANO DI RIENTRO</t>
  </si>
  <si>
    <t xml:space="preserve">PIANO DI RIENTRO_ TRANCHE GENNAIO 1° </t>
  </si>
  <si>
    <t xml:space="preserve">PIANO DI RIENTRO_ TRANCHE FEBBRAIO 2° </t>
  </si>
  <si>
    <t xml:space="preserve">PIANO DI RIENTRO_ TRANCHE MARZO 3° </t>
  </si>
  <si>
    <t>INS. IN EDILCASSA</t>
  </si>
  <si>
    <t>1310</t>
  </si>
  <si>
    <t>comune di gazzaniga</t>
  </si>
  <si>
    <t>N° 5071G</t>
  </si>
  <si>
    <t xml:space="preserve">AVVISO NR 5071G _  FL041BG_ DIVIETO DI SOSTA </t>
  </si>
  <si>
    <t>701/2026</t>
  </si>
  <si>
    <t>69</t>
  </si>
  <si>
    <t xml:space="preserve">condominio Via Ghislandi </t>
  </si>
  <si>
    <t>70</t>
  </si>
  <si>
    <t xml:space="preserve">COND. RESIDENZA VICOLO 17_ TREVIOLO </t>
  </si>
  <si>
    <t>PERIODO CONTR. OTTOBRE 25</t>
  </si>
  <si>
    <t>PERIODO CONTRIBUTIVO SETTEMBRE 2025 1666,71- credito 22,15</t>
  </si>
  <si>
    <t>112500776A</t>
  </si>
  <si>
    <t>PERIODO CONTR. NOVEMBRE 2025</t>
  </si>
  <si>
    <t xml:space="preserve">COMIGNOLO _ VIA GAITO </t>
  </si>
  <si>
    <t xml:space="preserve">BERGAMO _ VIA GHISLANDI </t>
  </si>
  <si>
    <t>fornitura fino al 15/12</t>
  </si>
  <si>
    <t xml:space="preserve">VISITA MEDICA SAVOLDELLI NICOLAS </t>
  </si>
  <si>
    <t xml:space="preserve">ASSEGNO 0013803086-11 BCC MILANO </t>
  </si>
  <si>
    <t>214013111P</t>
  </si>
  <si>
    <t>602017587P</t>
  </si>
  <si>
    <t>18034386P</t>
  </si>
  <si>
    <t>1539</t>
  </si>
  <si>
    <t>76844658T</t>
  </si>
  <si>
    <t xml:space="preserve">Mastercard </t>
  </si>
  <si>
    <t>2601C2404477</t>
  </si>
  <si>
    <t>6947</t>
  </si>
  <si>
    <t>CASSA ilaria</t>
  </si>
  <si>
    <t>mandano mail di risontro e pagamento ft di fine novembre</t>
  </si>
  <si>
    <t>Fornitore</t>
  </si>
  <si>
    <t>Fattura</t>
  </si>
  <si>
    <t>Data</t>
  </si>
  <si>
    <t>S.do</t>
  </si>
  <si>
    <t>Mod.Pag</t>
  </si>
  <si>
    <t>IVA</t>
  </si>
  <si>
    <t>Data Pag.</t>
  </si>
  <si>
    <t>ag. serena di marseu serena &amp; c. snc</t>
  </si>
  <si>
    <t>FE_1551_25</t>
  </si>
  <si>
    <t>Corrispettivi</t>
  </si>
  <si>
    <t>ak informatica tech s.r.l.</t>
  </si>
  <si>
    <t>Montaggio e collaudo nuovi componenti Assistenza #1022</t>
  </si>
  <si>
    <t>al garghet sas di cipolla emanuela e c.</t>
  </si>
  <si>
    <t>Reparto: RISTORAZIONE | ACQUA NAT | FRITURA DE VERDUR | TARTARE | CALICE PRIMITIVO</t>
  </si>
  <si>
    <t>Costi di spedizione | Keter Curver Pattumiera Chic M Nera, Pattumiera a Pedale con Anello Ferma Sacco per Casa e Cucina, Capienza 25 litri, Dimensioni 26.5x40.5x45 cm</t>
  </si>
  <si>
    <t>Costi di spedizione | LG S95TR Soundbar TV 810W, 9.1.5 Canali con Subwoofer Wireless, Casse Posteriori a 6 Vie Incluse, 3 canali up-firing, AI Room Calibration Pro, Dolby Atmos, DTS:X, Bluetooth, Wi-F</t>
  </si>
  <si>
    <t>Costi di spedizione | Tapo RV30 Max Plus Robot Aspirapolvere Lavapavimenti con Mappatura 5300Pa, Svuotamento Automatico Polvere 3L, Doppia Navigazione LiDAR +IMU, Zone No-Go e Muri Virtuali, Controllo</t>
  </si>
  <si>
    <t>PS25-490</t>
  </si>
  <si>
    <t>RIF DECRETO INGIUNTIVO N.351/2025 DEL 14/05/2025 RG N.360/2025 | CORRISPETTIVO PER INTERESSI PASSIVI CONCORDATI | CORRISPETTIVO PER RIMBORSO SPESE LEGALI | CORRISPETTIVO PER SPESE ANTICIPATE</t>
  </si>
  <si>
    <t>architetto</t>
  </si>
  <si>
    <t>FPR 29/25</t>
  </si>
  <si>
    <t>TRIBUNALE DI BERGAMO, RICORSO PER ATP RG N. 504/2025 PROMOSSA DA COLOMBO+4 CONDOMINIO CONTRO CEBA COSTA E ALTRI CHIAMATI TRA I QUALI EDILVERTOVA SRL - SALDO COMPETENTE , INCARICO CTP COME CONCORDATO E</t>
  </si>
  <si>
    <t>172/001</t>
  </si>
  <si>
    <t>Faro | Griglia | Mano d opera: sostituzione pezzi sopra elencati</t>
  </si>
  <si>
    <t>assolari domenico e c. s.n.c.</t>
  </si>
  <si>
    <t>PLANITOP FAST 330 | GEOLITE 10 | SACCO MACERIE | PALETTI H 225 | SAETTE LUNGHE | VITI LEGNO AUTOFILET. FM WOOD 6X120 | CHIUSINO PLASTICA 40X40 | CHIUSINO PLASTICA 55X55 | PAVIDRAIN 2F 20 L | FONDALINE</t>
  </si>
  <si>
    <t>CELLOPHANE BOBINE MQ 40 | SCARPE UPOWER MATT | CELLOPHANE BOBINE MQ 40 | TUBO PLAST. ROSSA DIAM. mm 100 | CURVE 45 PL. ROSSA DIA. mm 100 | RIDUZIONE PLAST. ROSSA 125-100 | ANELLI CEMENTO 30X30 | ANELL</t>
  </si>
  <si>
    <t>GUANTI GRIGI SHOWA | PUNTA SDS DIA 10 H 31 | PUNTA SDS DIA 8 H 26 | TASSELLI PVC C/VITE ACCIAIO H 155 | TASSELLI PVC C/VITE ACCIAIO H 195 | PUNTA SDS 4 TAGLI DIA 8 H 31 | TASSELLI PVC C/VITE ACCIAIO H</t>
  </si>
  <si>
    <t>CURVE 45 PL. ROSSA DIA. mm 100 | CURVE 90 PL. ROSSA DIA. mm 100 | CANALETTA ACO C/GRIGLIA GHISA C250 SELFK 10 CM | CALCESTRUZZO IN SACCHI | ULTRACARE ACID CLEANER | AUTAN SPRAY | SACCHI IMMONDIZIA PES</t>
  </si>
  <si>
    <t>SPRUZZINO 0,75 L | LUCIDA CRUSCOTTO</t>
  </si>
  <si>
    <t>GEOLITE 10 | TUBO FLEX PVC DP DIA 63 | ANTIRUGGINE LT 2,50 | DILUENTE | TESSUTO PER PITTORE 1X25 | ANTIRUGGINE LT 2,50 | FODERE PIALLATE  CM 10</t>
  </si>
  <si>
    <t>TEGOLE CEMENTO TITAN | BANCALI LEGNO | COLMO PER TEGOLA CEMENTO | FINALE PER TEGOLA CEMENTO | TRASPORTO | ANELLI CEMENTO 50X70 H30 | GHIAIA GROSSA | CHIODI MM 60 | TUBO PLAST. ROSSA DIAM  mm 160 | RES</t>
  </si>
  <si>
    <t xml:space="preserve">VAGLIATA | CEMENTO POZZOLANICO | SOSTEGNO PER RULLINO | RULLINO | CARTA VETRATA | SPATOLA RASATURA CM 12 | SCHIUMA POLIURETANICA | STUCCO CARTONGESSO RAPIDO 30 EVOPLUS 5 KG | RETE ELETTR. 20X20 D 5 | </t>
  </si>
  <si>
    <t xml:space="preserve">SILICONE MAPESIL LM | SACCO MACERIE | GHIAIETTO PUNTINA | SCARPE COFRA TEVERE ALTE | GUANTI GRIGI SHOWA | SCARPE UPOWER HUMMER | MALTA MIX ONE | SABBIA E CEMENTO IN SACCHI | PANNELLI PER CASSEFORMI | </t>
  </si>
  <si>
    <t>000000001789130D</t>
  </si>
  <si>
    <t>000000002880628D</t>
  </si>
  <si>
    <t>PEDAGGI AUTOSTRADALI | PEDAGGI AUTOSTRADALI</t>
  </si>
  <si>
    <t>000000004857452D</t>
  </si>
  <si>
    <t>000000003436352D</t>
  </si>
  <si>
    <t>000000000565668D</t>
  </si>
  <si>
    <t>000000001278316D</t>
  </si>
  <si>
    <t>PEDAGGI AUTOSTRADALI | ACCRED.RAV TRATTE NON UTILIZZ.</t>
  </si>
  <si>
    <t>000000004585906D</t>
  </si>
  <si>
    <t>000000005897417D</t>
  </si>
  <si>
    <t>000000006660810D</t>
  </si>
  <si>
    <t>000000008014037D</t>
  </si>
  <si>
    <t>000000008664058D</t>
  </si>
  <si>
    <t>avv. giulio mario guffanti</t>
  </si>
  <si>
    <t>FPR 861/25</t>
  </si>
  <si>
    <t>Helvetia Compagnia Svizzera d'Assicurazioni SA / EDILVERTOVA S.R.L. Pagamento spese legali polizza n. 085250747878304, rate del 20/07/2023 e del 20/07/2024</t>
  </si>
  <si>
    <t>banco bpm s.p.a.</t>
  </si>
  <si>
    <t>CANONE MENSILE | CANONE MENSILE PASSIVO | CANONE MENSILE | CANONE MENSILE PASSIVO | CANONE MENSILE | CANONE MENSILE PASSIVO</t>
  </si>
  <si>
    <t>RID bancario</t>
  </si>
  <si>
    <t>barcella elettroforniture spa unipersonale</t>
  </si>
  <si>
    <t>2025/V9/2523489</t>
  </si>
  <si>
    <t>ALIMENTATORE SLIM 24V 150W</t>
  </si>
  <si>
    <t>084530256901844</t>
  </si>
  <si>
    <t>084530256900040</t>
  </si>
  <si>
    <t>084530256900768</t>
  </si>
  <si>
    <t>084530256901486</t>
  </si>
  <si>
    <t>084530256900402</t>
  </si>
  <si>
    <t>084530256902218</t>
  </si>
  <si>
    <t>084530256901130</t>
  </si>
  <si>
    <t>084530256902922</t>
  </si>
  <si>
    <t>084530256903276</t>
  </si>
  <si>
    <t>084530256903626</t>
  </si>
  <si>
    <t>084530256902568</t>
  </si>
  <si>
    <t>bellini e associati studio di ingegneria</t>
  </si>
  <si>
    <t>FPR 223/25</t>
  </si>
  <si>
    <t xml:space="preserve">Redazione della relazione tecnica legge 10 e relative modifiche e integrazioni per il nuovo edificio residenziale composto da 5 unità abitativa in via 5 Martiri, snc a Fiorano al Serio (BG). Come ns. </t>
  </si>
  <si>
    <t>FPR 230/25</t>
  </si>
  <si>
    <t>Secondo acconto della nota 173/2023 del 17/08/2023 per redazione progetto impianti meccanici per l'immobile composto da 8 unità abitative in via Ghislandi a Bergamo. Come ns. offerta n. 24/2023 del 27</t>
  </si>
  <si>
    <t>FPR 224/25</t>
  </si>
  <si>
    <t xml:space="preserve">Acconto sulla nota n. 173/2023 per redazione progetto impianti meccanici per l'immobile composto da 8 unità abitative in via Ghislandi a Bergamo. Come ns. offerta n. 24/2023 del 27/04/2023. Rif. nota </t>
  </si>
  <si>
    <t>bialetti store s.r.l.</t>
  </si>
  <si>
    <t>00000061/063</t>
  </si>
  <si>
    <t>BOX 16 CAPSULE PALERMO | ROMA G.FORTE 16 CAPSULE/M | NAPOLI G.INTENSO 16 CAPSULE | SHOPPER RETAIL CM.52X22 | MILANO G.MORBIDO 16 CAPSULE/M</t>
  </si>
  <si>
    <t>bongiorno antinfortunistica  srl</t>
  </si>
  <si>
    <t>532/ED/2025</t>
  </si>
  <si>
    <t>SCARPA BASSA EDILE | SCARPA ALTA EDILE | FELPA ZIP LUNGA GRIGIA | JEANS | T.SHIRT TRASPIRANTE | POLO CON PROFILO | SCARPA ALTA  NERA | SCARPA BASSA EDILE | SCARPA BASSA EDILE | SCARPA BASSA EDILE | JE</t>
  </si>
  <si>
    <t>670/2025</t>
  </si>
  <si>
    <t>** Rif. Doc. di trasporto 878/2025 del 24/07/2025: | RIPARAZIONE SMERIGLIATRICE MAKITA GA9020 CON SMONTAGGIO E SOSTITUZIONE: | CAVO H07RNF 2X1,5mmq | COPPIA SPAZZOLE CB203 | RIMONTAGGIO</t>
  </si>
  <si>
    <t>601/2025</t>
  </si>
  <si>
    <t>** Rif. Doc. di trasporto 782/2025 del 03/07/2025: | RIPARAZIONE DECESPUGLIATORE HUSQVARNA CON SMONTAGGIO E SOSTIZIONE: | TUBO TYGON 4,8/8 | PESCANTE WALBRO GRANDE | KIT RIPARAZIONE REPL.WALBRO K20-WY</t>
  </si>
  <si>
    <t>bp33 srl</t>
  </si>
  <si>
    <t>RECESSO INCARICO QUADRILOCALE CON BOX VIA GHISLANDI 51</t>
  </si>
  <si>
    <t>SALDO PROVVIGIONI VENDITA IMMOBILE SITO IN VIA GHISLANDI 51 - PROPRIETA' EDILVERTOVA SRL -PROMISSARI ACQUIRENTI BIANCHI CRISTINA ALESSANDRA E CECCON CHIARA</t>
  </si>
  <si>
    <t>SALDO PROVVIGIONI VENDITA IMMOBILE SITO IN VIA GHISLANDI 51 - PROPRIETA' EDILVERTOVA SRL - PROMISSARIO ACQUIRENTE BIANCHI MICHELE</t>
  </si>
  <si>
    <t>SALDO PROVVIGIONI VENDITA IMMOBILE SITO IN BERGAMO IN VIA GHISLANDI N.51 - PROPRIETA' EDILVERTOVA SRL - PROMISSARI ACQUIRENTI MORA MARIO E AUSTONI STEFANIA</t>
  </si>
  <si>
    <t>bper banca s.p.a.</t>
  </si>
  <si>
    <t>CANONE MENSILE SMART CBI  - Data Effettuazione Operazione: 02.12.2025 - NDG: 007297733 - SIA: 01H45 - Filiale: 03254 - Conto Bancario: 04480875 - Importo gia' pagato con addebito su vs conto corrente</t>
  </si>
  <si>
    <t>bricoman italia s.r.l. societa' a socio unico</t>
  </si>
  <si>
    <t>0113090000966</t>
  </si>
  <si>
    <t>RACCORDO PAVIM ALL.NATURALE H 2700x1</t>
  </si>
  <si>
    <t>buttinoni ferramenta s.n.c. di buttinoni ernesto e pierangelo</t>
  </si>
  <si>
    <t>REGGETTA ZINCATA IN FERRO  BAR 16 X 0,5 (contrib.CONAI compreso) | FIBBIA PER REGGETTA METALLICA 16 MM | Spese d'incasso</t>
  </si>
  <si>
    <t>BARRA FILETTATA MT 2 ZINC. M 20 | DADI MEDI ZINC.CL.8 UNI5588 M 20      DIN934 | PUNTE PER FORI PROFONDI    SCU 4559GE 20</t>
  </si>
  <si>
    <t>buttinoni giuseppe &amp; figli s.n.c.</t>
  </si>
  <si>
    <t>DUPLICAZIONE CHIAVE CILINDRO NORMALE | VITI TCEI 8.8 UNI5931  ZINC.B. 4  x   8 | DADI AUTOBLOCCANTI ALTI  ZINC. M  4     UNI7473 | DADI MEDI ZINC.CL.8 UNI5588 M  4      DIN934</t>
  </si>
  <si>
    <t>TARGHETTA SEGNACHIAVI C/ANELLO GIVOL. | DUPLICAZIONE CHIAVE CILINDRO NORMALE | DUPLICAZIONE CHIAVE CILINDRO NORMALE COLORATA | COPPIA INSERTI SPARK PLUG SOFT MOLDEX       BAR</t>
  </si>
  <si>
    <t>CERNIERE EXTRA PESANTE     ALD 5 X 5 | PRESA RUBINETTO            CLA FIL.FEMMINA 1</t>
  </si>
  <si>
    <t>SUPPORTO SMARTPHONE AUTO   ADD MAGNETICO | CHIAVETTA ZINCATA QUADRA   COM 628 MASCHIO | CATENA ANTIFURTO MM.10     VIR 332 BLU   cm.150 | TARGHETTA SEGNACHIAVI GRANDE C/ANELLO GIVOL. | DUPLICAZIONE CH</t>
  </si>
  <si>
    <t>RUBINETTO A SFERA C/PORTAG.FIV 1/2  GARDEN PES.</t>
  </si>
  <si>
    <t>TAVELLINO GIUSSANI D.19 X 16MM BOX 5 ; Dato l esiguo importo, non   stata emessa Ricevuta Bancaria. Il totale di questa fattura verr  accorpato al totale dei prossimi documenti eventualmente emessi, s</t>
  </si>
  <si>
    <t xml:space="preserve">NASTRO CARTA SEMICRESPATA TESA mm. 50- mt. 50 | VITI TE TF 8.8 UNI5739 ZINC.B. 8  X  25 | VITI TCEI 8.8 UNI5931  ZINC.B. 4  x   8 | VITI TCEI 8.8 UNI5931  ZINC.B. 4  X  10 | BOBINA CARTA C/NASTRO     </t>
  </si>
  <si>
    <t>c.m.m. carpenteria metallica medici snc fabbro in genere</t>
  </si>
  <si>
    <t>DDT N.9 DEL 16.01.25 CANTIERE VIA GHISLANDI (BG). BARRIERE PER ATTICO ALT. 0,50 ML 60,14 X EURO 110,00 | BARRIERE PER PRIMO E SECONDO PIANO ALT.0,40 ML 82,09 X EURO 100,00 VERNICIATE A POLVERE | NUMER</t>
  </si>
  <si>
    <t>DDT N. 28 DEL 27.02.25 LAVORI SVOLTI PRESSO VOSTRO CANTIERE VIA GHILSANDI 51 BERGAMO. BARRIERA LATO STRADA ALT. 1500 ML 16,40 X EURO 190,00 | NUMERO UNO SPORTELLO PER CONTATORI ENEL A DUE BATTENTI POS</t>
  </si>
  <si>
    <t>DDT N. 18 DEL 12.02.25 CANTIERE VIA GHISLANDI BERGAMO. NUMERO DUE PIANTONI IN TUBO 150X150X4 | BARRIERA DVISORIA IN LAMIERA VERNICIATA A POLVERE ML 26,50 X EURO 170,00 ALT. 1300 | BARRIERA DIVISORIA C</t>
  </si>
  <si>
    <t>caseificio f.lli paleni s.r.l.</t>
  </si>
  <si>
    <t>CESTI FORMAGGI MISTI | . | Contributo ambientale CONAI assolto ove | dovuto. | ______________________________________ | 'ASSOLVE GLI OBBLIGHI DI CUI ALL' ART.03 | COMMA 3, D.Lgs. 198/2021.' | SI DICHI</t>
  </si>
  <si>
    <t>cavallini,dal borgo &amp; partners</t>
  </si>
  <si>
    <t>1/1002</t>
  </si>
  <si>
    <t>APPOSIZIONE VISTO DI CONFORMITÁ REALIZZAZIONE PARCHEGGI | PRATICHE AGENZIA ENTRATE</t>
  </si>
  <si>
    <t>VE/2025/13532</t>
  </si>
  <si>
    <t>Verifica periodica standard Attr. di lav. di sollevamento : Incarico Datore di Lavoro Proprietario: EDILVERTOVA SRL VIA IV NOVEMBRE, 6 24025 GAZZANIGA (BG) Tipo App.: Gru torre Intervento del: 26.08.2</t>
  </si>
  <si>
    <t>center casa f.lli de caria di domenico snc</t>
  </si>
  <si>
    <t>VASO CUORE BIANCO</t>
  </si>
  <si>
    <t>centro edilizia s.r.l.</t>
  </si>
  <si>
    <t>PROVINI PER CALCESTRUZZO | LYRA PENNARELLO VERNICE A PUNTA VARI COLORI</t>
  </si>
  <si>
    <t>PROVINI PER CALCESTRUZZO</t>
  </si>
  <si>
    <t>chiurlo srl socio unico</t>
  </si>
  <si>
    <t>Corrispettivo capacità | Perdite Corrispettivo capacità | Aggregazione misure cont. non orari - No Ill. Pubb | (art. 3-24.6 del TIDE) - Copertura costi servizio modulazione straordinaria e riduzione p</t>
  </si>
  <si>
    <t>Corrispettivo capacità | Perdite Corrispettivo capacità | Corrispettivo capacità | Perdite Corrispettivo capacità | Aggregazione misure cont. non orari - No Ill. Pubb | (art. 3-24.6 del TIDE) - Copert</t>
  </si>
  <si>
    <t>20250019018303</t>
  </si>
  <si>
    <t>Cong. Corrispettivo capacità | Cong. Perdite Corrispettivo capacità | Cong. Corrispettivo capacità | Cong. Perdite Corrispettivo capacità | Cong. Corrispettivo capacità | Cong. Perdite Corrispettivo c</t>
  </si>
  <si>
    <t>Corrispettivo capacità | Perdite Corrispettivo capacità | Aggregazione misure cont. non orari - No Ill. Pubb | (art. 4-25.6 del TIDE) - Copertura costi servizio modulazione straordinaria e riduzione p</t>
  </si>
  <si>
    <t>FPR 346/25</t>
  </si>
  <si>
    <t>Relazione ventennale notarile certificata relativa ad immobili in Comune di Andora (SV) in capo al nominativo Colombini Paolo presso la conservatoria di Finale Ligure.</t>
  </si>
  <si>
    <t>convento dei neveri srl</t>
  </si>
  <si>
    <t>84/2025</t>
  </si>
  <si>
    <t>Menù</t>
  </si>
  <si>
    <t>costruzioni edili almici srl</t>
  </si>
  <si>
    <t>Saldo presso vs. cantiere Bergamo, Via Ghislandi</t>
  </si>
  <si>
    <t>Lavoro presso vs cantiere Scanzorosciate via Trento</t>
  </si>
  <si>
    <t>cri.mer. s.r.l.</t>
  </si>
  <si>
    <t>FORNITURA IN OPERA DI LATTONERIA IN ALLUMINIO COMPRESI SISTEMI DI FISSAGGIO | ML sv 75 Cappellotto su muro confine | ML 1,05 Cappellotto vano contenitori | Cad. Cappellotti sulle lame porta ingresso |</t>
  </si>
  <si>
    <t>culligan italy s.r.l</t>
  </si>
  <si>
    <t>Destinazione: EDILVERTOVA SRL
Indirizzo: VIA CESARE BATTISTI,104, 24025 GAZZANIGA
CANONE NOLEGGIO EROGATORE
( Periodo da: 01.11.2025 a 31.10.2026 ) | Spese Amministrative</t>
  </si>
  <si>
    <t>Destinazione: EDILVERTOVA SRL
Indirizzo: VIA CESARE BATTISTI,104, 24025 GAZZANIGA
Spese Amministrative | Destinazione: EDILVERTOVA SRL
Indirizzo:  - VIA CESARE BATTISTI,104, GAZZANIGA
Data di consegna</t>
  </si>
  <si>
    <t>delta s.r.l.</t>
  </si>
  <si>
    <t>Emettiamo fattura per lavori di pareti e controsoffitti eseguiti presso vostro cantiere sito a Bergamo in Via Ghislandi</t>
  </si>
  <si>
    <t>000000522000140P</t>
  </si>
  <si>
    <t>000020</t>
  </si>
  <si>
    <t>IMBALLAGGI IN MATERIALI MISTI | COSTO DI TRASPORTO (MOTRICE)</t>
  </si>
  <si>
    <t>000465</t>
  </si>
  <si>
    <t>000287</t>
  </si>
  <si>
    <t>000173</t>
  </si>
  <si>
    <t>000106</t>
  </si>
  <si>
    <t>ecotaurus s.r.l.</t>
  </si>
  <si>
    <t>BAGNO MOBILE ECOLOGICO MODELLO TUFWAY RIF. NOLEGGIO DAL 06/02/2025 AL 05/03/2025 --- CANTIERE VIA KENNEDY, TORRE BOLDONE ---</t>
  </si>
  <si>
    <t>BAGNO MOBILE ECOLOGICO MODELLO ROLL-JET RIF. NOLEGGIO DAL 14/01/2025 AL 10/02/2025 --- CANTIERE VIA GHISLANDI 51, BERGAMO ---</t>
  </si>
  <si>
    <t>BAGNO MOBILE ECOLOGICO MODELLO TUFWAY RIF. NOLEGGIO DAL 09/01/2025 AL 05/02/2025 --- CANTIERE VIA KENNEDY, TORRE BOLDONE ---</t>
  </si>
  <si>
    <t>BAGNO MOBILE ECOLOGICO MODELLO ROLL-JET RIF. NOLEGGIO DAL 11/02/2025 AL 10/03/2025 --- CANTIERE VIA GHISLANDI 51, BERGAMO ---</t>
  </si>
  <si>
    <t>BAGNO MOBILE ECOLOGICO MODELLO TUFWAY RIF. NOLEGGIO DAL 06/03/2025 AL 02/04/2025 --- CANTIERE VIA KENNEDY, TORRE BOLDONE ---</t>
  </si>
  <si>
    <t>BAGNO MOBILE ECOLOGICO MODELLO TUFWAY RIF. NOLEGGIO DAL 29/05/2025 AL 25/06/2025 --- CANTIERE VIA KENNEDY, TORRE BOLDONE ---</t>
  </si>
  <si>
    <t>BAGNO MOBILE ECOLOGICO MODELLO TUFWAY RIF. NOLEGGIO DAL 01/05/2025 AL 28/05/2025 --- CANTIERE VIA KENNEDY, TORRE BOLDONE ---</t>
  </si>
  <si>
    <t>BAGNO MOBILE ECOLOGICO MODELLO TUFWAY RIF. NOLEGGIO DAL 03/04/2025 AL 30/04/2025 --- CANTIERE VIA KENNEDY, TORRE BOLDONE ---</t>
  </si>
  <si>
    <t>BAGNO MOBILE ECOLOGICO MODELLO TUFWAY RIF. NOLEGGIO DAL 26/06/2025 AL 23/07/2025 --- CANTIERE VIA KENNEDY, TORRE BOLDONE ---</t>
  </si>
  <si>
    <t>edilcommercio s.r.l.</t>
  </si>
  <si>
    <t>46/2025</t>
  </si>
  <si>
    <t xml:space="preserve">MODULO VESPAIO 56X56X45 | LAVORO MP/190 4X4 C/GRU | NOLEGGIO COMPATTATORE gg.1 | SACCHI VERDI 95X120 CONF.DA 8 PZ. | BANCALE YTONG | YTONG COLLA SACCHI DA KG. 25 | YTONG BLOCCO CLIMAGOLD 62,5X20X45 | </t>
  </si>
  <si>
    <t>159/2025</t>
  </si>
  <si>
    <t xml:space="preserve">NOL.GRUP.EL.KWA 40-KW 32 C/QUADRO (1-5 gg) | DISCO DIAM.115 BIGMAT GRESMAT | MONOLASTIC TURBO ZERO KG. 15 | YTONG FRATAZZO X CLIMA/THERMO | STUCCO X CARTONG. FASSAJOINT 1H KG. 10 | VITI X CARTONG. VR </t>
  </si>
  <si>
    <t>BOMBOLA SBLOCK ML.400 WD40 | MISTA GRASSOBBIO | TRASPORTO | MISTA GRASSOBBIO | TRASPORTO</t>
  </si>
  <si>
    <t>GUANTI AZZURRI BIGMAT/GRIGI ANTISCIVOLO | CARTELLO 12 SIMBOLI 120X80 | CARTELLO DIR.LAV.80X60 | MISTA GRASSOBBIO | TRASPORTO | MISTA GRASSOBBIO | TRASPORTO | MISTA GRASSOBBIO | TRASPORTO | BANCALE ITA</t>
  </si>
  <si>
    <t>DISCOxFLESS.d.230 SPESS.3,2-2 | GUANTI U-POWER ANTITAGLIO HIGH | GUANTI U-POWER FLEX-ICON-FIT | BATTERIA STILO CONF. AA | MASCHERINA FFP2 CON VALVOLA | LAVORO MP/190 4X4 C/GRU | NOL.MINIPALA QL.25 gg.</t>
  </si>
  <si>
    <t>TUBO PL.d.50 ROSSO PZ. DA MT.1 C/BICCH. | NASTRO SEGNAL.MT.200 COL. VARI | LAMA PER SEGA MM.533 SANDVIK | LAMA PER SEGA MM.610 SANDVIK | LAMA PER SEGA MM.759 SANDVIK | SACCHI VERDI 95X120 CONF.DA 8 PZ</t>
  </si>
  <si>
    <t>NOL.MART.DEM.X MINIESCAV.QL.17 gg. 1- 5 | PENNELLO 7Ox15 | TRASPORTO  PER RITIRO MINI | PRESTAZIONE PER AVVIAMENTO | NOL.GRUP.EL.KWA T.6,4/M.3,8 (1-5 gg) | PROLUNGA CAVO MT.30 MONOF.+SPINA/PRESA</t>
  </si>
  <si>
    <t>LANA MINERAL WOOL SP.CM. 6 X CARTONG | FELTRO MULTIUSO GRIGIO MT. 25X1 | PRESTAZIONE PER AVVIAMENTO</t>
  </si>
  <si>
    <t>MANDRINO E ADATTATORE SDS PLUS | SCALPELLO SDS MAX 50X400 TAGLIO LARGO | TRANCIABULLONI 750 TONDO | CONF.LAME A SPEZZ. CUTTER NORMALE MM. 25 | GUANTI AZZURRI BIGMAT/GRIGI ANTISCIVOLO | MANICO CM.180 X</t>
  </si>
  <si>
    <t>NOL.MINIPALA QL.25 gg.11-20 | NOL.BENNA MIX X MINIPALA gg.11-20 | LAVORO MP/190 4X4 C/GRU | **** RESI BANCALE ITALCEMENTI **** | ACQUA (CONFEZIONE DA 24XLT.0,5) NAT/FR | MALTA BASTARDA KG 25 BIGMAT FI</t>
  </si>
  <si>
    <t>ACCESSORIO X CARTONGESSO TIPO  BOTOLA 80X120  IN C/ SOSTITUZIONE | BENZINA ASPEN MISCELA X MOTORI 2T DA LT.5 | TAPPI ANTIRUMORE AL PAIO</t>
  </si>
  <si>
    <t>VITI TURBO CLR 10X100 | BETA PINZA BECCO TONDO LUNGO L 160 ART. 1010 | MASSETTO RAP. PRONTO BIGMAT 25 KG | COLLA H40/KERAFLEX BIANCO/GRIGIO KG.5 | PLANISEAL 88 GRIGIO IN SACCHI KG. 25 | TERRICCIO UNIV</t>
  </si>
  <si>
    <t>LAVORO ML/100 C/ GRU | SILICONE MAPEFLEX MS 45 GRIGIO 113 300ml | SILICONE ULTRABOND MS RAPID 290ml | SCHIUMA POLIURETANICA MANUALE ML. 750 | SOLVENTE/PULITORE X SCHIUMA | VERNICE SPRAY FLUO PLUS COL.</t>
  </si>
  <si>
    <t xml:space="preserve">CARTELLO 12 SIMBOLI 120X80 | CARTELLO DIR.LAV.80X60 | FASCETTE NYLON MIS. 300/370 | MISTA GRASSOBBIO | TRASPORTO | NOL.GRUP.EL.KWA 3,4 MON. (1-5 gg) | BANCALE ITALCEMENTI | CEMENTO 32,5 ITALC. DA KG. </t>
  </si>
  <si>
    <t>MANICO x PALA-MAZZA-PICCONE | CEMENTO 32,5 ITALC. DA KG. 25 | CHIUSINO CH.PL.30X30 VERDE | TESTINA UNIVERSALE X DECESPUGLIATORE | MATTONI PIENI | CHIUSINO CH.PL.30X30 VERDE | GHIAIETTO SPACCATO DA CAV</t>
  </si>
  <si>
    <t>COLTELLO OPINEL VARIE MIS. | LASTRE ONDULINE SOTTOC.ONDA 190 CM.200X101,5 | GUANTI AZZURRI BIGMAT/GRIGI ANTISCIVOLO | GUAINA SOTTOCOLMO METAROLL 380 | LASTRE ONDULINE SOTTOC.ONDA 190 CM.200X101,5 | BE</t>
  </si>
  <si>
    <t>SILICONE MAPEFLEX MS 45 BIANCO 300ml | PENNARELLO LYRA VARI COLORI | CHIODO GROPPINI CONF. KG 0,25 | PISTOLA PER SILICONE PESANTE EXTRA STRONG | FELTRO MULTIUSO GRIGIO MT. 25X1 | BANCALE CAVA VAGA\MAP</t>
  </si>
  <si>
    <t>edilgema s.r.l. unipersonale</t>
  </si>
  <si>
    <t>Nota: Intervento nr 25/02671.1; del 10/11/2025 | Nota: c/o VIA GAITO 6; Torre Boldone | Nota: Esito: RIPRISTINATO FUNZIONAMENTO GRU | TRASFERTA | MANODOPERA | Riga ausiliaria contenente informazioni t</t>
  </si>
  <si>
    <t>FPR 76/25</t>
  </si>
  <si>
    <t>Lavoro di scavo/livellamento presso il vostro cantiere sito in Bergamo via Ghislandi</t>
  </si>
  <si>
    <t>FPR 5/25</t>
  </si>
  <si>
    <t>Lavoro di scavo presso il vostro cantiere sito in monte Cavlera</t>
  </si>
  <si>
    <t>FPR 1/25</t>
  </si>
  <si>
    <t>Lavoro di scavo con nostro escavatore e camion presso il vostro cantiere sito in Bergamo via Ghislandi</t>
  </si>
  <si>
    <t>espresso toscano s.r.l. semplificata</t>
  </si>
  <si>
    <t>128 CAPSULE BIALETTI SCELTA | SPESE DI TRASPORTO</t>
  </si>
  <si>
    <t>3730/2025</t>
  </si>
  <si>
    <t>rif. ordine 266094 | APPLIQUE DA PARETE CUBO   GRIGIO 12W 3000K REGOLABILE IP65 | -</t>
  </si>
  <si>
    <t>f.a.i.p. srl</t>
  </si>
  <si>
    <t>17324/25</t>
  </si>
  <si>
    <t>A SEGUITO NOLEGGIO VI ADDEBITIAMO - | PER NR 01 GIORNO: - | IDROP. THERMIC 11 H 200/18 USATA (06NOL) | SACCO SABBIA QUARZITE KG.25 | OCCHIALE MONOLENTE | RIF. NS DDT N. 7370 DEL 26.11.2025 IN C/NOLEGG</t>
  </si>
  <si>
    <t>MENU ADULT | SEAT ADULT | ACQUA NATURALE 70CL | ACQUA NATURALE 70CL</t>
  </si>
  <si>
    <t>719A</t>
  </si>
  <si>
    <t>MENU ADULT | SEAT ADULT | CAFFE LISCIO | ACQUA NATURALE 70CL | ASAHI 50CL | ACQUA NATURALE 70CL</t>
  </si>
  <si>
    <t>38A</t>
  </si>
  <si>
    <t>ACQUA NATURALE 70CL | Coperto | Menu Adulti</t>
  </si>
  <si>
    <t>ferramenta 2000 snc andreoletti a.&amp;c</t>
  </si>
  <si>
    <t>001012500475</t>
  </si>
  <si>
    <t>AVVOLGICAVO mt.10-146105   3x1 | CILINDRO CISA OG300-13 CENT.70 NICHELATO | CILINDRO CISA OG300-13 CENT.70 NICHELATO | PUNTA HSS-INOX 4030 WSG mm 6 | Contributo ambientale CONAI assolto ove dovuto</t>
  </si>
  <si>
    <t>ferrari alberto</t>
  </si>
  <si>
    <t>Competenze | Rimborso Forfettario</t>
  </si>
  <si>
    <t>fornoni marmi s.r.l. a socio unico</t>
  </si>
  <si>
    <t>Rif. Ns. D.D.T. n° 90 del 06/08/2025 | Lavorazione in Serie | Quarzite Gaja Grey Levigata cm. 27x3 | Quarzite Gaja Grey Levigata cm. 29x3 | Quarzite Gaja Grey Levigata cm. 17,5x2 | Lavorazione bordi s</t>
  </si>
  <si>
    <t xml:space="preserve">Rif. Ns. D.D.T. n° 52 del 19/05/2025 | Lavorazione in Serie | Quarzite Pacific Smoke fiammata-spazzolata cm. 24x3 | Quarzite Pacific Smoke fiammata-spazzolata cm. 48,5x3 | Tagli per alette laterali | </t>
  </si>
  <si>
    <t>34/001</t>
  </si>
  <si>
    <t>Fattura di acconto per lavori edili eseguiti per vs conto e ordine presso il cantiere di Sorisole BG, via Piave, trattasi lavori di demolizione pavimento corsello box</t>
  </si>
  <si>
    <t>fratelli mazza di mazza d.&amp;c.snc</t>
  </si>
  <si>
    <t>CAMPE DHEI MERLOT CL75 2017 | SHIRAZ CABERNET AUSTRALIA 75CL 2022 CORAL REEF | FONTANA DEL FONGO CL75 2023 VALP.CLAS. ARDUINI | AMATE PRIM.NEGROAMARO CL75 2024 GUARINI</t>
  </si>
  <si>
    <t>fratelli testa s.r.l.</t>
  </si>
  <si>
    <t>Ddt nr. 11498 del 03/11/2025 | CLS RCK 35 S4 XC2 425 II ALL | POMPAGGIO CALCESTRUZZO | CHIAMATA POMPA CALCESTRUZZO | Ddt nr. 11499 del 03/11/2025 | CLS RCK 35 S4 XC2 425 II ALL | POMPAGGIO CALCESTRUZZ</t>
  </si>
  <si>
    <t>62/1</t>
  </si>
  <si>
    <t>Ddt nr. 129 del 08/01/2025 | CLS RCK 30 S4 XC1 425 II ALL | Ddt nr. 138 del 08/01/2025 | CLS RCK 30 S4 XC1 425 II ALL | Ddt nr. 239 del 10/01/2025 | CLS RCK 25 CEM II 42,5 R - S4 - | Ddt nr. 250 del 1</t>
  </si>
  <si>
    <t>g.m.v. impianti elettrici snc di vegetali giorgio e marco</t>
  </si>
  <si>
    <t>V00102</t>
  </si>
  <si>
    <t>Fattura d'acconto relativa a lavoro di impianto elettrico eseguito presso il cantiere di Bergamo via Ghislandi .</t>
  </si>
  <si>
    <t>Fattura per impianto elettrico eseguito presso il cantiere di di Scanzorosciate via Trento, 25  (BG).
SCIA alternativa al P.D.C. n. 244 del 18/10/2022</t>
  </si>
  <si>
    <t>Fattura d'acconto relativa a lavoro di impianto elettrico eseguito presso il Cantiere di Bergamo via Ghislandi.</t>
  </si>
  <si>
    <t>giannetta antonio</t>
  </si>
  <si>
    <t>Tassa Archivio Notarile | Emolumenti al Conservatore RR. II. | Contributi previdenziali | Compenso</t>
  </si>
  <si>
    <t>gruppo carmeli s.p.a.</t>
  </si>
  <si>
    <t>2025_39_20282</t>
  </si>
  <si>
    <t>SENSORE VELOCITA' | SOSTITUZIONE SENSORE VELOCITA | CLACSON / SISTEMAZIONE IMPIANTO ELETTRIC | MATERIALE DI CONSUMO E SMALTIMENTO</t>
  </si>
  <si>
    <t>gypsum s.r.l.</t>
  </si>
  <si>
    <t>VI EMETTIAMO FATTURA PER ACCONTO RICEVUTO TRAMITE BONIFICO BANCARIO A CONFERMA DELL'IMPEGNO NR. 14 DEL 09/01/2025 | IMPORTO</t>
  </si>
  <si>
    <t>Da DDT 258 del 11/04/2025 | Rif. Impegno  n.94 del 31/01/2025 | 1) WALLNEXT RIGHE IN GESSO TRADITION NR. 5 PANNELLI DA 50X200 CM | 2) COLLA PT BASE GESSO 25KG</t>
  </si>
  <si>
    <t>Da DDT 82 del 05/02/2025 | Rif. Impegno  n.14 del 09/01/2025 | 1) WALLNEXT RIGHE IN POLISTIROLO NOBILITATO, NR. 25 PANNELLI DA CM 50x200H | 2) MS STICK SEAL | 3) TEC7 CLEANER 500 ML | SI RICORDA DI CO</t>
  </si>
  <si>
    <t>happily s.r.l. societa benefit</t>
  </si>
  <si>
    <t>BUONO OMAGGIO HAPPILY 25 Euro | BUONO OMAGGIO HAPPILY 50 Euro | SERVIZI INCENTIVE | Imposta di bollo assolta in modo virtuale ai sensi dell'articolo 15 del d.p.r. 642/1972, del DM 17/06/2014 e del Dec</t>
  </si>
  <si>
    <t>901/S</t>
  </si>
  <si>
    <t>ATTIVAZIONE E MANUTENZIONE PORTALE PREMIUM | CASSA SANITARIA</t>
  </si>
  <si>
    <t>idras s.p.a. a socio unico</t>
  </si>
  <si>
    <t>FT/AI6/V12/0700210</t>
  </si>
  <si>
    <t>RACCORDO DIR M           1/2  X20    OTT
              STRINGERE TUBO POLIETILENE | GOMITO 90  M             1/2  X20    OTT
RACC SQUADRA  STRINGERE TUBO POLIETILENE</t>
  </si>
  <si>
    <t>ikea italia retail srl</t>
  </si>
  <si>
    <t>CX_2025_0056666</t>
  </si>
  <si>
    <t>FRAKTA borsa portatut gr 55x37x35 cm/71 l blu | VIHALS vetr ant sc 95x37x90 bianco | FARGKLAR serviz 18 pz opaco verde B | SANDVIVA strofinac 45x60 verde/bianco 2pz. | EKOLN portaspazzolino beige | FA</t>
  </si>
  <si>
    <t>CX_2025_0065548</t>
  </si>
  <si>
    <t>RODALM cornice 30x40 effetto rovere | FADO N lamp tav 25 bianco | HARSLINGA lamp terra bianco | NAVLINGE lamp scriv LED giallo/bianco | RINNIG presina 21x21 grigio 2pz. | RINNIG guant for grigio | SJA</t>
  </si>
  <si>
    <t>EC_2025_0421948</t>
  </si>
  <si>
    <t>Parcel Delivery | NAVLINGE lamp lav LED bianco | INDIRA coprilet 230x250 nat/cotone non sbian RECY | INDIRA coprilet 150x250 nat/cotone non sbian RECY</t>
  </si>
  <si>
    <t>EC_2025_0458127</t>
  </si>
  <si>
    <t>Collect at IKEA Store | GURLI NN fod cusc 50x50 rosa RECY | SANDMOTT cusc 30x58 rosso vivo/rosa vivo MIXRECY | LAGERPOPPEL fod cusc 50x50 grigio azzurro | LAGERPOPPEL fod cusc 50x50 grigio azzurro chi</t>
  </si>
  <si>
    <t>EC_2025_0427172</t>
  </si>
  <si>
    <t xml:space="preserve">Parcel Delivery | DVALA fed 50x80 grigio-verde 2pz. | DVALA lenz c ang 160x200 grigio-verde RECY | ANGSLILJA copr/2f 240x220/50x80 naturale RECY | INNER int cusc 50x50 bianco/rigido | LAGERPOPPEL fod </t>
  </si>
  <si>
    <t>imberti daniele</t>
  </si>
  <si>
    <t xml:space="preserve">Acconto Consulenza Tecnica Pratiche Catastali Tipo Mappale e  Docfa Accatastamenti  Appartamenti  Aree Comuni presso Vostri  Immobili  Siti in Bergamo (BG) Via Vittore Ghislandi n° sn . (Mappale n° 1 </t>
  </si>
  <si>
    <t>Acconto Prestazioni Professionali Per Scia Interventi di Manutenzione Straordinaria Copertura  CONDOMINIO SERENA Sito in Comune di Sorisole (BG)  Via Piave n° 12-18 (Mappale n° 8935 Foglio n° 11  Sub-</t>
  </si>
  <si>
    <t>Prestazioni professionali in Saldo per Piano di Sicurezza e Coordinamento Cantiere Via Vittore Ghislandi (BG) per vostro Ordine e Conto.</t>
  </si>
  <si>
    <t>1000 VON 25060472</t>
  </si>
  <si>
    <t>LEI - ATTIVAZIONE CODICE - RICH.SINGOLA</t>
  </si>
  <si>
    <t>intesa sanpaolo s.p.a</t>
  </si>
  <si>
    <t>01S620252800531146</t>
  </si>
  <si>
    <t>CBI PASSIVO INTESA-SANPAOLO | CBI PASSIVO INTESA-SANPAOLO | CBI PASSIVO INTESA-SANPAOLO</t>
  </si>
  <si>
    <t>Domiciliazione bancaria</t>
  </si>
  <si>
    <t>CBI PASSIVO INTESA-SANPAOLO | CBI PASSIVO INTESA-SANPAOLO</t>
  </si>
  <si>
    <t>iris mobili s.r.l.</t>
  </si>
  <si>
    <t>AMBURGO COLONNA SOSPESA 1 ANTA BATTENTE | PRIMULA CAMERA COMPLETA 6 ANTE BATTENTI | BASIC SLEEP 25 MATERASSO MATRIMONIALE SO | SOFT CUSCINO IN MEMORY L.70 P.50 H.14 | CASCADIX MISCELATORE LAVABO L.5 P</t>
  </si>
  <si>
    <t>jysk italia srl con socio unico</t>
  </si>
  <si>
    <t>F195202500348</t>
  </si>
  <si>
    <t>Shopper MY BLUE BAG 18x43xH43cm ricicl. | Pile EDDIE AA 10 pezzi SDP | Shopper MY BLUE BAG 18x70x60cm riciclata | XMAS Portacandelina PERLE H8cm ass. SDP | COP DRAGEHODE 140x200 pile grigio scuro | TA</t>
  </si>
  <si>
    <t>Shopper MY BLUE BAG 18x70x60cm riciclata | XMAS Tovaglioli AKVAMARIN 20 pezzi ass. | Cesto GUSTAV P26xL18xH13 cm naturale | Pianta artificiale ASGAR H48 cm pensile | Cesto VITUS P30xL23xH12cm naturale</t>
  </si>
  <si>
    <t>PJ09526901</t>
  </si>
  <si>
    <t>GASOLIO | SUPER SENZA PB | SUPER SENZA PB | SUPER SENZA PB | GASOLIO | GASOLIO | GASOLIO | GASOLIO | GASOLIO | GASOLIO | GASOLIO | GASOLIO | GASOLIO | GASOLIO | GASOLIO</t>
  </si>
  <si>
    <t>PJ10586307</t>
  </si>
  <si>
    <t>SUPER SENZA PB | GASOLIO | GASOLIO | GASOLIO | GASOLIO | SUPER SENZA PB</t>
  </si>
  <si>
    <t>l a  p i a z z o n i    s. r. l.</t>
  </si>
  <si>
    <t>Addebito per saldo residuo capitale e interessi di mora maturati ---  ---  --- Imposta di bollo da euro 2,00 assolta in modo virtuale. | Spese bollo</t>
  </si>
  <si>
    <t>CARRO PER GRU FM VS GRU FM 13.48 CTY DA 3,80X3,80 COMPLETO DI ZAVORRE | PRIMO ELEMENTO DI RACCORDO CARRO TORRE PER VS GRU FM 13.48 CTY | Nolo dal 08/07/2025 al 07/09/2025 --- Rif ns ddt nolo nr 5434 d</t>
  </si>
  <si>
    <t>MINIESCAVATORE KUBOTA MOD.U18-5 VHGL S2 Matricola KBCAZ26BTR3L20242 ATTACCO RAPIDO AR 15 MATR.00765830 COMPLETO DI BENNA MM.600 IN AR15 MATR.00765551  --- N.B.: ADDDEBITO ASSICURAZIONE 7%  GIORNI SOLA</t>
  </si>
  <si>
    <t>CARRO DI BASE PER GRU FM 13.50 --- COMPLETO DI VITI DI REGOLAZIONE | BLOCCHI ZAVORRA DI BASE IN C.A. --- PER GRU FM 13.50 | ELEMENTO DI PARTENZA PER GRU FM 13.50 --- ATTACCO BOOSTER / 3 FORI | Nolo da</t>
  </si>
  <si>
    <t>6435</t>
  </si>
  <si>
    <t>Addebito intervento n. 3 tecnici in data 08/07/2025 presso Vs. cantiere di Trezzano Rosa via Padre Marengoni per il montaggio Vs. gru FM 13.48 CTY matricola 12325 anno 2000. --- Rapp. n. 991 del 08/07</t>
  </si>
  <si>
    <t>Addebito per dichiarazione di idoneità piano di appoggio gru FM CTY 13.48, matr. 12325, anno di costruzione 2000 - cantiere di Trezzano Rosa MI via Padre Marangoni  --- Rilasciata il 07/07/2025</t>
  </si>
  <si>
    <t>CARRO PER GRU FM VS GRU FM 13.48 CTY DA 3,80X3,80 COMPLETO DI ZAVORRE | PRIMO ELEMENTO DI RACCORDO CARRO TORRE PER VS GRU FM 13.48 CTY | Nolo dal 08/09/2025 al 07/11/2025 --- Rif ns ddt nolo nr 5434 d</t>
  </si>
  <si>
    <t>CARRO PER GRU FM VS GRU FM 13.48 CTY DA 3,80X3,80 COMPLETO DI ZAVORRE | PRIMO ELEMENTO DI RACCORDO CARRO TORRE PER VS GRU FM 13.48 CTY | Nolo dal 08/11/2025 al 07/12/2025 --- Rif ns ddt nolo nr 5434 d</t>
  </si>
  <si>
    <t>DIAGONALE A BOCCOLA ZINCATA PZ | CORRENTE ZINC. DA 1.80 X TELAIO PZ | CANCELLETTO ZINCATO X TELAI 105 P.Z. --- Produttore: P.Z.</t>
  </si>
  <si>
    <t>lanzi florovivaistica di lanzi marco luigi</t>
  </si>
  <si>
    <t>953-AGR/BV/2025</t>
  </si>
  <si>
    <t>OLEANDRO</t>
  </si>
  <si>
    <t>926-AGR/BV/2025</t>
  </si>
  <si>
    <t>OLEANDRO | OLEANDRO</t>
  </si>
  <si>
    <t>737</t>
  </si>
  <si>
    <t>Incasso acconto</t>
  </si>
  <si>
    <t>99IEB092124-98-27</t>
  </si>
  <si>
    <t>COPERTO | BRESAOLA E ZUCCHINE | MIX POMODORINI + CIP | MARGHERITA | +crudo | +grana a scaglie | NDUJA | MARGHERITA | PILS MEDIA | ARLECCHINO 75CL | CAFFE' | CAFFE' CORRETTO | Sambuca</t>
  </si>
  <si>
    <t>leroy merlin italia srl</t>
  </si>
  <si>
    <t>PLACCA ARKE CLASSIC 3M NERO | ADATTATORE SCHUKO SP16A BIANCO BT | ADATTATORE SCHUKO SP10A BIANCO BT | *PLACCA PLANA 3M BIANCO | *PLACCA PLANA 4M BIANCO | XS-SPOLVERATORE 400 ML DEXTER | LIVELLA PER FI</t>
  </si>
  <si>
    <t>T.RULLO SCR.POL BRASILIA BIANCO 150X250 | T.RULLO BOSSA INSP OSC MOON 120X250 | T.RULLO BRASILIA SCREEN 10% MOON 150X250 | T.RULLO SCR.POL BRASILIA BIANCO 120X250 | T.RULLO SCREEN POL BRASILIA MOON 90</t>
  </si>
  <si>
    <t>TAV.ALL.LYRA II 135/270X90 ALU+VETR ANTR | POLTR. RELAX CRUZ C/CUSC 113.5X58 GRIG. | SEDIA LYRA BETA ALU+TEXT ANTR | BARBECUE SPIRIT E-330 CLASSIC GSB | CORNICE MILO BCO 50X70 CM INSPIRE | CORNICE MIL</t>
  </si>
  <si>
    <t>*BOMBOLA PIENA GPL 5 KG | SPAZZOLA A T PULIZIA BBQ+PLANC ACC INOX | SET 3 POSATE PER BBQ</t>
  </si>
  <si>
    <t>PENNELLO PIATTO UNIVERSALE 20MM DEXTER | MINIRULLO TEFLON SMALTO 6 CM | 2 RICARICHE M.RULLO TEFLON SMALTO 11 CM | PENNELLO RADIATORI 35MM DEXTER PRO | TELO PROTETTIVO C/NASTRO H0.55X33MT DISP | GUANTI</t>
  </si>
  <si>
    <t>041-048881</t>
  </si>
  <si>
    <t>T.RULLO BOLERO INSP N&amp;D BCA 120X250 | T.RULLO SCREEN SALSA INS BCO 120X250</t>
  </si>
  <si>
    <t>TAGLIO+R BOSSA INS OSC BCA 117-131,5X250</t>
  </si>
  <si>
    <t>WEB - CONSEGNA - PIANO STRADA | FIORIERA ETHICA RETT C/SPALL 80CM ANTR | *TERRICCIO UNIVERSALE 70L GEOLIA</t>
  </si>
  <si>
    <t>TAVOLA ABETE 1SC 14MMX200X1500 PEFC | TAVOLA ABETE 1SC 14MMX400X1500 PEFC | TAVOLA ABETE 1SC 14MMX300X1500 PEFC | TAVOLA ABETE 1SC 14MMX200X2000 | TAVOLA ROTONDA SP 28 DIAM. 600 MM | TAVOLA ROTONDA SP</t>
  </si>
  <si>
    <t>PROLUNGA 5M UNIVERSALE/SCHUKO NERA VIM | *35 SFERE PLASTICA MIX BLU GHIACCIO D6CM | SET 50 SFERE DIAMETRI ASS.PLASTICA ORO</t>
  </si>
  <si>
    <t>*BATTISEDIA MDF BCO LISCIO 10X100X2200 | COPRIFILO IMP. BIANCO LACC. 10X70X2250</t>
  </si>
  <si>
    <t>locanda rosa di cantu' barbara sas</t>
  </si>
  <si>
    <t>MENU FISSO | MENU FISSO | BAR</t>
  </si>
  <si>
    <t>MENU FISSO | MENU FISSO</t>
  </si>
  <si>
    <t>MENU' FISSO</t>
  </si>
  <si>
    <t>maffeis centro servizi snc di maffeis paolo antonio &amp; c. snc</t>
  </si>
  <si>
    <t>Vei. ZCFC3582005605789 - CX866WW Pr.: 63635/2025 EDILVERTOVA | 12 RADIAZIONE PER ESPORTAZIONE DL98 - C05331 | COMP. RADIAZIONE PER ESPORTAZIONE DL98 | COMP. RADIAZIONE PER ESPORTAZIONE DL98 | COMP. RA</t>
  </si>
  <si>
    <t>malto &amp; luppolo bar liu snc di ongaro f.&amp; c.</t>
  </si>
  <si>
    <t>01 PIADINA | 01 PIADINA | JALAPENOS E RED HOT BOMBS | PATATINE FRITTE | AFFLIGEM BL 30CL | THE LIMONE | MORETTI BIANCA PINTA | MURPHYS RED PINTA</t>
  </si>
  <si>
    <t>CANTABRICO PIZZA | BUD SPENCER | GRANBISCOTTO | AFFLIGEM ROUGE 30CL | HEINEKEN 50CL | DELLA GRANDA | JALAPENOS E RED HOT BOMBS | CAFFE</t>
  </si>
  <si>
    <t>mancusi davide</t>
  </si>
  <si>
    <t>Acconto per lassistenza legale nel procedimento n. 4054/2023 R.G.N.R. della Procura di Savona: fase predibattimentale. | Spese non imponibili a forfait</t>
  </si>
  <si>
    <t>mediamarket s.p.a. con socio unico</t>
  </si>
  <si>
    <t>2025/IT/000100363</t>
  </si>
  <si>
    <t>SUPPORTO TV MELICONI SLIMSTYLE PLUS 400S CG</t>
  </si>
  <si>
    <t>2025/IT/000099899</t>
  </si>
  <si>
    <t>HISENSE 50A6N TV D-LED, 50 " | TRASPORTO</t>
  </si>
  <si>
    <t>00125000914</t>
  </si>
  <si>
    <t>00125000782</t>
  </si>
  <si>
    <t>metro italia s.p.a.</t>
  </si>
  <si>
    <t>800STR.BOBINA MP</t>
  </si>
  <si>
    <t xml:space="preserve">3CEST COTONE ECRU 17X14H MP | P/TO DOLCI 20CM COL ASS MOSAIK | P/TO DOLCI 20CM COL ASS MOSAIK | P/TO DOLCI 20CM COL ASS MOSAIK | P/TO DOLCI 20CM COL ASS MOSAIK | P/TO DOLCI 20CM COL ASS MOSAIK | P/TO </t>
  </si>
  <si>
    <t>G250 MATRICIANE BACON GECCHELE | KG2,5 GHIAC CILNDRO VUOT COLUM | KG2,5 GHIAC CILNDRO VUOT COLUM | CL 70 SCIR.MONIN FRUT.PASSIONE | CL 75 BAROLO DOCG RISERVA ARB | CL70COGNAC  HENNESSY VS   40.0 | CL7</t>
  </si>
  <si>
    <t>2001/250192664</t>
  </si>
  <si>
    <t xml:space="preserve">Rif. ns. BOLLA  N E1    259556 13/11/25 spedita a EDILVERTOVA SRL VIA CESARE BATTISTI 104 24025 GAZZANIGA - BG | CARTA X FOT. A4 G.80 DOLPHIN   F.500 | BOBINA BASICO KARNAK 2V PURA CELL. 2RT 1000ST | </t>
  </si>
  <si>
    <t>newteam s.r.l.</t>
  </si>
  <si>
    <t>LAV 8KG 1200G DSW81225M15A2</t>
  </si>
  <si>
    <t>FORNO A MICROONDE 25l</t>
  </si>
  <si>
    <t>1954 /C</t>
  </si>
  <si>
    <t>CONSULENZA L. 662/96 FONDO DI GARANZIA | COSTI SERVIZI ACCESSORI | Riga ausiliaria contenente informazioni tecniche e aggiuntive del documento</t>
  </si>
  <si>
    <t>E5-0550944</t>
  </si>
  <si>
    <t>Quota per consumi | Quota fissa | Quota potenza | Altre partite - Oneri amministrativi | Altre partite - Sconto spedizione bolletta via mail | Totale ricalcoli | Imposte</t>
  </si>
  <si>
    <t>1149 B</t>
  </si>
  <si>
    <t>Accettazione N. 1230 | Cantiere: VIA KENNEDY - TORRE BOLDONE | Compressione su cubetti di cls | Emissione certificati</t>
  </si>
  <si>
    <t>1432 B</t>
  </si>
  <si>
    <t>Accettazione N. 1511 | Cantiere: VIA CAVLERA - VERTOVA (BG) | Compressione su cubetti di cls | Trazione e piegamento su barre | Emissione certificati</t>
  </si>
  <si>
    <t>p.f.a sas di rocchetti pierantonio e longhi francesco &amp; c.</t>
  </si>
  <si>
    <t>Extra Gift</t>
  </si>
  <si>
    <t>000000166001227P</t>
  </si>
  <si>
    <t>000000108000613P</t>
  </si>
  <si>
    <t>000000108006460P</t>
  </si>
  <si>
    <t>000000602003164P</t>
  </si>
  <si>
    <t>000000214003223P</t>
  </si>
  <si>
    <t>000000108007679P</t>
  </si>
  <si>
    <t>000000108011494P</t>
  </si>
  <si>
    <t>000000108015281P</t>
  </si>
  <si>
    <t>000000214007200P</t>
  </si>
  <si>
    <t>000000108018888P</t>
  </si>
  <si>
    <t>000000108032058P</t>
  </si>
  <si>
    <t>000000602011310P</t>
  </si>
  <si>
    <t>000000108023561P</t>
  </si>
  <si>
    <t>000000214009126P</t>
  </si>
  <si>
    <t>000000108024826P</t>
  </si>
  <si>
    <t>000000108028086P</t>
  </si>
  <si>
    <t>000000214000311P</t>
  </si>
  <si>
    <t>000000108019866P</t>
  </si>
  <si>
    <t>000000602000269P</t>
  </si>
  <si>
    <t>FPR 83/25</t>
  </si>
  <si>
    <t>Consulenza informatico effettuata per Vs. conto</t>
  </si>
  <si>
    <t>FPR 15/25</t>
  </si>
  <si>
    <t>Intervento chiamata esterna | Consulenza informatico effettuata per Vs. conto</t>
  </si>
  <si>
    <t>per piu soluzioni srl</t>
  </si>
  <si>
    <t>FR A25\1323</t>
  </si>
  <si>
    <t>pesce roberto</t>
  </si>
  <si>
    <t>FPR 9/25</t>
  </si>
  <si>
    <t>redazione di RRE per immobile in Finale Ligure via dell'Artigianato 76 | spese anticipate tributi catastali esenti art. 15</t>
  </si>
  <si>
    <t>FPR 10/25</t>
  </si>
  <si>
    <t>Pratica edilizia SCIA per divisione capannone industriale in Finale L. via dell'Artigianato 76 e relative variazioni catastali, per la quota di Sua spettanza</t>
  </si>
  <si>
    <t>pit stop revolution srl</t>
  </si>
  <si>
    <t>1641/25</t>
  </si>
  <si>
    <t>** Rif. Conferma d'ordine 81123/Web del 20/10/2025: | Faro dacia duster dal 2023 al 2025 sx c/luce diurna led | Corriere Espresso | -</t>
  </si>
  <si>
    <t>poker di grassi danilo &amp; c. s.n.c.</t>
  </si>
  <si>
    <t>** Rif. Doc. di trasporto 187 del 11/02/2025: | ** Rif. Preventivo 457/GM del 20/12/2024: | Rif. TORRE BOLDONE | Punto d'ancoraggio fisso cordino INOX diam.6 CL.A lunghezza 50 CM | Rondella Maggiorata</t>
  </si>
  <si>
    <t>prean s.r.l.</t>
  </si>
  <si>
    <t>Rif.Contratto Nr. 92291 del 12/06/2025 | SERVIZIO MANUTENZIONE NR.3  ATTREZZATURE TUTTO COMPRESO A NORMA UNI 9994-1:2024 E SERVIZI PLUS Polvere: Port.3 PER 2 VISITE - CANONE ANNUALE 1^ VISITA PRIMO SE</t>
  </si>
  <si>
    <t xml:space="preserve">Rif.Contratto Nr. 72658 del 19/12/2024 | SERVIZIO MANUTENZIONE NR.3  ATTREZZATURE TUTTO COMPRESO A NORMA UNI 9994-1:2024 E SERVIZI PLUS Polvere: Port.3 PER 2 VISITE - CANONE ANNUALE 1^ VISITA SECONDO </t>
  </si>
  <si>
    <t>225/00</t>
  </si>
  <si>
    <t>VERIFICA FUNI TRIMESTRALE SU GRU RA Rif.ns. offerta 40 del 06.07.2025
Rif.ns.int. 172 del 09/07/2025
GRU FM 1035 NF.13044 -Cant. Torre Boldone
Verifica con trascrizione sul registro di controllo. | Gr</t>
  </si>
  <si>
    <t>00125000068</t>
  </si>
  <si>
    <t>coperto | acqua san pellegrino | pizza gambero rosso | messicana | tartare tonno | vegetariana | bottiglia di vino</t>
  </si>
  <si>
    <t>rc impianti srls</t>
  </si>
  <si>
    <t>Saldo Posa rivestimento in lastre Equitone fronte e retro - cantiere di Bergamo Via Ghislandi 51</t>
  </si>
  <si>
    <t>6225161989</t>
  </si>
  <si>
    <t>[ID: B8915008] Servizio di rinnovo per il dominio edilvertova.it | [ID: B8915008] Dominio Business Hosting</t>
  </si>
  <si>
    <t>2025E27165</t>
  </si>
  <si>
    <t>Energia Reattiva | Imposte | Oneri di sistema | Servizi di Vendita | Trasporto e gestione del contatore</t>
  </si>
  <si>
    <t>rich in life s.r.l.</t>
  </si>
  <si>
    <t>141</t>
  </si>
  <si>
    <t>Bowl L | ACQUA | EXTRA 0.50EURO</t>
  </si>
  <si>
    <t>00125001296</t>
  </si>
  <si>
    <t>00125001272</t>
  </si>
  <si>
    <t>00125000987</t>
  </si>
  <si>
    <t>00125000969</t>
  </si>
  <si>
    <t>00125000956</t>
  </si>
  <si>
    <t>FATT/2025/12090</t>
  </si>
  <si>
    <t>Paffoni Tango miscelatore per lavabo senza piletta di scarico TA071CR | Spese di trasporto</t>
  </si>
  <si>
    <t>ruggipav sas di trapletti ruggero &amp; c.</t>
  </si>
  <si>
    <t>CANTIERE DI BERGAMO  Formazione di rampa scopata con quarzo  A CORPO 1.700,00Euro | -</t>
  </si>
  <si>
    <t>CANTIERE DI SORISOLE  Formazione di pavimento industriale in due getti con quarzo e tagli  A CORPO 3.600,00Euro | -</t>
  </si>
  <si>
    <t>s.e.a. s.r.l.-societa' unipersonale</t>
  </si>
  <si>
    <t>2/01</t>
  </si>
  <si>
    <t>Fattura per lavori di formazione di strato di collegamento in | conglomerato tipo Binder, compreso fornitura di materiali, stendimento | rullatura eseguiti presso il vs. cantiere di Scanzorosciate | a</t>
  </si>
  <si>
    <t>spelgatti s.r.l.</t>
  </si>
  <si>
    <t>SPESE DI DEPOSITO VOSTRA GRU F.M. PRESSO IL NOSTRO PIAZZALE DI BERGAMO A PARTIRE DAL GIORNO 09.01.25 FINO AL GIORNO 31.01.25 | AL PREZZO GIORNALIERO | ________________________________________ DATI PER</t>
  </si>
  <si>
    <t xml:space="preserve">SPESE DI DEPOSITO VOSTRA GRU F.M. PRESSO IL NOSTRO PIAZZALE DI BERGAMO A PARTIRE DAL GIORNO 01.02.25 FINO AL GIORNO 28.02.25 | AL PREZZO MENSILE DI | ________________________________________ DATI PER </t>
  </si>
  <si>
    <t>SERVIZIO ASSISTENZA NR. 05118 INTERVENTO EFFETTUATO IN DATA 08.01.25 PRESSO VS CANTIERE DI BERGAMO VIA VITTORE GHISLANDI PER SMONTAGGIO VS GRU F.M. 13.48 CARICO TRASPORTO E SCARICO PRESSO IL NOSTRO DE</t>
  </si>
  <si>
    <t xml:space="preserve">SPESE DI DEPOSITO VOSTRA GRU F.M. PRESSO IL NOSTRO PIAZZALE DI BERGAMO A PARTIRE DAL GIORNO 01.04.25 FINO AL GIORNO 30.04.25 | AL PREZZO MENSILE DI | ________________________________________ DATI PER </t>
  </si>
  <si>
    <t xml:space="preserve">SPESE DI DEPOSITO VOSTRA GRU F.M. PRESSO IL NOSTRO PIAZZALE DI BERGAMO A PARTIRE DAL GIORNO 01.06.25 FINO AL GIORNO 30.06.25 | AL PREZZO MENSILE DI | ________________________________________ DATI PER </t>
  </si>
  <si>
    <t xml:space="preserve">SPESE DI DEPOSITO VOSTRA GRU F.M. PRESSO IL NOSTRO PIAZZALE DI BERGAMO A PARTIRE DAL GIORNO 01.05.25 FINO AL GIORNO 31.05.25 | AL PREZZO MENSILE DI | ________________________________________ DATI PER </t>
  </si>
  <si>
    <t xml:space="preserve">SPESE DI DEPOSITO VOSTRA GRU F.M. PRESSO IL NOSTRO PIAZZALE DI BERGAMO A PARTIRE DAL GIORNO 01.03.25 FINO AL GIORNO 31.03.25 | AL PREZZO MENSILE DI | ________________________________________ DATI PER </t>
  </si>
  <si>
    <t>stella home s.r.l.</t>
  </si>
  <si>
    <t>158/E</t>
  </si>
  <si>
    <t>ARTICOLI PULIZIA | Riga ausiliaria contenente informazioni tecniche e aggiuntive del documento</t>
  </si>
  <si>
    <t>Rif. Fattura Proforma N° 126 del 14/04/2025 | Amministrazione del personale 01/2025 | Amministrazione del personale 02/2025 | Amministrazione del personale 03/2025 | Attivazione e gestione ammortizzat</t>
  </si>
  <si>
    <t>118</t>
  </si>
  <si>
    <t xml:space="preserve">Rif. Fattura Proforma N° 84 del 14/01/2025 | Amministrazione del personale 10/2024 | Amministrazione del personale 11/2024 | Amministrazione del personale 12/2024 | Pratiche varie c/o Enti Istanza on </t>
  </si>
  <si>
    <t>studio tecnico architetto gianluigi cortinovis</t>
  </si>
  <si>
    <t>FPR 55/25</t>
  </si>
  <si>
    <t>Perizia giurata relativa allo stato di fatto in data 19/09/2025 della rampa carrale del Condominio Ghislandi, 51 - Bergamo (BG) - Redazione Perizia (scontata) euro 300,00, Aseverazione presso Cancelle</t>
  </si>
  <si>
    <t>FPR 45/25</t>
  </si>
  <si>
    <t>TRIBUNALE DI BERGAMO RG  N. 1840/25 PROMOSSO DA "CONDOMINIO RESIDENZA VICOLO 17 (TREVIOLO) CONTRO EDILVERTOVA SRL" INCARICO CTP INIZIO OPERAZIONI PERITALI 01/07/2025</t>
  </si>
  <si>
    <t>FPR 46/25</t>
  </si>
  <si>
    <t>system project s.r.l.</t>
  </si>
  <si>
    <t>3304/00</t>
  </si>
  <si>
    <t>Riga di commento | Riga di commento | COPIE EFFETTUATE B/N | COPIE EFFETTUATE COLORE | Riga ausiliaria contenente informazioni tecniche e aggiuntive del documento</t>
  </si>
  <si>
    <t>DTV/00 n. 2439 del 30/10/2025 | CARTUCCIA D'INCHIOSTRO HP N.72 GIALLO DA 130ML. VIVERA | TESTINA DI STAMPA HP N.72 MAGENTA / CIANO | Riga ausiliaria contenente informazioni tecniche e aggiuntive del d</t>
  </si>
  <si>
    <t>137/00</t>
  </si>
  <si>
    <t>tappezziere moroni snc di moroni renzo e eusebio</t>
  </si>
  <si>
    <t>Fornitura vetrate per apppartamento 1 e appartamento 2</t>
  </si>
  <si>
    <t>Fornitura tende - alloggio n°8  presso immobile sito in Via V. Ghislandi n° 51 Bergamo (BG). Intervanti realizzati in base a permesso di costruire prot. n. E0167197del 21/06/2021 e successive varianti</t>
  </si>
  <si>
    <t>Fornitura tende rif. Signor Caprera</t>
  </si>
  <si>
    <t>Fornitura vetrate per appartamento 1 e appartamento 2, fattura saldo rif fattura n°8 - del 03/02/2025</t>
  </si>
  <si>
    <t>taverna san giorgio societa a responsabilita limitata semplificata</t>
  </si>
  <si>
    <t>Pranzo completo | PRANZO PRIMO</t>
  </si>
  <si>
    <t>techind s.r.l.</t>
  </si>
  <si>
    <t>003183VEN</t>
  </si>
  <si>
    <t>Nota: Rif. Preventivo nr. 25/00092 del 17/04/2025 | MANODOPERA - 2 Tecnici 12/05/2025 | ORE VIAGGIO A/R - 2 Tecnici | DIRITTO DI CHIAMATA - 2 Tecnici | COSTO CHILOMETRICO | RUOTA DEL CARRELLO COMPLETA</t>
  </si>
  <si>
    <t>002569VEN</t>
  </si>
  <si>
    <t>Verifica trimestrale gru 08/04/2025 | Spese incasso | Riga ausiliaria contente informazioni tecniche e aggiuntive del documento</t>
  </si>
  <si>
    <t>telepass s.p.a.</t>
  </si>
  <si>
    <t>000000059518991T</t>
  </si>
  <si>
    <t>000000050290912T</t>
  </si>
  <si>
    <t>0000000000080535</t>
  </si>
  <si>
    <t>PARCHEGGI IN RESELLING</t>
  </si>
  <si>
    <t>000000052970381T</t>
  </si>
  <si>
    <t>CANONE TELEPASS | QUOTA ASSOCIATIVA SERVIZIO | QUOTA ASSOCIATIVA CARTE SUCC.</t>
  </si>
  <si>
    <t>000000054943754T</t>
  </si>
  <si>
    <t>0000000003054605</t>
  </si>
  <si>
    <t>000000057354274T</t>
  </si>
  <si>
    <t>000000061769018T</t>
  </si>
  <si>
    <t>0000000019137015</t>
  </si>
  <si>
    <t>000000066829724T</t>
  </si>
  <si>
    <t>0000000012048545</t>
  </si>
  <si>
    <t>000000069343603T</t>
  </si>
  <si>
    <t>000000071331388T</t>
  </si>
  <si>
    <t>0000000016451475</t>
  </si>
  <si>
    <t>000000073991235T</t>
  </si>
  <si>
    <t>000000064581212T</t>
  </si>
  <si>
    <t>termoidraulica v.m. snc di vavassori cristian e madaschi luca</t>
  </si>
  <si>
    <t>SALDO Lavori presso comune di Bergamo (BG) - Via Ghislandi n. 31 // Realizzazione impianto idrotermosanitario, realizzazione impianto di riscaldamento e predisposizione clima</t>
  </si>
  <si>
    <t>Fornitura condizionatore Daikin, installazione macchine e dichiarazione F-Gas</t>
  </si>
  <si>
    <t>Fornitura e installazione box doccia presso immobile sito in Bergamo, Via Ghislandi 31</t>
  </si>
  <si>
    <t>Storno NDC 6 del 24/07/2025</t>
  </si>
  <si>
    <t>tim  s.p.a.</t>
  </si>
  <si>
    <t>Contributo attivazione Checkup Sicurezza Light  8/24 01/12/24 | Opzione Fast 100 01/12/24 - 31/12/24 | TIM Tutto 01/12/24 - 31/12/24 | Bonus 24 mesi Checkup Sicurezza Light | Bonus Fedeltà | Bonus TIM</t>
  </si>
  <si>
    <t>Contributo attivazione Checkup Sicurezza Light 10/24 01/02/25 | Opzione Fast 100 01/02/25 - 28/02/25 | TIM Tutto 01/02/25 - 28/02/25 | Bonus 24 mesi Checkup Sicurezza Light | Bonus Fedeltà | Bonus TIM</t>
  </si>
  <si>
    <t>Contributo attivazione Checkup Sicurezza Light 11/24 01/03/25 | Opzione Fast 100 01/03/25 - 31/03/25 | TIM Tutto 01/03/25 - 31/03/25 | Bonus 24 mesi Checkup Sicurezza Light | Bonus Fedeltà | Bonus TIM</t>
  </si>
  <si>
    <t>Contributo attivazione Checkup Sicurezza Light 12/24 01/04/25 | Opzione Fast 100 01/04/25 - 30/04/25 | TIM Tutto 01/04/25 - 30/04/25 | Bonus 24 mesi Checkup Sicurezza Light | Bonus Fedeltà | Bonus TIM</t>
  </si>
  <si>
    <t>Contributo attivazione Checkup Sicurezza Light 13/24 01/05/25 | Opzione Fast 100 01/05/25 - 31/05/25 | TIM Tutto 01/05/25 - 31/05/25 | Bonus 24 mesi Checkup Sicurezza Light | Bonus Fedeltà | Bonus TIM</t>
  </si>
  <si>
    <t>Contributo attivazione Checkup Sicurezza Light 14/24 01/06/25 | Opzione Fast 100 01/06/25 - 30/06/25 | TIM Tutto 01/06/25 - 30/06/25 | Bonus 24 mesi Checkup Sicurezza Light | Bonus Fedeltà | Bonus TIM</t>
  </si>
  <si>
    <t>Contributo attivazione Checkup Sicurezza Light  9/24 01/01/25 | Opzione Fast 100 01/01/25 - 31/01/25 | TIM Tutto 01/01/25 - 31/01/25 | Bonus 24 mesi Checkup Sicurezza Light | Bonus Fedeltà | Bonus TIM</t>
  </si>
  <si>
    <t>Contributo attivazione Checkup Sicurezza Light 16/24 01/08/25 | Opzione Fast 100 01/08/25 - 31/08/25 | TIM Tutto 01/08/25 - 31/08/25 | Bonus 24 mesi Checkup Sicurezza Light | Bonus Fedeltà | Bonus TIM</t>
  </si>
  <si>
    <t>Contributo attivazione Checkup Sicurezza Light 17/24 01/09/25 | Opzione Fast 100 01/09/25 - 30/09/25 | TIM Tutto 01/09/25 - 30/09/25 | Bonus 24 mesi Checkup Sicurezza Light | Bonus Fedeltà | Bonus TIM</t>
  </si>
  <si>
    <t>Contributo attivazione Checkup Sicurezza Light 18/24 01/10/25 | Opzione Fast 100 01/10/25 - 31/10/25 | TIM Tutto 01/10/25 - 31/10/25 | Bonus 24 mesi Checkup Sicurezza Light | Bonus Fedeltà | Bonus TIM</t>
  </si>
  <si>
    <t>Contributo 5G Power Executive+ 29/10/25 - 31/10/25 | Credito iniziale SIM senza logistica | Servizio di produzione e invio fattura | Ricarica credito 12</t>
  </si>
  <si>
    <t>Bollettino c/c postale</t>
  </si>
  <si>
    <t>Contributo attivazione Checkup Sicurezza Light 19/24 01/11/25 | Opzione Fast 100 01/11/25 - 30/11/25 | TIM Tutto 01/11/25 - 30/11/25 | Bonus 24 mesi Checkup Sicurezza Light | Bonus Fedeltà | Bonus TIM</t>
  </si>
  <si>
    <t>Contributo 5G Power Executive+ 01/11/25 - 30/11/25 | Credito iniziale SIM senza logistica | Servizio di produzione e invio fattura | Attivazione 5G Power Executive+ | Ricarica credito 12</t>
  </si>
  <si>
    <t>Contributo attivazione Checkup Sicurezza Light 15/24 01/07/25 | Opzione Fast 100 01/07/25 - 31/07/25 | TIM Tutto 01/07/25 - 31/07/25 | Bonus 24 mesi Checkup Sicurezza Light | Bonus Fedeltà | Bonus TIM</t>
  </si>
  <si>
    <t>top coperture s.r.l. società unipersonale</t>
  </si>
  <si>
    <t>150/1</t>
  </si>
  <si>
    <t xml:space="preserve">Prestazione altamente specializzata in esecuzione di disposizioni contrattuali compreso materiale di consumo impiegando i nostri macchinari e attrezzatura necessaria presso Vs. cantiere di:   Come da </t>
  </si>
  <si>
    <t>151/1</t>
  </si>
  <si>
    <t>trattoria  parietti snc di parietti p. e tomba m.</t>
  </si>
  <si>
    <t>COPERTO | ACQUA TRATTATA GASATA | BIRRA ICHNUSA 33CL | VALCALEPIO ROSSO 1L | TRIS DI PROSCIUTTI | AFFETTATO | GNOCCHI CAPRIOLO | SCALOPPE DI VITELLO ALLE NOCI | FILETTO ALLA PIASTRA | TARAGNA CONIGLIO</t>
  </si>
  <si>
    <t>trentino mobilita s.p.a.</t>
  </si>
  <si>
    <t>000000556000136P</t>
  </si>
  <si>
    <t>ultrasonic s.r.l.</t>
  </si>
  <si>
    <t>RICEVENTE BALLAN new TX serie SMART</t>
  </si>
  <si>
    <t>uniacque s.p.a.</t>
  </si>
  <si>
    <t>QUOTA FISSA ACQUA COMM. ARTIG. | QUOTA FISSA ACQUA COMM. ARTIG. | QUOTA FISSA FOGNA COMM. ARTIG. | QUOTA FISSA FOGNA COMM. ARTIG. | QUOTA FISSA DEP. COMM. ARTIG. | QUOTA FISSA DEP. COMM. ARTIG.</t>
  </si>
  <si>
    <t>Posa/sost.contatore DN 25 (1) -</t>
  </si>
  <si>
    <t>PagoPA</t>
  </si>
  <si>
    <t>QUOTA FISSA ACQUA COMM. ARTIG. | QUOTA FISSA ACQUA COMM. ARTIG. | QUOTA FISSA ACQUA COMM. ARTIG. | QUOTA FISSA FOGNA COMM. ARTIG. | QUOTA FISSA FOGNA COMM. ARTIG. | QUOTA FISSA FOGNA COMM. ARTIG. | QU</t>
  </si>
  <si>
    <t>Trattenuta su somme</t>
  </si>
  <si>
    <t>QUOTA FISSA ACQUA COMM. ARTIG. | QUOTA FISSA ACQUA COMM. ARTIG. | QUOTA FISSA ACQUA COMM. ARTIG. | QUOTA FISSA ACQUA COMM. ARTIG. | QUOTA FISSA ACQUA COMM. ARTIG. | QUOTA FISSA FOGNA COMM. ARTIG. | QU</t>
  </si>
  <si>
    <t>QUOTA FISSA ACQUA COMM. ARTIG. | QUOTA FISSA FOGNA COMM. ARTIG. | QUOTA FISSA DEP. COMM. ARTIG. | ADDEBITO SPESE DI SOLLECITO</t>
  </si>
  <si>
    <t>QUOTA FISSA ACQUA COMM. ARTIG. | QUOTA FISSA FOGNA COMM. ARTIG. | QUOTA FISSA DEP. COMM. ARTIG. | QUOTA FISSA ACQUA COMM. ARTIG. | QUOTA FISSA FOGNA COMM. ARTIG. | QUOTA FISSA DEP. COMM. ARTIG.</t>
  </si>
  <si>
    <t>QUOTA FISSA ACQUA COMM. ARTIG. | QUOTA FISSA FOGNA COMM. ARTIG. | QUOTA FISSA DEP. COMM. ARTIG. | ACQUEDOTTO COMMERCIALE ARTIG. BASE | ACQUEDOTTO COMMERCIALE ARTIG. ECCEDENZA | FOGNATURA | DEPURAZIONE</t>
  </si>
  <si>
    <t>QUOTA FISSA ACQUA COMM. ARTIG. | QUOTA FISSA FOGNA COMM. ARTIG. | QUOTA FISSA DEP. COMM. ARTIG.</t>
  </si>
  <si>
    <t>QUOTA FISSA ACQUA COMM. ARTIG. | QUOTA FISSA FOGNA COMM. ARTIG. | QUOTA FISSA DEP. COMM. ARTIG. | QUOTA FISSA ACQUA COMM. ARTIG. | QUOTA FISSA FOGNA COMM. ARTIG. | QUOTA FISSA DEP. COMM. ARTIG. | ADDE</t>
  </si>
  <si>
    <t>QUOTA FISSA ACQUA COMM. ARTIG. | QUOTA FISSA FOGNA COMM. ARTIG. | QUOTA FISSA DEP. COMM. ARTIG. | ACQUEDOTTO COMMERCIALE ARTIG. ECCEDENZA | ACQUEDOTTO COMMERCIALE ARTIG. BASE | FOGNATURA | DEPURAZIONE</t>
  </si>
  <si>
    <t>unieuro s.p.a.</t>
  </si>
  <si>
    <t>349 02077</t>
  </si>
  <si>
    <t>G.FAMIGLIA DELUXE | BATTERIA ITALA 8 P</t>
  </si>
  <si>
    <t>v.e.m. s.r.l.</t>
  </si>
  <si>
    <t>Rif. Verifica periodica standard Nr. 66845 del 06/12/2024 - Gru torre - Matricola: 2001/2/01038/BG - Marca: FM GRU - Modello: FM 1035 CTY - N. Fabbrica: 13044 - ubicato in VIA GAITO, 5 24020 Torre Bol</t>
  </si>
  <si>
    <t>00125000172</t>
  </si>
  <si>
    <t>coperto | Leffe Blonde 0,33 l | Leffe Blonde 0,50 l | Coca Cola bott. | Leffe Rouge 0,50l | Gamberona | mozzarella | Marinara | Bufalona bianca | Sofisticata | Bufala | Spatzle verdi speck birra Leffe</t>
  </si>
  <si>
    <t>00125000149</t>
  </si>
  <si>
    <t>coperto | Fritto Mix napoletano | Bufalo burger | Leffe Rouge 0,50l</t>
  </si>
  <si>
    <t>00125000044</t>
  </si>
  <si>
    <t xml:space="preserve">coperto | Speck e brie | Gamberona | mozzarella | Vulcanica | Diavola | Marinara | Ribs BBQ con patate al forno | Americana | burrata | Hamburger Angus U.S.A. Normale | Leffe Rouge 0,33 l | Coca Cola </t>
  </si>
  <si>
    <t>00125000004</t>
  </si>
  <si>
    <t>coperto | Leffe Rouge 0,33 l | Coca Cola bott. | Stella artois 0,40 l | Quattro formaggi | Sofisticata | Parma superior | Polpo burger | Margherita | Tiramisù | Sambuca Molinari | Amaro del capo | CAF</t>
  </si>
  <si>
    <t>2512C375454</t>
  </si>
  <si>
    <t>viemme porte s.r.l.</t>
  </si>
  <si>
    <t>ILARIA GHILARDINI | A NAT 600 RISO 80210 SC | SOLO ANTA | RIF.GIOVANNI LANFRANCHI / | ILARIA GHILARDINI | CONTRIBUTO AMBIENTALE CONAI ASSOLTO *    CI CONSIDERIAMO ESONERATI DA | QUALSIASI RESPONSABILI</t>
  </si>
  <si>
    <t>L1160 | MANIGLIONE 25X25 INOX SAT | L1160 | KIT MANIGL QUADR CROM SAT | CONTRIBUTO AMBIENTALE CONAI ASSOLTO *    CI CONSIDERIAMO ESONERATI DA | QUALSIASI RESPONSABILITA' IN CASO DI VOSTRI DATI ANAGRAF</t>
  </si>
  <si>
    <t>Ddt nr. 14694  del 21/05/2025 | RIVESTIMENTO PVC 7MM INCISA 076 436-6047 - RAL 7039 L 900 H 2100 TAGLIATO PER BLINDATO OKEY 82,3X209,1</t>
  </si>
  <si>
    <t>RIF.GHILARDINI ILARIA | BLI STEEL/C  90210S | TELAIO/CARENA ARGENTO | INTERNO BIANCO | SI SPIONCINO | SI LIMITATORE | MAN+MAN ARGENTO | RIV BLI EST BIANCO OPACO | RIF.GHILARDINI ILARIA | ZOCCOLINO 75X</t>
  </si>
  <si>
    <t>Ddt nr. 21897  del 09/09/2025 | ALIAS CONTROTELAIO EASY/SMART L 90 H 210</t>
  </si>
  <si>
    <t>Ddt nr. 28587  del 01/12/2025 | Ordine Cl. num. 24730 del 12/09/2025 | Prev. cl. num. 2419 del 04/09/2025 | BLINDATO ALIAS STEEL/C MOTORIZZATA X1R SMART 90X210 DX CONTROTELAIO ESCLUSO TELAIO+CARENA AR</t>
  </si>
  <si>
    <t>Ddt nr. 20939  del 05/08/2025 | P ONE 800 BIANCO OPACO BIANCO OPACO L 80 H 210 T 11 SCOR INT | Maggiorazione coprifili aletta lunga | P ONE 800 BIANCO OPACO BIANCO OPACO L 80 H 210 T 11 SX | ZOCCOLINO</t>
  </si>
  <si>
    <t>Ddt nr. 24921  del 16/10/2025 | ARTICOLO ALIAS CONTROTELAIO WALL 90X210 | Spesa di trasporto 2%</t>
  </si>
  <si>
    <t>W10000003725</t>
  </si>
  <si>
    <t>- Ref. Order SH-469075 / #515057 - | Calvet Cremant de Bordeaux Brut Rosé 2021 | Guarini Appassimento Sigillo Oro Amaté negroamaro Primitivo 2024 | Spese di Trasporto | Ca' dei Frati Lugana I Frati 20</t>
  </si>
  <si>
    <t>würth s.r.l</t>
  </si>
  <si>
    <t>89197</t>
  </si>
  <si>
    <t>Interessi moratori  (D.lgs. 231/02) | Spese legali</t>
  </si>
  <si>
    <t>zaninoni  packaging group s.r.l.</t>
  </si>
  <si>
    <t>2025-A7004-0005624</t>
  </si>
  <si>
    <t>SCI IN LEGNO DA APP. 60CM ASS. | ALCOOL ETILICO 90  750ML T.S.B. | CRISTAL GLASS MULT. POMP.ML.750 | SGRASSATORE CHANTE CLAIR POMPETTA 600ml | SGRASSATORE CHANTE CLAIR POMPETTA 600ml | QUASAR VETRI SP</t>
  </si>
  <si>
    <t>2025-A7004-0002533</t>
  </si>
  <si>
    <t>CARTONE TRASLOCO 60X40X40 AMERICANA AVANA 1ONDA | CARTONE TRASLOCO 41X34X26 AMERICANA AVANA 1ONDA | SCATOLA MARMOTTA 300X400X195 AVANA LISCIA | SCATOLA MARMOTTA 455X350X170 C/FINESTRA TRASP AVANA LISC</t>
  </si>
  <si>
    <t>Importo a saldo. Prestazioni professionali ingegneristiche relative alla redazione di modelli per certificazioni antincendio CERT.REI e DICH. PROD per autorimessa interrata ubicata nel comune di Berga</t>
  </si>
  <si>
    <t>LAVAZZA MIX OFFERTA 44MM | KIT 100 BICCHIERI PALETTE ZUCCHERO | CAPSULE MOKESPRESSO BIALETTI VENEZIA</t>
  </si>
  <si>
    <t>CENA | Riga ausiliaria contenente informazioni tecniche e aggiuntive del documento</t>
  </si>
  <si>
    <t>PRANZO | Riga ausiliaria contenente informazioni tecniche e aggiuntive del documento</t>
  </si>
  <si>
    <t>MICROBLOC FAST Kg 5 cemento idraulico ultrarapida Sig. Franco Leonardo | ATTENZIONE NON SI ACCETTANO RESI   "Contributo ambientale Conai assolto" | Addebito di spese emissione RI-BA per importi inferi</t>
  </si>
  <si>
    <t>Assegno bancario</t>
  </si>
  <si>
    <t>Concorso spese per sopralluogo tecnico, da Voi richiesto da effettuarsi 
in data  10 Giugno 2025  presso l'immobile sito in:
Via  Padre Marangoni  - Trezzano Rosa | CCNL APPLICATO INDUSTRIA EDILE -</t>
  </si>
  <si>
    <t>84005352370001 PORTA SEZ ONDA 250 L 5350 H 2370 | ONDA25550X250 ONDA 250 550X250 | VERN VERNICIATURA SIMIL RAL 9010 | SZ0221 PARAC. CONTRO ROTTURA MOLLE OLTRE L 350 | SZ042028 COPRIF.VERTICALI MONTAGG</t>
  </si>
  <si>
    <t>BORSA PICCOLA CARTENE ROSSO C/LOGO | BORSA GRANDE CARTENE ROSSO C/LOGO | VASO VETRO ASS3COL CM8X6,5XH11,5 | BICCHIERE VETRO LIQUORE CC 60 | PROFUM. ML 125 LEGNO CEDRO E SALE | PROFUM. ML 125 AMBRA GRG</t>
  </si>
  <si>
    <t>Competenze | Rimborso Forfettario | Anticipazioni</t>
  </si>
  <si>
    <t>** Rif. Doc. di trasporto 962/2025 del 28/08/2025: | RIPARAZIONE MARTELLO DEWALT D25763 CON SMONTAGGIO, PULIZIA | SOSTITUZIONE: | CUSCINETTO | RICAMBIO INT. | CP SP | LAVAGGIO PARTE MECCANICA | PULIZI</t>
  </si>
  <si>
    <t>** Rif. Doc. di trasporto 680/2025 del 13/06/2025: | RIPARAZIONE MOTOSEGA HUSQVARNA CON SMONTAGGIO | LAVAGGIO E PULIZIA | SOSTITUZIONE | FUNE 3,0 | IMPUGNATURA | RETURN SPRING | SPINA | PESCANTE WALBR</t>
  </si>
  <si>
    <t>** Rif. Doc. di trasporto 489/2025 del 30/04/2025: | RIPARAZIONE BETONIERA CON SMONTAGGIO E SOSTITUZIONE: | PRESSACAVO NYLON PG21 C/DADO | CAVO NEOPR. H07RNF 3X2,5mmq | SPINA CEE VOL. 2P+T 16A IP44 OP</t>
  </si>
  <si>
    <t>** Rif. Doc. di trasporto 303/2025 del 17/03/2025: | RIPARAZIONE AGO VIBRANTE CON SMONTAGGIO E SOSTITUZIONE: | BOTTIGLIA VIBRANTE D.50 | RIFATTO COLLEGAMENTI ELETTRICI | FASCETTA METALLICA | RIMONTAGG</t>
  </si>
  <si>
    <t>ACCONTO PER LAVORI DI CARTONGESSO E TINTEGGIATURE EFFETTUATI PRESSO VS. CANTIERE DI BERGAMO VIA GHISLANDI 51</t>
  </si>
  <si>
    <t>Rif. documento 104421 del 26/05/2025 | C/O C/O CANTIERE VIA GHISLANDI 51/A  BERGAMO BG | BOX DOCCIA SCORREVOLE | DUK NATURA 4000 FISSO TR/CR SX PROCARE | DUK NATURA P.SCOR 1177-1202 TR CR PROCAR
AUTOM</t>
  </si>
  <si>
    <t>Rif. documento 101017 del  4/02/2025 | PAF TANGO MIX LAVABO C/S       CR TA071K | PAF TANGO P/EST.MIX DOC.INC+DEV.CR TABOX | PAF SYNCRO KING SOFF.30X30  CR ZSOF078CR | PAF QUADRO BRAC.DOC.35 CM CR ZSO</t>
  </si>
  <si>
    <t>Rif. documento 100052 del  4/01/2025 | ITL SHALE SAND 120X120            SL0212 | Rif. documento 100179 del 10/01/2025 | MAP ULTRACOLOR PLUS JASMINE 130 KG.5 | Rif. documento 100301 del 14/01/2025 | P</t>
  </si>
  <si>
    <t>PENETRON ADMIX sacco 18 kg // Rif. pvt 11/2025 del 13/03/2025</t>
  </si>
  <si>
    <t>direzione lavori // Saldo competenze professionali pe direzione lavori e aggiornamento grafico progetto edilizio riguardante vs immobile in Bergamo Via Ghislandi.</t>
  </si>
  <si>
    <t>fattura // lavoro di posa in opera ceramiche eseguito per vostro conto nel cantiere di Bergamo in via Ghislandi</t>
  </si>
  <si>
    <t>ONORARIO | SPESE ANTICIPATE</t>
  </si>
  <si>
    <t>Onorari | Spese anticipate</t>
  </si>
  <si>
    <t>Scontrino 01/07/25 Rif.15 | Scontrino 01/07/25 Rif.43</t>
  </si>
  <si>
    <t>MENU FISSO | MENU MONO</t>
  </si>
  <si>
    <t>Int. Mora ritardato pagamento fatt. n 393783 tasso 4,25% gg 28 mese competenza mar-25 | Int. Mora ritardato pagamento fatt. n 393783 tasso 4,25% gg 29 mese competenza apr-25 | Int. Mora ritardato paga</t>
  </si>
  <si>
    <t xml:space="preserve">Spesa per oneri di sistema | Spesa per oneri di sistema | Spesa per oneri di sistema | Imposte | Spesa per la materia energia | Spesa per trasporto e gestione contatore | Spesa per la materia energia </t>
  </si>
  <si>
    <t>Spesa per oneri di sistema | Spesa per trasporto e gestione contatore | Imposte | Spesa per la materia energia | Spesa per trasporto e gestione contatore | Spesa per oneri di sistema | Spesa per trasp</t>
  </si>
  <si>
    <t>89397422 - POD/PDR: 12020008001152 - VOCE CORRISPETTIVO GESTIONE ENERGETICA LISTINO - CORRISPETTIVO GESTIONE ENERGETICA - GM_GEST_ENER_L | 89397422 - POD/PDR: 12020008001152 - QUOTA FISSA SERVIZIO DIS</t>
  </si>
  <si>
    <t>BATTERIA VARTA  100AH SILVER PER DAILY</t>
  </si>
  <si>
    <t>252003281 - LG - Smart TV OLED UHD 4K 77" OLED77G54LW-Silver | 102007548 - EURONICS - Installazione TV a parete | Trasporto</t>
  </si>
  <si>
    <t>Secondo acconto per lavori edili eseguiti per vs conto e ordine presso il cantiere di Sorisole BG, via Piave, trattasi lavori di demolizione pavimento corsello box</t>
  </si>
  <si>
    <t>Consulenza relativa al cantiere CONDOMINIO SERENA Via Piave - Sorisole</t>
  </si>
  <si>
    <t>R PARMIPOLLO | [SCONTO] R PARMIPOLLO | Filetto di pollo | [SCONTO] Filetto di pollo | Parmigiano | [SCONTO] Parmigiano | Lattuga | [SCONTO] Lattuga | Pomodori | [SCONTO] Pomodori | Salsa Yogurt | [SCO</t>
  </si>
  <si>
    <t>COPERTO | *JALAPENOS TEMPURA | SPACCALABRIA | MONELLINA 0,40 | SPAIDER PORK | LADY HOPE 0,40</t>
  </si>
  <si>
    <t>Consulenza termotecnica per Relazione tecnica Legge 10/91 e Attestato di Prestazione Energetica eseguito da tecnico certificatore autorizzato vs cantiere sito a Bergamo in Via Ghislandi | - Legge 10 |</t>
  </si>
  <si>
    <t>SPOSTAMENTO TUBAZIONI IN POLIETILENE PRESSO VS CANTIERE IN VIA GHISLANDI BERGAMO</t>
  </si>
  <si>
    <t>TUBO PE DE 32 PN10 ROTOLO 100M M  POLIETILENE RENO100 | VALVOLA SFERA STORM UNIVERSAL 1" FF | TSP TEE FFF 1"1/2X1" X1"1/2 ZNT 130R GHISA MALLEABILE ZINCATA | TSP NIPPLO MM DOPPIO 1"1/2 ZNT 280 GHISA M</t>
  </si>
  <si>
    <t>ONDA MATERASSO MATRIMONIALE IN MEMORY L. | CASSETTIERA INTERNA 3 CASSETTI L.89 P.45 | Spese Trasporto</t>
  </si>
  <si>
    <t>MIDEA FORNO LT 65 ELETTRICO L.60 P.58 H. | Contributo Raee</t>
  </si>
  <si>
    <t>SELLY CUCINA COMPONIBILE COLORE BIANCO / | MANIGLIA GOLA L.0 P.0 H.0 COLORE TITANIO | SELLY BASE 2 CASSETTI 1 CESTONE CON CHIU | PORTAPOSATE PER CASSETTO L.51 P.42 H.5 | BASE PER PIANO COTTURA E FORNO</t>
  </si>
  <si>
    <t>ECO RIBALTA 4 ANTE L.62 P.29 H.158 COLOR</t>
  </si>
  <si>
    <t>PERLA PIANO COTTURA A GAS L.58 P.51 H.4 | PERLA FRIGO COMBINATO DA INCASSO LT 251 | Contributo Raee | NEA MISCELATORE CANNA ALTA L.5 P.23 H.52 | PERLA LAVASTOVIGLIE L.59 P.57 H.81 4 PRO | Contributo R</t>
  </si>
  <si>
    <t>AMBURGO COMPONIBILE BAGNO A TERRA 2 CASS</t>
  </si>
  <si>
    <t>SUPER SENZA PB | SUPER SENZA PB | GASOLIO | GASOLIO | GASOLIO | GASOLIO | GASOLIO | GASOLIO | SUPER SENZA PB</t>
  </si>
  <si>
    <t>SUPER SENZA PB | GASOLIO | GASOLIO | GASOLIO | GASOLIO | GASOLIO | GASOLIO | GASOLIO | GASOLIO | GASOLIO | GASOLIO | SUPER SENZA PB | Q8HI PERFORM - 100 OTTANI | FEE</t>
  </si>
  <si>
    <t>SUPER SENZA PB | GASOLIO | GASOLIO | GASOLIO | GASOLIO | GASOLIO | GASOLIO | SUPER SENZA PB</t>
  </si>
  <si>
    <t>GASOLIO | SUPER SENZA PB | GASOLIO | GASOLIO | GASOLIO | GASOLIO | SUPER SENZA PB | GASOLIO | SUPER SENZA PB | SUPER SENZA PB | GASOLIO | FEE</t>
  </si>
  <si>
    <t>SUPER SENZA PB | GASOLIO | GASOLIO | GASOLIO | GASOLIO | GASOLIO | GASOLIO | GASOLIO | SUPER SENZA PB | SUPER SENZA PB | FEE</t>
  </si>
  <si>
    <t>SUPER SENZA PB | GASOLIO | GASOLIO | GASOLIO | GASOLIO | GASOLIO | GASOLIO | GASOLIO | SUPER SENZA PB | SUPER SENZA PB</t>
  </si>
  <si>
    <t>SUPER SENZA PB | GASOLIO | GASOLIO | GASOLIO | GASOLIO | GASOLIO | GASOLIO | SUPER SENZA PB | GASOLIO | SUPER SENZA PB | GASOLIO | FEE</t>
  </si>
  <si>
    <t>SUPER SENZA PB | SUPER SENZA PB | SUPER SENZA PB | GASOLIO | GASOLIO | GASOLIO | GASOLIO | GASOLIO | GASOLIO | GASOLIO | GAS.Q8HIPERFORM | GASOLIO | SUPER SENZA PB | GASOLIO | GASOLIO | SUPER SENZA PB</t>
  </si>
  <si>
    <t>GASOLIO | GASOLIO | SUPER SENZA PB | GASOLIO | GASOLIO | GASOLIO | GASOLIO | GASOLIO | GASOLIO | GASOLIO | SUPER SENZA PB | GAS.Q8HIPERFORM | FEE</t>
  </si>
  <si>
    <t>GASOLIO | SUPER SENZA PB | SUPER SENZA PB | GASOLIO | GASOLIO | GASOLIO | GASOLIO | GASOLIO | GASOLIO | GASOLIO | GASOLIO | GASOLIO | GASOLIO | GASOLIO | SUPER SENZA PB | SUPER SENZA PB</t>
  </si>
  <si>
    <t>SUPER SENZA PB | GASOLIO | SUPER SENZA PB | GASOLIO | GASOLIO | GASOLIO | GASOLIO | GASOLIO | GASOLIO | GASOLIO | FEE</t>
  </si>
  <si>
    <t>SUPER SENZA PB | SUPER SENZA PB | GASOLIO | GASOLIO | GASOLIO | GASOLIO | GASOLIO | GASOLIO | GASOLIO</t>
  </si>
  <si>
    <t>SUPER SENZA PB | SUPER SENZA PB | SUPER SENZA PB | SUPER SENZA PB | GASOLIO | GASOLIO | GASOLIO | GASOLIO | GASOLIO | GASOLIO | GASOLIO | GASOLIO | GASOLIO | GASOLIO | FEE</t>
  </si>
  <si>
    <t>SUPER SENZA PB | SUPER SENZA PB | GASOLIO | GASOLIO | GASOLIO | GASOLIO | GASOLIO</t>
  </si>
  <si>
    <t>GASOLIO | GASOLIO | GASOLIO | GASOLIO | GASOLIO | GASOLIO | GASOLIO | GASOLIO | GASOLIO | GASOLIO | FEE</t>
  </si>
  <si>
    <t>SUPER SENZA PB | GASOLIO | GASOLIO | GASOLIO | GASOLIO | GASOLIO | GASOLIO | GASOLIO | GASOLIO | GASOLIO</t>
  </si>
  <si>
    <t>SUPER SENZA PB | GASOLIO | GASOLIO | GASOLIO | GASOLIO | GASOLIO | GASOLIO | GASOLIO | GASOLIO | FEE</t>
  </si>
  <si>
    <t>GASOLIO | GASOLIO | SUPER SENZA PB | GASOLIO | GASOLIO | GASOLIO | GASOLIO | GASOLIO | GASOLIO | GASOLIO</t>
  </si>
  <si>
    <t>SUPER SENZA PB | GASOLIO | GASOLIO | GASOLIO | GASOLIO | GASOLIO | GASOLIO | GASOLIO | GASOLIO | GASOLIO | GASOLIO | FEE</t>
  </si>
  <si>
    <t>SUPER SENZA PB | SUPER SENZA PB | GASOLIO | GASOLIO | GASOLIO | GASOLIO | GASOLIO | GASOLIO | GASOLIO | GASOLIO | GASOLIO | GASOLIO | GASOLIO | GASOLIO | GASOLIO | GASOLIO | GASOLIO | FEE</t>
  </si>
  <si>
    <t>SUPER SENZA PB | GASOLIO | GASOLIO | GASOLIO | GASOLIO | GASOLIO | GASOLIO | GASOLIO | GASOLIO</t>
  </si>
  <si>
    <t>Rapportino n. 15409 - LUGLI | pompa acqua | manicotti da mt.2xØ15 | saldatura puleggia | olio idrostatico | liquido blu | olio motore | materiale di consumo (fascette, bulloneria e lavaggio) | manodop</t>
  </si>
  <si>
    <t>Rapportino n. 15252 | batteria 100AH 12V | manodopera</t>
  </si>
  <si>
    <t>Rapportino n. 14748 - LUGLI | filtro trasmissione | filtro gasolio Cav | filtro aria C14179X | filtro motore W724/1 | giunta manicotto acqua | olio motore | olio idraulico | liquido radiatore | batter</t>
  </si>
  <si>
    <t>Istanza rimborso/compensazione iva trimestrale | Trasmissione telematica rimborso / compensazione iva trimestrale | Elaborazione elettronica calcoli concordato preventivo | Accessi di terzi: Agenzia E</t>
  </si>
  <si>
    <t>Istanza rimborso/compensazione iva trimestrale | Trasmissione telematica rimborso iva trimestrale | Accessi di terzi: Agenzia Entrate per registrazione preliminare | Ravvedimento operoso tributi | Tra</t>
  </si>
  <si>
    <t>Accessi di terzi: Agenzia Entrate per registrazione verbale | Rimborsi spese: Marche da bollo per registrazione verbale | Anticipazione Ex.art.15: Imposta registro Agenzia Entrate | Istanza rimborso/c</t>
  </si>
  <si>
    <t>FIRMA SMARTCARD CNS ARU | LETTORE FIRMA DIGIT. SENZA SW</t>
  </si>
  <si>
    <t xml:space="preserve">SCAT C/ELAST D7 ROSSO ART | SCAT C/ELAST D5 K.H.ASSORT COLLEZIONE 2017 | BUSTA FU PPL LISCIA OFFIC 50PZ F.TO 30X22 | PORTACHIAVI ANDREW KEYCHAIN BLACK | BUSTINA ETICHETTE 73X37 NR.60 | CLASSIFICATORE </t>
  </si>
  <si>
    <t>90294 VARY BIANCO LAMPADA PER ESTERNO</t>
  </si>
  <si>
    <t>IC S1 OR | IC S1 OR SPECIALE MT.10 CAVO | IC S2 OR SPECIALE MT.10 CAVO | TUBOLED E14 PER ICS1 | TUBOLED E14 PER ICS2</t>
  </si>
  <si>
    <t>VS.RIF. CANTIERE BERGAMO: | 90553 VARY DARK  GREY | 90524 LAGOS PALETTO ALTO DARK GREY | RIF. VIA KENNEDY: | 538 CAPRI  BI  C/GU10</t>
  </si>
  <si>
    <t xml:space="preserve">RIF. CANTIERE BERGAMO- CORPI ILLUMINANTI: | 90104 KIKO GREY | 90413 ACE SAND WHITE | 9518 KIKO | 90520 LAGOS DARK GREY | RK03WWDG  X ROCK DARK GREY | RIF. CANTIERE BERGAMO - CORPI ILLUMINANTI: | 9330 </t>
  </si>
  <si>
    <t xml:space="preserve">RENAULT CLIO FX155TF | SET RICAMBI | MATERIALE D'USO E MANODOPERA | FIAT DOBLO' FL041BG | SET RICAMBI | MATERIALE D'USO E MANODOPERA | FIAT DOBLO' GD764GG | SET RICAMBI | MATERIALE D'USO E MANODOPERA </t>
  </si>
  <si>
    <t>SET RICAMBI PER FIAT DOBLO' (FL041BG) | MATERIALE D'USO E MANODOPERA C. PER FIAT DOBLO' (FL041BG)</t>
  </si>
  <si>
    <t>SET RICAMBI PER RENAULT CLIO (FX155TF) | MATERIALE D'USO E MANODOPERA C. PER RENAULT CLIO (FX155TF)</t>
  </si>
  <si>
    <t>S1 SAT TIPO  A  LT 2,5 RIF . COLORE N RAL 7016 | PROCTILFERRO GRIGIO M.  ML.500 | DILUENTE SINTETICO UNIVERSALE LT 1 | SPESE INCASSO</t>
  </si>
  <si>
    <t>lavori di posa in opera di porte, battiscopa e blindate presso vostro cantiere di Bergamo - in via Ghislandi utilizzando attrezzature e mezzi propri | Spese bolli</t>
  </si>
  <si>
    <t>lavori di posa in opera di porte interne, battiscopa e blindate - presso vostro cantiere di Bergamo via Ghislandi utilizzando attrezzature 
e mezzi propri | Spese bolli</t>
  </si>
  <si>
    <t>CENA AZIENDALE</t>
  </si>
  <si>
    <t>Fornitura di energia elettrica IT001E27277733</t>
  </si>
  <si>
    <t>VISITE ED ESAMI DEL 10 DICEMBRE 2025 SIGG. DONATI ALBERTO - RODIGARI FABRIZIO | VISITA MEDICA | AUDIOMETRIA | SPIROMETRIA | E.C.G. | ESCLUSIONE ALCOOL DIPENDENZA | CARTELLA DIMESSO - PRIORI FABRIZIO -</t>
  </si>
  <si>
    <t>VISITA ED ESAMI DEL 14 MAGGIO 2025 SIG. LANFRANCHI GIOVANNI | VISITA MEDICA | AUDIOMETRIA | SPIROMETRIA | E.C.G. | ESAME URINE COMPLETO | ESCLUSIONE ALCOOL DIPENDENZA | DRUG TEST | Marca da bollo</t>
  </si>
  <si>
    <t>COPERTO | SFIZIO DEL MARINAIO | BIRRA SPINA 40 CL | LA ROSSA 40 | COCA | **MINERALE 1 LT | PESCATORA | +MOZZARELLA | QUATTRO FORMAGGI | +POMODORO | CAPRICCIOSA | NDUJIA E SALSICCIA | BUGGE | DEL MONAC</t>
  </si>
  <si>
    <t xml:space="preserve">Rif. ns. BOLLA  N E1    153667 30/06/25 spedita a EDILVERTOVA SRL VIA CESARE BATTISTI 104 24025 GAZZANIGA - BG | CAFFE&amp;#39; CIALDE KIT ACCESSORI CREMA 50 PZ | IJ ORIG.H.P.N72 NERO OPACO ML.130 C9403A </t>
  </si>
  <si>
    <t xml:space="preserve">Rif. ns. BOLLA  N E1     49498 27/02/25 spedita a EDILVERTOVA SRL VIA CESARE BATTISTI 104 24025 GAZZANIGA - BG | CARTA X FOT. A4 G.80 DOLPHIN   F.500 | SACCHI CONDOMINIO TRASP.NEUTRO CM72X110 CF.10 | </t>
  </si>
  <si>
    <t>Rif. ns. BOLLA  N E1     10417 16/01/25 spedita a EDILVERTOVA SRL VIA CESARE BATTISTI 104 24025 GAZZANIGA - BG | CART.TRAS.KARNAK OFFICE 22X30 LI CF50 | RACCOGLITORE PROT.K.BASICO 88 CM.8 ROSSO | CART</t>
  </si>
  <si>
    <t>MENU ADULT | SEAT ADULT | VINO SPINA 1/2L BIANCO FERMO | ACQUA NATURALE 75CL</t>
  </si>
  <si>
    <t>MENU ADULT | SEAT ADULT | ACQUA NATURALE 75CL | SAKE GRANDE FREDDO | ACQUA NATURALE 75CL | ACQUA FRIZZANTE 75CL</t>
  </si>
  <si>
    <t>Quota per consumi | Quota fissa | Quota potenza | Altre partite - Oneri amministrativi | Altre partite - Sconto spedizione bolletta via mail | Imposte</t>
  </si>
  <si>
    <t>Quota per consumi | Quota fissa | Quota potenza | Altre partite - Oneri amministrativi | Altre partite - Sconto spedizione bolletta via mail | Altre partite - Spese di sollecito | Imposte</t>
  </si>
  <si>
    <t>Spesa per materia energia | Spesa per il trasporto e la gestione contatore | Spesa per oneri di sistema | Imposte | Altre partite</t>
  </si>
  <si>
    <t>Amatè di Guarini Sigillo Oro Negroamaro Primitivo Appassimento IGT Puglia - Losito e Guarini | Spese di trasporto TNT</t>
  </si>
  <si>
    <t>Birra media | PRIMO e SECONDO</t>
  </si>
  <si>
    <t>Menù 1 PIATTO</t>
  </si>
  <si>
    <t>Bolla N. 928 del 27/03/2024 | Bolla N. 945 del 28/03/2024 | Bolla N. 1165 del 15/04/2024 - C/sost. | Bolle N. 1421-1422 del 08/05/2024 | Bolla N. 3258 del 26/09/2024 | Bolle N. 3309-3310-3311 del 30/0</t>
  </si>
  <si>
    <t>Provvigione per la vendita dell'appartamento con posto auto sito in : Finale Ligure (SV) -  via dell'Artigianato, 76 piano 2 Dati catastali : app : F.36, Part. 660 sub 14               posto auto : F.</t>
  </si>
  <si>
    <t>PIX-GBY-192867/1 Tutti i materiali</t>
  </si>
  <si>
    <t>CHIAVE PIATTA STANDARD ASSORTITE | PORTA TARGHETTA PICCOLA PER CHIAVI, COLORI FLUO VARI, CON GIVOLARE</t>
  </si>
  <si>
    <t>Rif.to Sig.ra Cristina Bianchi , Via Ghislandi 51/a - Bergamo FORNITURA E RELATIVA POSA IN OPERA PARETE DOCCIA REALIZZATA IN CRISTALLO FLOAT TRASPARENTE 8 MM MOLATO FILO LUCIDO PIATTO TEMPERATO COMPLE</t>
  </si>
  <si>
    <t>DDT n° 25/1026 del 27/06/25 D | Fornitura Ferro Lavorato</t>
  </si>
  <si>
    <t>Riparazione legatrice MATRICOLA : 20U063260</t>
  </si>
  <si>
    <t>DDT n° 25/0708 del 12/05/25 D | Fornitura Ferro Lavorato | Manutenzione Legatrice + spese di Trasporto</t>
  </si>
  <si>
    <t>DDT n° 25/0487 del 03/04/25 D | Fornitura Ferro Lavorato | Fornitura Pregabbie | DDT n° 25/0492 del 03/04/25 D | Fornitura Ferro Lavorato | DDT n° 25/0519 del 08/04/25 D | Fornitura Ferro Lavorato | D</t>
  </si>
  <si>
    <t xml:space="preserve">DDT n° 25/0370 del 17/03/25 D | Fornitura Ferro Lavorato | Fornitura Rete Ø 6 20x20 mt 3x2 | DDT n° 25/0388 del 18/03/25 D | Fornitura Ferro Lavorato | Fornitura Pregabbie | Lista distanziatore Getto </t>
  </si>
  <si>
    <t>[ID: #16348546] 5 Indirizzi email 2GB di spazio</t>
  </si>
  <si>
    <t>Compenso per collaborazione tecnica - Progetto Ghislandi - mese di Marzo 2025 | Professionista di cui alla legge 4/2013 | Marca da bollo</t>
  </si>
  <si>
    <t>Compenso per prestazioni di consulenza marketing e commerciali vostre operazioni immobiliari | Professionista di cui alla legge 4/2023</t>
  </si>
  <si>
    <t>PORTE RASOMURO H 2400 | LACCATURA | POSA | TAGLIO SU MISURA | FALSOTELAIO SCORREVOLE | ACCONTO FATT  8 | ACCONTO FATT  10 | Riga ausiliaria contenente informazioni tecniche e aggiuntive del documento</t>
  </si>
  <si>
    <t>2 ACCONTO X FORNITURA E POSA PORTE INTERNE | Riga ausiliaria contenente informazioni tecniche e aggiuntive del documento</t>
  </si>
  <si>
    <t>ACCONTO X FORNITURA E POSA PORTE INTERNE | Riga ausiliaria contenente informazioni tecniche e aggiuntive del documento</t>
  </si>
  <si>
    <t>FATTURA | SOSTITUZIONE PLANCE PARQUET PER INFILTRAZIONI | CLIENTE BERARDI - TORRE BOLDONE (BG) | VI FATTURIAMO | Riga ausiliaria contenente informazioni tecniche e aggiuntive del documento</t>
  </si>
  <si>
    <t xml:space="preserve">FATTURA DI SALDO | - | PER COMPIMENTO D'OPERA E PRESTAZIONE DI | SERVIZI PER PAVIMENTI E RIVESTIMENTI IN GRES | PORCELLANATO COMPRESO MATERIALI DI | CONSUMO E PROFILI PRESSO VOSTRO CANTIERE | SITO IN </t>
  </si>
  <si>
    <t xml:space="preserve">FATTURA DI SALDO | - | PER COMPIMENTO D'OPERA E PRESTAZIONE DI | SERVIZI PER PAVIMENTI E RIVESTIMENTI IN GRES | PORCELLANATO E LEGNO COMPRESO MATERIALI | DI CONSUMO E PROFILI PRESSO VOSTRO CANTIERE | </t>
  </si>
  <si>
    <t>Snt.N     3 01/08/25 % Iva  4,00  EDILVERT</t>
  </si>
  <si>
    <t>Snt.N     2 08/07/25 % Iva  4,00  EDILVERT | Snt.N     5 09/07/25 % Iva  4,00  EDILVERT | Snt.N     1 10/07/25 % Iva  4,00  EDILVERT | Snt.N     7 11/07/25 % Iva  4,00  EDILVERT | Snt.N     2 14/07/25</t>
  </si>
  <si>
    <t>SECONDO | FRUTTA | PANINO | SALSA 0,20 | MENU'11.00 | CAFFE'CORR | CAFFE'</t>
  </si>
  <si>
    <t>MENU'11.00 | PRIMO | CAFFE' | CAFFE'CORR</t>
  </si>
  <si>
    <t>SECONDO | FRUTTA | PANINO | MENU'11.00 | CAFFE'</t>
  </si>
  <si>
    <t>SECONDO | CONTORNO | FRUTTA | PANINO | MENU'11.00 | CAFFE'</t>
  </si>
  <si>
    <t>MENU'11.00 | SECONDO | CONTORNO | FRUTTA | CAFFE'</t>
  </si>
  <si>
    <t>MENU'11.00 | SECONDO | FRUTTA | PANINO | CAFFE'</t>
  </si>
  <si>
    <t>MENU'11.00 | CAFFE'</t>
  </si>
  <si>
    <t>PRIMO | SECONDO | MENU'11.00 | CAFFE'</t>
  </si>
  <si>
    <t>PRIMO | SECONDO | CONTORNO | FRUTTA | PANINO | CAFFE'</t>
  </si>
  <si>
    <t>MENU' 12,00 | PRIMO | SECONDO | CAFFE' | RISTO</t>
  </si>
  <si>
    <t>Fornitura e posa in opera n°1 serbatoio  ACS 160lt compreso di isolamento per pompa di calore  presso Vs cantiere in Via Kennedy 13 _Torre Boldone (BG)</t>
  </si>
  <si>
    <t xml:space="preserve">Realizzazione colonne di scarico verticali e esalazione cucina presso Vs cantiere in Via Gaito _Torre Boldone (BG) | Realizzazione tubazioni di rilancio acque nere e bianche presso Vs cantiere in Via </t>
  </si>
  <si>
    <t>Intervento idraulico eseguito presso Vs appartamento in Via Cadelora _Vertova (BG)</t>
  </si>
  <si>
    <t>Rif. Fattura Proforma N° 338 del 23/10/2025 | Amministrazione del personale 07/2025 | Amministrazione del personale 08/2025 | Amministrazione del personale 09/2025 | Pagamento eseguito</t>
  </si>
  <si>
    <t>Rif. Fattura Proforma N° 281 del 13/07/2025 | Amministrazione del personale 04/2025 | Amministrazione del personale 05/2025 | Amministrazione del personale 06/2025 | Attivazione e gestione ammortizzat</t>
  </si>
  <si>
    <t>Tassa Archivio Notarile | Emolumenti al Conservatore RR. II. | Altre spese | Cassa nazionale del notariato | Visure e certificati ipocatastali | Onorario e Repertorio</t>
  </si>
  <si>
    <t>Onorari (in acconto) per collaudo statico relativo a nuovo edificio residenziale, sito in Comune di Bergamo (BG)</t>
  </si>
  <si>
    <t>MENU | Tavolo: Conto Imm. | Cameriere: Cassa | BANCOMAT: E 20,00</t>
  </si>
  <si>
    <t>MENU | Tavolo: Conto Imm. | Cameriere: Cassa | POS SCOLLEGATO: E 20,00</t>
  </si>
  <si>
    <t xml:space="preserve">**************************************** | IVECO DAILY CX866WW | **************************************** | SOCCORSO STRADALE CON BISARCA | SERALE A CERETE | SOSTITUZIONE: | KIT FRIZIONE | CUSCINETTO </t>
  </si>
  <si>
    <t>COPERTO | APEROL SPRITZ | LEFFE ROUGE 0,33L | MINI CAMEMBERTS | GAMBERONA | GAMBERONA</t>
  </si>
  <si>
    <t>KIT MOONSHOT IT 1 un. | UPGRADE AD ALTA SICUREZZA CON ZEROVISION BUSINESS 1 un. | SENSORE DI MOVIMENTO CERTIFICATO CON FOTOCAMERA 1 un. | SHOCK SENSOR 1 un. | MY VERISURE 1 un. | PROMOZIONE LIMITATA M</t>
  </si>
  <si>
    <t>KIT BASE 1 un. | UPGRADE AD ALTA SICUREZZA CON ZEROVISION 1 un. | Pack duo perimetrale GuardVision Outdoor 1 un. | SHOCK SENSOR 1 un. | MY VERISURE 1 un. | PROMOZIONE LIMITATA MY VERISURE 1 un. | Serv</t>
  </si>
  <si>
    <t>KIT BASE 1 un. | Upgrade Zero Vision Business (NOX) 1 un. | LETTORE CHIAVI DA ESTERNO 1 un. | MY VERISURE 1 un. | PROMOZIONE LIMITATA MY VERISURE 1 un.</t>
  </si>
  <si>
    <t>INTERVENTO TECNICO 1 un. | BASETTA SHOCK SENSOR MOONSHOT 1 un.</t>
  </si>
  <si>
    <t>KIT BASE 1 un. | UPGRADE AD ALTA SICUREZZA CON ZEROVISION 1 un. | OFFERTA SCONTO CANONE 9 EURO x 6 MESI 1 un. (valida fino al 25/09/2025) | PACK PROTEZIONE (6 SHOCK SENSOR) 1 un. | SENSORE DI MOVIMENT</t>
  </si>
  <si>
    <t>KIT BASE 1 un. | UPGRADE AD ALTA SICUREZZA CON ZEROVISION 1 un. | OFFERTA SCONTO CANONE 9 EURO x 6 MESI 1 un. (valida fino al 25/05/2025) | Pack duo perimetrale GuardVision Outdoor 1 un. | SHOCK SENSO</t>
  </si>
  <si>
    <t xml:space="preserve">KIT BASE 1 un. | Upgrade Zero Vision Business (NOX) 1 un. | OFFERTA SCONTO CANONE 12 EURO x 6 MESI 1 un. (valida fino al 13/05/2025) | LETTORE CHIAVI DA ESTERNO 1 un. | MY VERISURE 1 un. | PROMOZIONE </t>
  </si>
  <si>
    <t>CHIAVE BIANCA 1 un. | CHIAVE ROSSA 1 un. | CHIAVE VERDE 1 un.</t>
  </si>
  <si>
    <t>KIT BASE 1 un. | UPGRADE AD ALTA SICUREZZA CON ZEROVISION 1 un. | PACK PROTEZIONE (6 SHOCK SENSOR) 1 un. | BATTERIA AA STILO (R6 1,5V HIGH QUALITY) 6 un. | SENSORE DI MOVIMENTO CERTIFICATO CON FOTOCAM</t>
  </si>
  <si>
    <t>BATTERIA AA STILO (R6 1,5V HIGH QUALITY) 6 un.</t>
  </si>
  <si>
    <t>Provvigione per l'intermediazione per la vendita dell'ufficio e del posto auto in Comune di Finale Ligure in Via dellArtigianato 76, censiti a catasto fabbricati del predetto comune al foglio 36, part</t>
  </si>
  <si>
    <t>****  D.d.T 008723 del     10/01/25  **** | GYPROC LASTRA HYDRO H2 13 1200X2500  PK.168 | MAREX GUIDA MM.75 MT.3,0 | MAREX GUIDA 30/28/30 MT.3,0 | KNAUF FUGENFULLER STUCCO      KG.10 | PARASPIGOLO ZIN</t>
  </si>
  <si>
    <t>ck</t>
  </si>
  <si>
    <t>è stato fatto ma non trov la ocntabile.</t>
  </si>
  <si>
    <t>\\pc-simona\Scanner\20260113105102988.pdf</t>
  </si>
  <si>
    <t>Finanziamento n. 253841</t>
  </si>
  <si>
    <t>SALDO 5277.63</t>
  </si>
  <si>
    <t>SALDO 35.75</t>
  </si>
  <si>
    <t>SALDO 2583.02</t>
  </si>
  <si>
    <t>DA BPER A BPS</t>
  </si>
  <si>
    <t>PARCHEGGIO</t>
  </si>
  <si>
    <t>edil karim s.n.c. di mohamed nefin mohamed mohamadi &amp; c.</t>
  </si>
  <si>
    <t>66</t>
  </si>
  <si>
    <t>LAVORI DI POSA LASTRE FIBROCEMENTO A CORPO ESEGUITI - PRESSO VOSTRO CANTIERE DI SORISOLE | LAVORI DI POSA COPPI DI COPERTURA A CORPO ESEGUITI - PRESSO VS CANTIERE DI SORISOLE</t>
  </si>
  <si>
    <t>2026/V9/2600497</t>
  </si>
  <si>
    <t>-FG16OR16/4 5G2,5 GRIGIO BOBI  N(12) | SPINA VOLANTE 3P+N+T 32A 6H I  P67 OPTIMA</t>
  </si>
  <si>
    <t>BBVFLX00008909</t>
  </si>
  <si>
    <t xml:space="preserve">IN ATTESA DI FATTURA </t>
  </si>
  <si>
    <t>Fratelli Trotta</t>
  </si>
  <si>
    <t>BCC MILANO: IMM72</t>
  </si>
  <si>
    <t>IMM72</t>
  </si>
  <si>
    <t>SENZA SCADENZA</t>
  </si>
  <si>
    <t>\\pc-simona\Scanner\20260122165121020.pdf</t>
  </si>
  <si>
    <t>Lalus Gestioni Immobiliari</t>
  </si>
  <si>
    <t>SALDO FATTURE UNIACQUE</t>
  </si>
  <si>
    <t>071-2725543</t>
  </si>
  <si>
    <t>CA_000030489277_FATTURA_0000202510892147 Codice avviso: 300101021355837336.</t>
  </si>
  <si>
    <t>CA_000030489277_FATTURA_0000202510492636 Codice avviso: 300101021300568143.</t>
  </si>
  <si>
    <t>CA_000030489277_FATTURA_0000202511152268 Codice avviso: 300101021390825249.</t>
  </si>
  <si>
    <t xml:space="preserve">BELLOLI ATTILIO VERS. EDILVERTOVA SRL-COLOMBINI GAGLIOLO </t>
  </si>
  <si>
    <t>071-2625707-1</t>
  </si>
  <si>
    <t>ASSICURAZIONE BPM</t>
  </si>
  <si>
    <t>SALUTEPIUBENESS POLIZZA 60010030146507</t>
  </si>
  <si>
    <t>I24</t>
  </si>
  <si>
    <t>AGENZIA ENTRATE PAG.TO TELEMATICO - DATA INCASSO 19/01/2026 2026-01-19-22.33.01.070422000601</t>
  </si>
  <si>
    <t>E6-0033147</t>
  </si>
  <si>
    <t>Quota per consumi | Quota fissa | Quota potenza | Altre partite - Oneri amministrativi | Altre partite - Rif. doc. n. E5-0216656 del 11/03/2025, gg ritardo 170 | Altre partite - Rif. doc. n. E5-063384</t>
  </si>
  <si>
    <t>E6-0033150</t>
  </si>
  <si>
    <t>Quota per consumi | Quota fissa | Quota potenza | Altre partite - Oneri amministrativi | Altre partite - Rif. doc. n. E5-0633852 del 07/08/2025, gg ritardo 21 | Imposte</t>
  </si>
  <si>
    <t>IT65NT2ABEI</t>
  </si>
  <si>
    <t>Costi di spedizione | SACCHETTI VK 140/150</t>
  </si>
  <si>
    <t>PJ10987035</t>
  </si>
  <si>
    <t>SUPER SENZA PB | GASOLIO | GASOLIO | GASOLIO | GASOLIO | GASOLIO | SUPER SENZA PB | Q8HI PERFORM DIESEL</t>
  </si>
  <si>
    <t>01S620262800004186</t>
  </si>
  <si>
    <t>7X00223172</t>
  </si>
  <si>
    <t>Contributo TIM Guardian Mobile sec 01/12/25 - 31/12/25 | Contributo 5G Power Executive+ 01/12/25 - 31/12/25 | Servizio di produzione e invio fattura</t>
  </si>
  <si>
    <t>8B00011070</t>
  </si>
  <si>
    <t>Contributo attivazione Checkup Sicurezza Light 20/24 01/12/25 | Opzione Fast 100 01/12/25 - 31/12/25 | TIM Tutto 01/12/25 - 31/12/25 | Bonus 24 mesi Checkup Sicurezza Light | Bonus Fedeltà | Bonus TIM</t>
  </si>
  <si>
    <t>chef express s.p.a.</t>
  </si>
  <si>
    <t>17/1036</t>
  </si>
  <si>
    <t>Big Arch | Menu - Double 1955 | Menu - COCACOLA 0,5L | Menu - Patate Grandi | Peroni non filtrata | NO Busta Manici</t>
  </si>
  <si>
    <t>Competenze | Rimborso Forfettario | Anticipazioni | Spese Imponibili non documentate | Bollo</t>
  </si>
  <si>
    <t>37A</t>
  </si>
  <si>
    <t xml:space="preserve">CARRO PER GRU FM VS GRU FM 13.48 CTY DA 3,80X3,80 COMPLETO DI ZAVORRE | PRIMO ELEMENTO DI RACCORDO CARRO TORRE PER VS GRU FM 13.48 CTY | Nolo dal 08/12/2025 al 07/01/2026 --- Rif ddt nolo nr 5434 del </t>
  </si>
  <si>
    <t>2710/2025</t>
  </si>
  <si>
    <t>**** RESI BANCALE YTONG **** | **** RESI BANCALE YTONG EPAL/EUR **** | CHIUSINO CH.PL.55x55 | VASO QUADRO MOD.59 60x60 H 60 | TERRICCIO UNIVERSALE K-ERDE LT. 70 | LECA (20 s/mc)</t>
  </si>
  <si>
    <t>05387-4160115806-76</t>
  </si>
  <si>
    <t>CANONE MENSILE SMART CBI  - Data Effettuazione Operazione: 05.01.2026 - NDG: 007297733 - SIA: 01H45 - Filiale: 03254 - Conto Bancario: 04480875 - Importo gia' pagato con addebito su vs conto corrente</t>
  </si>
  <si>
    <t>Rilievo rampa via Ghislandi Bergamo</t>
  </si>
  <si>
    <t xml:space="preserve">RID </t>
  </si>
  <si>
    <t>2600497</t>
  </si>
  <si>
    <t xml:space="preserve">ATTENDO FATTURA </t>
  </si>
  <si>
    <t>cofidis sa</t>
  </si>
  <si>
    <t>FIN NR 253841</t>
  </si>
  <si>
    <t xml:space="preserve">TFR PRIORI </t>
  </si>
  <si>
    <t>comune di rapallo</t>
  </si>
  <si>
    <t>COD. AVV. 900219616-C/2025</t>
  </si>
  <si>
    <t>MULTA DOBLO' GD763GG_ PARCHEGGIO SOPRA MARCIAPIEDE</t>
  </si>
  <si>
    <t xml:space="preserve">ATTENDIAMO NOTA DI CREDITO </t>
  </si>
  <si>
    <t>CALCOLO GIACENZA</t>
  </si>
  <si>
    <t>RESIDUO AL 19,01,2026</t>
  </si>
  <si>
    <t>2023/2024</t>
  </si>
  <si>
    <t xml:space="preserve">C/FATTURE </t>
  </si>
  <si>
    <t>edilkarim snc</t>
  </si>
  <si>
    <t xml:space="preserve">SORISOLE  </t>
  </si>
  <si>
    <t>122500776A</t>
  </si>
  <si>
    <t>PERIODO CONTR. DICEMBRE 2025</t>
  </si>
  <si>
    <t>10/03/2026</t>
  </si>
  <si>
    <t>CAMBIALE 10/03/2026</t>
  </si>
  <si>
    <t>FARE CAMBIALE</t>
  </si>
  <si>
    <t>CANONE 4° TRIMETSRE 2025</t>
  </si>
  <si>
    <t>fornitura fino al 15,01,26</t>
  </si>
  <si>
    <t>manzoini christian avvocato</t>
  </si>
  <si>
    <t>PROF 52/2025</t>
  </si>
  <si>
    <t>RICORSO DECRETO INGIUNTIVO EDILVERTOVA VS. IMMOBILIARE 72</t>
  </si>
  <si>
    <t>VIA CESARE BATTISTI 102_ GAZZANIGA _ DICEMBRE 25</t>
  </si>
  <si>
    <t>UFFICIO GAZZANIGA _ DICEMBRE 2025</t>
  </si>
  <si>
    <t>RETE MOBILE ILARIA_DICEMBRE  25</t>
  </si>
  <si>
    <t>RETE FISSA UFFICIO_DICEMBRE  25</t>
  </si>
  <si>
    <t>BCC 601460 _PAGAMENTO DI 1072,13 _FAT 483 E 519</t>
  </si>
  <si>
    <t>sollecitato, far sapere il pagamento</t>
  </si>
  <si>
    <t>ilgema</t>
  </si>
  <si>
    <t>FR A26\237</t>
  </si>
  <si>
    <t>0000000000566185</t>
  </si>
  <si>
    <t>000000000400571D</t>
  </si>
  <si>
    <t>000000050296377T</t>
  </si>
  <si>
    <t>000000108002430P</t>
  </si>
  <si>
    <t>084530266900038</t>
  </si>
  <si>
    <t>2602C204472</t>
  </si>
  <si>
    <t>2602C311691</t>
  </si>
  <si>
    <t>2602C346768</t>
  </si>
  <si>
    <t>2/001</t>
  </si>
  <si>
    <t>Saldo per lavori edili eseguiti per vs conto e ordine presso il cantiere di Sorisole BG, via Piave, trattasi lavori di demolizione pavimento corsello box</t>
  </si>
  <si>
    <t>albero group s.r.l.</t>
  </si>
  <si>
    <t>323</t>
  </si>
  <si>
    <t xml:space="preserve">VDGlass Skyline Balloon Calice Vino Rosso 81 Cl Set 6 Pz | Stolzle Lausitz Cocoon Calice Burgundy 71,2 Cl Set 6 Pz In Vetro | Mini Limoncello 5 cl Il Gusto Della Costa | ***Assicura la tua spedizione </t>
  </si>
  <si>
    <t>intesa home srl</t>
  </si>
  <si>
    <t>6/001</t>
  </si>
  <si>
    <t>Fornitura e posa in opera di battiscopa eseguiti presso l immobile sito nel comune di Bergamo in via Ghislandi 51A. 
SALDO</t>
  </si>
  <si>
    <t>sas immobiliare corallo</t>
  </si>
  <si>
    <t xml:space="preserve">SOGGIORNO // 4 PAX MEZZA PENSIONE  DAL 20/01/26 AL 23/01/26 3 X 40,00 X 3G  EURO 360,00 1 X 55,00 X 3 G EURO 165,00 3 PAX MEZZA PENSIONE DAL 26/1/26 AL 30/1/26 2 X 40,00 X 4 G   EURO 320,00 1 X 55,00 </t>
  </si>
  <si>
    <t>v</t>
  </si>
  <si>
    <t>A. FLUSSO AUTOMATICO (COME FUNZIONA)</t>
  </si>
  <si>
    <t>Questo file si alimenta automaticamente grazie a un sistema robotizzato. Non è necessario inserire le fatture a mano.</t>
  </si>
  <si>
    <r>
      <t>1. SCARICO DATI (Robot):</t>
    </r>
    <r>
      <rPr>
        <sz val="11"/>
        <color theme="1"/>
        <rFont val="Calibri"/>
        <family val="2"/>
        <scheme val="minor"/>
      </rPr>
      <t xml:space="preserve"> Ogni giorno/settimana lanciamo il programma </t>
    </r>
    <r>
      <rPr>
        <sz val="10"/>
        <color theme="1"/>
        <rFont val="Arial Unicode MS"/>
      </rPr>
      <t>scarica_fatture.py</t>
    </r>
    <r>
      <rPr>
        <sz val="11"/>
        <color theme="1"/>
        <rFont val="Calibri"/>
        <family val="2"/>
        <scheme val="minor"/>
      </rPr>
      <t>.</t>
    </r>
  </si>
  <si>
    <t>Il robot entra nel portale Zucchetti.</t>
  </si>
  <si>
    <t>Scarica le nuove fatture e le estrae nella cartella di rete.</t>
  </si>
  <si>
    <r>
      <t>2. ELABORAZIONE:</t>
    </r>
    <r>
      <rPr>
        <sz val="11"/>
        <color theme="1"/>
        <rFont val="Calibri"/>
        <family val="2"/>
        <scheme val="minor"/>
      </rPr>
      <t xml:space="preserve"> Il sistema controlla se ci sono fatture nuove e le aggiunge all'archivio storico (</t>
    </r>
    <r>
      <rPr>
        <sz val="10"/>
        <color theme="1"/>
        <rFont val="Arial Unicode MS"/>
      </rPr>
      <t>Report_Sicuro.xlsx</t>
    </r>
    <r>
      <rPr>
        <sz val="11"/>
        <color theme="1"/>
        <rFont val="Calibri"/>
        <family val="2"/>
        <scheme val="minor"/>
      </rPr>
      <t>).</t>
    </r>
  </si>
  <si>
    <r>
      <t>3. AGGIORNAMENTO EXCEL:</t>
    </r>
    <r>
      <rPr>
        <sz val="11"/>
        <color theme="1"/>
        <rFont val="Calibri"/>
        <family val="2"/>
        <scheme val="minor"/>
      </rPr>
      <t xml:space="preserve"> Quando apri questo file (</t>
    </r>
    <r>
      <rPr>
        <sz val="10"/>
        <color theme="1"/>
        <rFont val="Arial Unicode MS"/>
      </rPr>
      <t>EV - AMMINISTRAZIONE</t>
    </r>
    <r>
      <rPr>
        <sz val="11"/>
        <color theme="1"/>
        <rFont val="Calibri"/>
        <family val="2"/>
        <scheme val="minor"/>
      </rPr>
      <t>), Power Query legge l'archivio e ti mostra le nuove righe in automatico.</t>
    </r>
  </si>
  <si>
    <t>B. LEGENDA STATI (COLONNA "S.do")</t>
  </si>
  <si>
    <t>Utilizzare questi codici nella colonna "S.do" (o colonna dedicata allo stato) per tracciare la lavorazione della fattura.</t>
  </si>
  <si>
    <t>SIMBOLO</t>
  </si>
  <si>
    <t>SIGNIFICATO</t>
  </si>
  <si>
    <t>AZIONE RICHIESTA</t>
  </si>
  <si>
    <t>V</t>
  </si>
  <si>
    <t>VISTO / APPROVATO</t>
  </si>
  <si>
    <t>SALDATA / PAGATA</t>
  </si>
  <si>
    <t>Il bonifico è stato effettuato o il RID è passato. La pratica è chiusa.</t>
  </si>
  <si>
    <t>CONTESTATA</t>
  </si>
  <si>
    <t>DA VERIFICARE</t>
  </si>
  <si>
    <t>La fattura è appena arrivata e nessuno l'ha ancora controllata.</t>
  </si>
  <si>
    <r>
      <t xml:space="preserve">La fattura è corretta, la merce/servizio è ok. </t>
    </r>
    <r>
      <rPr>
        <b/>
        <sz val="11"/>
        <color rgb="FF1F1F1F"/>
        <rFont val="Arial"/>
        <family val="2"/>
      </rPr>
      <t>Procedere al pagamento.</t>
    </r>
  </si>
  <si>
    <r>
      <t xml:space="preserve">C'è un problema (importo errato, merce mancante). </t>
    </r>
    <r>
      <rPr>
        <b/>
        <sz val="11"/>
        <color rgb="FF1F1F1F"/>
        <rFont val="Arial"/>
        <family val="2"/>
      </rPr>
      <t>BLOCCARE IL PAGAMENTO.</t>
    </r>
  </si>
  <si>
    <t>C. REGOLE DI INSERIMENTO</t>
  </si>
  <si>
    <r>
      <t>1. NON modificare</t>
    </r>
    <r>
      <rPr>
        <sz val="11"/>
        <color theme="1"/>
        <rFont val="Calibri"/>
        <family val="2"/>
        <scheme val="minor"/>
      </rPr>
      <t xml:space="preserve"> le colonne grigie (Data, Fornitore, Importo, Scadenza): queste vengono aggiornate dal robot e le modifiche manuali verrebbero sovrascritte.</t>
    </r>
  </si>
  <si>
    <r>
      <t>2. Scrivi SOLO</t>
    </r>
    <r>
      <rPr>
        <sz val="11"/>
        <color theme="1"/>
        <rFont val="Calibri"/>
        <family val="2"/>
        <scheme val="minor"/>
      </rPr>
      <t xml:space="preserve"> nelle colonne colorate (es. </t>
    </r>
    <r>
      <rPr>
        <i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S.do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Cantiere</t>
    </r>
    <r>
      <rPr>
        <sz val="11"/>
        <color theme="1"/>
        <rFont val="Calibri"/>
        <family val="2"/>
        <scheme val="minor"/>
      </rPr>
      <t xml:space="preserve"> se manuale).</t>
    </r>
  </si>
  <si>
    <t>3. Se una fattura non compare, verifica di aver lanciato l'aggiornamento dati (Dati -&gt; Aggiorna Tutti).</t>
  </si>
  <si>
    <t>DEBITO A GENNAIO 2026</t>
  </si>
  <si>
    <t>40000</t>
  </si>
  <si>
    <t>Verisure Italy Srl</t>
  </si>
  <si>
    <t>C:\Users\Ufficio\Downloads\Polizza RC ditta 47878304.pdf</t>
  </si>
  <si>
    <t>canva pty ltd</t>
  </si>
  <si>
    <t>1A</t>
  </si>
  <si>
    <t>SERVIZI</t>
  </si>
  <si>
    <t>Vi emettiamo fattura - per lavori eseguiti di fornitura e posa in opera barriera e trasporto materiali presso il cantiere di Via Ghislandi 51, Bergamo</t>
  </si>
  <si>
    <t>Prestazioni Professionali per Consulenza Tecnica Piano di Sicurezza Cantiere Modifica rampa di Accesso ai  BOX realizzata presso Vostri  Immobili  Siti in Bergamo (BG) Via Vittore Ghislandi n° sn .</t>
  </si>
  <si>
    <t>EC_2026_0047862</t>
  </si>
  <si>
    <t>Collect at IKEA Store | FLEKKE str let div/2cas 80x200 bianco | AFJALL mat sch 80x200 rigido/bianco</t>
  </si>
  <si>
    <t>PJ11031386</t>
  </si>
  <si>
    <t>SUPER SENZA PB | SUPER SENZA PB | GASOLIO | GASOLIO | GASOLIO | GASOLIO | GASOLIO | SUPER SENZA PB | GASOLIO | SUPER SENZA PB | GASOLIO | GASOLIO | SUPER SENZA PB | SUPER SENZA PB | FEE</t>
  </si>
  <si>
    <t>5/2026</t>
  </si>
  <si>
    <t>CANTIERE DI BERGAMO  Formazione di rampa scopata con quarzo  A CORPO 1.400,00Euro | -</t>
  </si>
  <si>
    <t>SALDO PARTITE APERTE FT 2606 A DETRARRE NC 4249</t>
  </si>
  <si>
    <t>CBILL_ BA0KM0X00GHV20VB52</t>
  </si>
  <si>
    <t xml:space="preserve">CANVA MENSILE </t>
  </si>
  <si>
    <t xml:space="preserve">NOTA CREDITO </t>
  </si>
  <si>
    <t>NC  0012FT00391460</t>
  </si>
  <si>
    <t>MORA RITARDI PAGAMENTI _ NOTA CREDITO FT 00125FT04478151</t>
  </si>
  <si>
    <t xml:space="preserve">RAMPA VIA GHISLANDI </t>
  </si>
  <si>
    <t>PROF 108</t>
  </si>
  <si>
    <t xml:space="preserve">AMMINISTRAZINE DEL PERSONALE </t>
  </si>
  <si>
    <t>327/00</t>
  </si>
  <si>
    <t>E6-0117633</t>
  </si>
  <si>
    <t>E6-0117637</t>
  </si>
  <si>
    <t>DA BCC A BPS</t>
  </si>
  <si>
    <t>aggiornato al 13-02: 52.67+saldo negativo di 2.86</t>
  </si>
  <si>
    <t>aggiornato 13-02: 24.53 il saldo + 8.82 (interessi)</t>
  </si>
  <si>
    <t>aggiornato 13-02: 3439 di saldo e 96.01 di interessi</t>
  </si>
  <si>
    <t>aggiornato al 13-02: 923.23 di saldo + interessi 13.34</t>
  </si>
  <si>
    <t>Pagamento Pubblica Amministrazione BA0KM0X00GHV20VB52 CAMERA DI COMMERCIO MILANO-MONZA-BRIANZA-LODI</t>
  </si>
  <si>
    <t>nota di credito</t>
  </si>
  <si>
    <t>saldo al 13-02: saldo 9176.31 con 10.31 di interessi</t>
  </si>
  <si>
    <t>7X00701923</t>
  </si>
  <si>
    <t>Contributo TIM Guardian Mobile sec 01/01/26 - 31/01/26 | Contributo 5G Power Executive+ 01/01/26 - 31/01/26 | Servizio di produzione e invio fattura | Ricarica credito 12</t>
  </si>
  <si>
    <t>8B00119718</t>
  </si>
  <si>
    <t>Contributo attivazione Checkup Sicurezza Light 21/24 01/01/26 | Opzione Fast 100 01/01/26 - 31/01/26 | TIM Tutto 01/01/26 - 31/01/26 | Bonus 24 mesi Checkup Sicurezza Light | Bonus Fedeltà | Bonus TIM</t>
  </si>
  <si>
    <t>PJ11119355</t>
  </si>
  <si>
    <t>26OT0076848</t>
  </si>
  <si>
    <t>PACK BATTERIE AQUILA QP - MS 1 un.</t>
  </si>
  <si>
    <t>05387-4160271898-76</t>
  </si>
  <si>
    <t>CANONE MENSILE SMART CBI  - Data Effettuazione Operazione: 03.02.2026 - NDG: 007297733 - SIA: 01H45 - Filiale: 03254 - Conto Bancario: 04480875 - Importo gia' pagato con addebito su vs conto corrente</t>
  </si>
  <si>
    <t>alberto group srl</t>
  </si>
  <si>
    <t xml:space="preserve">BALOON + MINI LIMONCELLO </t>
  </si>
  <si>
    <t>400571D</t>
  </si>
  <si>
    <t>baldi giovanni</t>
  </si>
  <si>
    <t xml:space="preserve">RIMBORSO SPESE PROCEDURA CONTRO PAOLO COLOMBINI </t>
  </si>
  <si>
    <t>84530266900038</t>
  </si>
  <si>
    <t xml:space="preserve">EDILVERTOVA /CHECCHIN +DOMUS IMM.+FRATELLI TROTTA +COLOMBI GAGLIOLO </t>
  </si>
  <si>
    <t>chef express spa</t>
  </si>
  <si>
    <t>giordano vini spa</t>
  </si>
  <si>
    <t>26VI000695</t>
  </si>
  <si>
    <t xml:space="preserve">VINO ILARIA </t>
  </si>
  <si>
    <t>EC_2026_ 0047862</t>
  </si>
  <si>
    <t xml:space="preserve">VARIE ILARIA </t>
  </si>
  <si>
    <t xml:space="preserve">FATURA ESTERA </t>
  </si>
  <si>
    <t>kaspertsky</t>
  </si>
  <si>
    <t>FR-26-018284620</t>
  </si>
  <si>
    <t xml:space="preserve">INTIVIRUS 5 PC _ ANNUALE </t>
  </si>
  <si>
    <t>fornitura fino al 31,01,26</t>
  </si>
  <si>
    <t>PJ110313387</t>
  </si>
  <si>
    <t>fornitura fino al 13,02,26</t>
  </si>
  <si>
    <t>Trezzano Rosa_  nolo CARO gru dal 8,12,25-7/01/26</t>
  </si>
  <si>
    <t>PROFORMA 38</t>
  </si>
  <si>
    <t>PR 38</t>
  </si>
  <si>
    <t>elaborazione contabilità e servizi_ 1° trimestre 2026</t>
  </si>
  <si>
    <t xml:space="preserve">OK </t>
  </si>
  <si>
    <t>02/03/20026</t>
  </si>
  <si>
    <t>UFFICIO GAZZANIGA _ GENNAIO 2026</t>
  </si>
  <si>
    <t>108002430P</t>
  </si>
  <si>
    <t>A26/237</t>
  </si>
  <si>
    <t>SOGGIORNO 4 PAX MEZZA PENSIONE DAL 26,01,26 AL 30,01,26_ LIGURIA</t>
  </si>
  <si>
    <t>327</t>
  </si>
  <si>
    <t>50296377T</t>
  </si>
  <si>
    <t>0000566185</t>
  </si>
  <si>
    <t>RETE MOBILE ILARIA_GENNAIO 26</t>
  </si>
  <si>
    <t>RETE FISSA UFFICIO_GENNAIO 2026</t>
  </si>
  <si>
    <t xml:space="preserve">Bergamo, Via Ghislandi _ DAL 23/08/2025 AL 23/05/2025_ RIMBORSATE DA LALUS </t>
  </si>
  <si>
    <t xml:space="preserve">Bergamo, Via Ghislandi _ DAL 13/03/2025 AL 12/09/2025_ RIMBORSATE DA LALUS </t>
  </si>
  <si>
    <t xml:space="preserve">Bergamo, Via Ghislandi _ DAL 13/09/2025 AL 23/11/2025_ RIMBORSATE DA LALUS </t>
  </si>
  <si>
    <t>RIMBORSATO DA VALENTINA FOLEGNANI IL 02,01,26</t>
  </si>
  <si>
    <t>CASA ILARIA</t>
  </si>
  <si>
    <t xml:space="preserve">FOLEGNANI - VIA GHISLANDI </t>
  </si>
  <si>
    <t>260T0076848</t>
  </si>
  <si>
    <t xml:space="preserve">CASA ILARIA </t>
  </si>
  <si>
    <t>26OT0086441</t>
  </si>
  <si>
    <t>BATTERIA AA STILO (R6 1,5V HIGH QUALITY) 16 un. | ALKALINE BATTERIES ULTRA AAA 4 un. | BATTERIES LITIO 2 un. | Battery AA Lithium cell 1.5V 12 un.</t>
  </si>
  <si>
    <t>giordano vini s.p.a.</t>
  </si>
  <si>
    <t>DICASA VINO ROSSO ETI NERA | ANDREA VINO ROSSO | ROSSO DELLA TERRA | VEI CAVOUR ETICHETTA ORO | ESCLUSIVO ROSSO PUGLIA IGT | EVENTUS ROSSO | RAGGIANTE ROSSO | DICASA VINO ROSSO | PECORINO TOSCANO D.O.</t>
  </si>
  <si>
    <t>3/26</t>
  </si>
  <si>
    <t xml:space="preserve">SALDO PROCEDURA ESECUTIVA N.R.G.147/2025 TRIBUNALE DI SAVONA-EDILVERTOVA SRL CONTRO PAOLO COLOMBINI-NOMINA DEL GIUDICE IN DATA 02/12/2025-GIUDICE DOTT.SSA PAOLA DI LORENZO | RIMBORSO SPESE ANTICIPATE </t>
  </si>
  <si>
    <t>b.m. srl</t>
  </si>
  <si>
    <t>Vi emettiamo fattura a saldo per i lavori di intonacatura e tinteggiatura muri esterni perimetrali.</t>
  </si>
  <si>
    <t>0000000003118235</t>
  </si>
  <si>
    <t>000000001341919D</t>
  </si>
  <si>
    <t>000000052912921T</t>
  </si>
  <si>
    <t>CANONE TELEPASS | QUOTA ASSOCIATIVA CARTE SUCC. | QUOTA ASSOCIATIVA SERVIZIO</t>
  </si>
  <si>
    <t>000000108005867P</t>
  </si>
  <si>
    <t>2603C0247564</t>
  </si>
  <si>
    <t>2603C0302315</t>
  </si>
  <si>
    <t>2603C0325307</t>
  </si>
  <si>
    <t>comitato paritetico territoriale artigiano</t>
  </si>
  <si>
    <t>Partecipante: 088156 RINALDI KRISTIAN
     03-02-2026 Corso: Formazione Base per Impiegate/i d'ufficio</t>
  </si>
  <si>
    <t>IN ATTESA DI NC</t>
  </si>
  <si>
    <t>084530266900384</t>
  </si>
  <si>
    <t>2001/260030378</t>
  </si>
  <si>
    <t>Rif. ns. BOLLA  N E1     32242 04/02/26 spedita a EDILVERTOVA SRL VIA CESARE BATTISTI 104 24025 GAZZANIGA - BG | IJ ORIG.H.P.N72 GRIGIO ML.130     C9374A | CARTA X FOT. A4 G.80 DOLPHIN   F.500 | POUCH</t>
  </si>
  <si>
    <t>558616</t>
  </si>
  <si>
    <t>PRIMULA ARMADIO 3 ANTE BATTENTI CON CHIU | PRIMULA COMO 3 CASSETTI L.108 P.47 H.80 | Spese Trasporto</t>
  </si>
  <si>
    <t>558617</t>
  </si>
  <si>
    <t>SERVI ABITO SALISCENDI L.89 P.50 H.7 | Spese Trasporto</t>
  </si>
  <si>
    <t>PJ11164463</t>
  </si>
  <si>
    <t>GASOLIO | GASOLIO | GASOLIO | GASOLIO | GASOLIO | SUPER SENZA PB | SUPER SENZA PB | GASOLIO | FEE</t>
  </si>
  <si>
    <t>1341919D</t>
  </si>
  <si>
    <t>84530266900384</t>
  </si>
  <si>
    <t xml:space="preserve">INTONACATURA E TINTEGGIATURA MURI ESTERNI _ SCANZO </t>
  </si>
  <si>
    <t>comitato paritetico territoriale</t>
  </si>
  <si>
    <t xml:space="preserve">CORSO FORM. BASE IMPIEGATI KRISTIAN RINALDI </t>
  </si>
  <si>
    <t xml:space="preserve">ARMADIO+COMO </t>
  </si>
  <si>
    <t>SERVI ABITO SALI-SCENDI</t>
  </si>
  <si>
    <t>FATT FINO AL 28/02/26</t>
  </si>
  <si>
    <t xml:space="preserve">SEPA </t>
  </si>
  <si>
    <t>108005687P</t>
  </si>
  <si>
    <t>000052912921T</t>
  </si>
  <si>
    <t>00003118235</t>
  </si>
  <si>
    <t>2603C325307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</si>
</sst>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£&quot;* #,##0.00_-;\-&quot;£&quot;* #,##0.00_-;_-&quot;£&quot;* &quot;-&quot;??_-;_-@_-"/>
    <numFmt numFmtId="164" formatCode="_-* #,##0.00\ [$€-410]_-;\-* #,##0.00\ [$€-410]_-;_-* &quot;-&quot;??\ [$€-410]_-;_-@_-"/>
    <numFmt numFmtId="165" formatCode="_-[$€-2]\ * #,##0.00_-;\-[$€-2]\ * #,##0.00_-;_-[$€-2]\ * &quot;-&quot;??_-;_-@_-"/>
    <numFmt numFmtId="166" formatCode="_-* #,##0.000\ [$€-410]_-;\-* #,##0.000\ [$€-410]_-;_-* &quot;-&quot;??\ [$€-410]_-;_-@_-"/>
    <numFmt numFmtId="167" formatCode="[$€-2]\ #,##0.00;[Red]\-[$€-2]\ #,##0.00"/>
    <numFmt numFmtId="168" formatCode="[$-F800]dddd\,\ mmmm\ dd\,\ yyyy"/>
    <numFmt numFmtId="169" formatCode="#,##0.00\ &quot;£&quot;"/>
    <numFmt numFmtId="170" formatCode="[$-410]dd/mm/yyyy;@"/>
    <numFmt numFmtId="171" formatCode="&quot;£&quot;\ #,##0.00"/>
  </numFmts>
  <fonts count="4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20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u/>
      <sz val="11"/>
      <name val="Calibri"/>
      <family val="2"/>
      <scheme val="minor"/>
    </font>
    <font>
      <u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4E6F1"/>
        <bgColor rgb="FFD4E6F1"/>
      </patternFill>
    </fill>
    <fill>
      <patternFill patternType="solid">
        <fgColor theme="9" tint="0.59999389629810485"/>
        <bgColor rgb="FFFFC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5" fillId="0" borderId="0"/>
    <xf numFmtId="0" fontId="7" fillId="0" borderId="0"/>
  </cellStyleXfs>
  <cellXfs count="35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164" fontId="0" fillId="0" borderId="0" xfId="0" applyNumberFormat="1"/>
    <xf numFmtId="49" fontId="1" fillId="2" borderId="0" xfId="0" applyNumberFormat="1" applyFont="1" applyFill="1"/>
    <xf numFmtId="49" fontId="1" fillId="3" borderId="0" xfId="0" applyNumberFormat="1" applyFont="1" applyFill="1"/>
    <xf numFmtId="49" fontId="0" fillId="0" borderId="0" xfId="0" applyNumberFormat="1"/>
    <xf numFmtId="0" fontId="3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right" vertical="center"/>
    </xf>
    <xf numFmtId="49" fontId="2" fillId="0" borderId="0" xfId="0" applyNumberFormat="1" applyFont="1"/>
    <xf numFmtId="165" fontId="2" fillId="0" borderId="0" xfId="0" applyNumberFormat="1" applyFont="1"/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left" vertical="center" wrapText="1"/>
    </xf>
    <xf numFmtId="4" fontId="3" fillId="2" borderId="0" xfId="0" applyNumberFormat="1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49" fontId="1" fillId="4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165" fontId="2" fillId="5" borderId="0" xfId="0" applyNumberFormat="1" applyFont="1" applyFill="1" applyAlignment="1">
      <alignment horizontal="left" vertical="center" wrapText="1"/>
    </xf>
    <xf numFmtId="166" fontId="1" fillId="4" borderId="0" xfId="0" applyNumberFormat="1" applyFont="1" applyFill="1"/>
    <xf numFmtId="4" fontId="1" fillId="4" borderId="0" xfId="0" applyNumberFormat="1" applyFont="1" applyFill="1" applyAlignment="1">
      <alignment horizontal="right"/>
    </xf>
    <xf numFmtId="49" fontId="3" fillId="4" borderId="0" xfId="0" applyNumberFormat="1" applyFont="1" applyFill="1"/>
    <xf numFmtId="0" fontId="0" fillId="0" borderId="0" xfId="0" applyAlignment="1">
      <alignment horizontal="right"/>
    </xf>
    <xf numFmtId="0" fontId="2" fillId="5" borderId="0" xfId="0" applyFont="1" applyFill="1" applyAlignment="1">
      <alignment horizontal="right"/>
    </xf>
    <xf numFmtId="165" fontId="2" fillId="5" borderId="0" xfId="0" applyNumberFormat="1" applyFont="1" applyFill="1" applyAlignment="1">
      <alignment horizontal="right"/>
    </xf>
    <xf numFmtId="164" fontId="2" fillId="5" borderId="0" xfId="0" applyNumberFormat="1" applyFont="1" applyFill="1" applyAlignment="1">
      <alignment horizontal="right"/>
    </xf>
    <xf numFmtId="165" fontId="2" fillId="5" borderId="0" xfId="0" applyNumberFormat="1" applyFont="1" applyFill="1" applyAlignment="1">
      <alignment horizontal="right" vertical="top"/>
    </xf>
    <xf numFmtId="0" fontId="3" fillId="4" borderId="0" xfId="0" applyFont="1" applyFill="1" applyAlignment="1">
      <alignment horizontal="left" vertical="center"/>
    </xf>
    <xf numFmtId="167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5" fontId="4" fillId="0" borderId="0" xfId="0" applyNumberFormat="1" applyFont="1"/>
    <xf numFmtId="0" fontId="12" fillId="0" borderId="0" xfId="0" applyFont="1"/>
    <xf numFmtId="165" fontId="1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4" fontId="9" fillId="0" borderId="0" xfId="0" applyNumberFormat="1" applyFont="1" applyAlignment="1">
      <alignment horizontal="center"/>
    </xf>
    <xf numFmtId="165" fontId="9" fillId="0" borderId="0" xfId="0" applyNumberFormat="1" applyFont="1"/>
    <xf numFmtId="165" fontId="0" fillId="0" borderId="0" xfId="1" applyNumberFormat="1" applyFont="1" applyAlignment="1">
      <alignment horizontal="left"/>
    </xf>
    <xf numFmtId="0" fontId="8" fillId="0" borderId="0" xfId="0" applyFont="1"/>
    <xf numFmtId="165" fontId="2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  <xf numFmtId="164" fontId="13" fillId="3" borderId="0" xfId="0" applyNumberFormat="1" applyFont="1" applyFill="1"/>
    <xf numFmtId="0" fontId="14" fillId="0" borderId="0" xfId="0" applyFont="1"/>
    <xf numFmtId="0" fontId="14" fillId="5" borderId="0" xfId="0" applyFont="1" applyFill="1"/>
    <xf numFmtId="168" fontId="0" fillId="0" borderId="0" xfId="0" applyNumberFormat="1" applyAlignment="1">
      <alignment horizontal="left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44" fontId="17" fillId="0" borderId="0" xfId="1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0" fillId="6" borderId="0" xfId="0" applyNumberFormat="1" applyFill="1"/>
    <xf numFmtId="44" fontId="0" fillId="6" borderId="0" xfId="1" applyFont="1" applyFill="1"/>
    <xf numFmtId="0" fontId="0" fillId="6" borderId="0" xfId="0" applyFill="1"/>
    <xf numFmtId="0" fontId="10" fillId="6" borderId="0" xfId="0" applyFont="1" applyFill="1"/>
    <xf numFmtId="14" fontId="10" fillId="6" borderId="0" xfId="0" applyNumberFormat="1" applyFont="1" applyFill="1"/>
    <xf numFmtId="0" fontId="18" fillId="6" borderId="0" xfId="2" applyFont="1" applyFill="1" applyAlignment="1">
      <alignment horizontal="left"/>
    </xf>
    <xf numFmtId="44" fontId="10" fillId="6" borderId="0" xfId="1" applyFont="1" applyFill="1"/>
    <xf numFmtId="44" fontId="10" fillId="0" borderId="0" xfId="1" applyFont="1"/>
    <xf numFmtId="1" fontId="19" fillId="6" borderId="0" xfId="0" applyNumberFormat="1" applyFont="1" applyFill="1" applyAlignment="1">
      <alignment horizontal="center"/>
    </xf>
    <xf numFmtId="0" fontId="7" fillId="6" borderId="0" xfId="2" applyFill="1" applyAlignment="1">
      <alignment horizontal="left"/>
    </xf>
    <xf numFmtId="0" fontId="10" fillId="6" borderId="0" xfId="0" applyFont="1" applyFill="1" applyAlignment="1">
      <alignment horizontal="left"/>
    </xf>
    <xf numFmtId="1" fontId="19" fillId="0" borderId="0" xfId="0" applyNumberFormat="1" applyFont="1" applyAlignment="1">
      <alignment horizontal="center"/>
    </xf>
    <xf numFmtId="44" fontId="0" fillId="0" borderId="0" xfId="1" applyFont="1"/>
    <xf numFmtId="0" fontId="10" fillId="0" borderId="0" xfId="0" applyFont="1"/>
    <xf numFmtId="14" fontId="10" fillId="0" borderId="0" xfId="0" applyNumberFormat="1" applyFont="1"/>
    <xf numFmtId="0" fontId="10" fillId="0" borderId="0" xfId="0" applyFont="1" applyAlignment="1">
      <alignment horizontal="left"/>
    </xf>
    <xf numFmtId="0" fontId="7" fillId="6" borderId="0" xfId="2" applyFill="1"/>
    <xf numFmtId="14" fontId="0" fillId="6" borderId="0" xfId="0" applyNumberFormat="1" applyFill="1" applyAlignment="1">
      <alignment vertical="center"/>
    </xf>
    <xf numFmtId="0" fontId="18" fillId="6" borderId="0" xfId="2" applyFont="1" applyFill="1"/>
    <xf numFmtId="0" fontId="7" fillId="0" borderId="0" xfId="2" applyAlignment="1">
      <alignment horizontal="left"/>
    </xf>
    <xf numFmtId="0" fontId="2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/>
    <xf numFmtId="0" fontId="7" fillId="0" borderId="0" xfId="2"/>
    <xf numFmtId="14" fontId="10" fillId="0" borderId="0" xfId="0" applyNumberFormat="1" applyFont="1" applyAlignment="1">
      <alignment horizontal="right"/>
    </xf>
    <xf numFmtId="169" fontId="1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/>
    </xf>
    <xf numFmtId="17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9" fontId="2" fillId="0" borderId="0" xfId="0" applyNumberFormat="1" applyFont="1"/>
    <xf numFmtId="1" fontId="8" fillId="0" borderId="0" xfId="0" applyNumberFormat="1" applyFont="1"/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/>
    </xf>
    <xf numFmtId="165" fontId="2" fillId="0" borderId="0" xfId="1" applyNumberFormat="1" applyFont="1" applyAlignment="1">
      <alignment horizontal="left" vertical="center" wrapText="1"/>
    </xf>
    <xf numFmtId="0" fontId="9" fillId="7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7" borderId="0" xfId="0" applyFill="1"/>
    <xf numFmtId="0" fontId="9" fillId="6" borderId="0" xfId="0" applyFont="1" applyFill="1" applyAlignment="1">
      <alignment horizontal="left" vertical="center"/>
    </xf>
    <xf numFmtId="165" fontId="0" fillId="6" borderId="0" xfId="1" applyNumberFormat="1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165" fontId="7" fillId="0" borderId="0" xfId="2" applyNumberFormat="1" applyAlignment="1">
      <alignment horizontal="left" vertical="center"/>
    </xf>
    <xf numFmtId="0" fontId="0" fillId="7" borderId="0" xfId="0" applyFill="1" applyAlignment="1">
      <alignment horizontal="left"/>
    </xf>
    <xf numFmtId="165" fontId="7" fillId="0" borderId="0" xfId="2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9" fillId="7" borderId="0" xfId="0" applyFont="1" applyFill="1"/>
    <xf numFmtId="0" fontId="21" fillId="0" borderId="0" xfId="0" applyFont="1"/>
    <xf numFmtId="0" fontId="11" fillId="0" borderId="0" xfId="0" applyFont="1"/>
    <xf numFmtId="44" fontId="20" fillId="0" borderId="0" xfId="1" applyFont="1"/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0" borderId="1" xfId="0" applyBorder="1"/>
    <xf numFmtId="168" fontId="0" fillId="0" borderId="1" xfId="0" applyNumberFormat="1" applyBorder="1" applyAlignment="1">
      <alignment horizontal="left"/>
    </xf>
    <xf numFmtId="164" fontId="0" fillId="0" borderId="1" xfId="0" applyNumberFormat="1" applyBorder="1"/>
    <xf numFmtId="0" fontId="14" fillId="0" borderId="1" xfId="0" applyFont="1" applyBorder="1"/>
    <xf numFmtId="49" fontId="0" fillId="0" borderId="1" xfId="0" applyNumberFormat="1" applyBorder="1"/>
    <xf numFmtId="3" fontId="0" fillId="0" borderId="1" xfId="0" applyNumberFormat="1" applyBorder="1"/>
    <xf numFmtId="0" fontId="14" fillId="7" borderId="0" xfId="0" applyFont="1" applyFill="1"/>
    <xf numFmtId="0" fontId="2" fillId="5" borderId="0" xfId="0" applyFont="1" applyFill="1" applyAlignment="1">
      <alignment horizont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0" fontId="0" fillId="8" borderId="0" xfId="0" applyFill="1"/>
    <xf numFmtId="0" fontId="2" fillId="5" borderId="0" xfId="0" applyFont="1" applyFill="1" applyAlignment="1">
      <alignment horizontal="right" wrapText="1"/>
    </xf>
    <xf numFmtId="165" fontId="8" fillId="0" borderId="0" xfId="0" applyNumberFormat="1" applyFont="1" applyAlignment="1">
      <alignment horizontal="center" vertical="center" wrapText="1"/>
    </xf>
    <xf numFmtId="165" fontId="10" fillId="0" borderId="0" xfId="1" applyNumberFormat="1" applyFont="1"/>
    <xf numFmtId="165" fontId="0" fillId="0" borderId="0" xfId="1" applyNumberFormat="1" applyFont="1"/>
    <xf numFmtId="0" fontId="2" fillId="5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16" fontId="2" fillId="5" borderId="0" xfId="0" applyNumberFormat="1" applyFont="1" applyFill="1" applyAlignment="1">
      <alignment horizontal="right"/>
    </xf>
    <xf numFmtId="165" fontId="8" fillId="0" borderId="0" xfId="1" applyNumberFormat="1" applyFont="1" applyAlignment="1">
      <alignment horizontal="center" vertical="center"/>
    </xf>
    <xf numFmtId="0" fontId="0" fillId="12" borderId="0" xfId="0" applyFill="1"/>
    <xf numFmtId="0" fontId="0" fillId="9" borderId="0" xfId="0" applyFill="1"/>
    <xf numFmtId="0" fontId="0" fillId="13" borderId="0" xfId="0" applyFill="1"/>
    <xf numFmtId="165" fontId="2" fillId="14" borderId="0" xfId="0" applyNumberFormat="1" applyFont="1" applyFill="1"/>
    <xf numFmtId="0" fontId="2" fillId="14" borderId="0" xfId="0" applyFont="1" applyFill="1"/>
    <xf numFmtId="14" fontId="0" fillId="0" borderId="0" xfId="0" applyNumberFormat="1" applyAlignment="1">
      <alignment horizontal="left" indent="1"/>
    </xf>
    <xf numFmtId="0" fontId="0" fillId="0" borderId="0" xfId="0" applyAlignment="1">
      <alignment wrapText="1"/>
    </xf>
    <xf numFmtId="0" fontId="29" fillId="0" borderId="0" xfId="0" applyFont="1" applyAlignment="1">
      <alignment horizontal="center" vertical="center"/>
    </xf>
    <xf numFmtId="0" fontId="0" fillId="10" borderId="13" xfId="0" applyFill="1" applyBorder="1"/>
    <xf numFmtId="0" fontId="0" fillId="10" borderId="14" xfId="0" applyFill="1" applyBorder="1"/>
    <xf numFmtId="0" fontId="0" fillId="11" borderId="13" xfId="0" applyFill="1" applyBorder="1"/>
    <xf numFmtId="0" fontId="0" fillId="11" borderId="14" xfId="0" applyFill="1" applyBorder="1"/>
    <xf numFmtId="0" fontId="0" fillId="10" borderId="7" xfId="0" applyFill="1" applyBorder="1"/>
    <xf numFmtId="0" fontId="0" fillId="11" borderId="12" xfId="0" applyFill="1" applyBorder="1"/>
    <xf numFmtId="0" fontId="0" fillId="10" borderId="12" xfId="0" applyFill="1" applyBorder="1"/>
    <xf numFmtId="0" fontId="0" fillId="10" borderId="15" xfId="0" applyFill="1" applyBorder="1"/>
    <xf numFmtId="0" fontId="0" fillId="10" borderId="16" xfId="0" applyFill="1" applyBorder="1"/>
    <xf numFmtId="14" fontId="0" fillId="11" borderId="13" xfId="0" applyNumberFormat="1" applyFill="1" applyBorder="1"/>
    <xf numFmtId="165" fontId="0" fillId="11" borderId="13" xfId="0" applyNumberFormat="1" applyFill="1" applyBorder="1"/>
    <xf numFmtId="14" fontId="0" fillId="10" borderId="13" xfId="0" applyNumberFormat="1" applyFill="1" applyBorder="1"/>
    <xf numFmtId="165" fontId="0" fillId="10" borderId="13" xfId="0" applyNumberFormat="1" applyFill="1" applyBorder="1"/>
    <xf numFmtId="14" fontId="0" fillId="10" borderId="16" xfId="0" applyNumberFormat="1" applyFill="1" applyBorder="1"/>
    <xf numFmtId="165" fontId="0" fillId="10" borderId="16" xfId="0" applyNumberFormat="1" applyFill="1" applyBorder="1"/>
    <xf numFmtId="0" fontId="32" fillId="5" borderId="0" xfId="0" applyFont="1" applyFill="1" applyAlignment="1">
      <alignment horizontal="right"/>
    </xf>
    <xf numFmtId="0" fontId="2" fillId="0" borderId="0" xfId="0" applyFont="1" applyAlignment="1" applyProtection="1">
      <alignment horizontal="center" vertical="center"/>
      <protection locked="0"/>
    </xf>
    <xf numFmtId="0" fontId="9" fillId="0" borderId="0" xfId="0" applyFont="1"/>
    <xf numFmtId="0" fontId="6" fillId="0" borderId="0" xfId="0" applyFont="1"/>
    <xf numFmtId="0" fontId="2" fillId="15" borderId="5" xfId="0" applyFont="1" applyFill="1" applyBorder="1" applyAlignment="1" applyProtection="1">
      <alignment horizontal="center" vertical="center"/>
      <protection locked="0"/>
    </xf>
    <xf numFmtId="49" fontId="30" fillId="15" borderId="3" xfId="0" applyNumberFormat="1" applyFont="1" applyFill="1" applyBorder="1" applyAlignment="1">
      <alignment horizontal="center" vertical="center"/>
    </xf>
    <xf numFmtId="49" fontId="33" fillId="15" borderId="3" xfId="0" applyNumberFormat="1" applyFont="1" applyFill="1" applyBorder="1" applyAlignment="1">
      <alignment horizontal="right"/>
    </xf>
    <xf numFmtId="0" fontId="30" fillId="15" borderId="3" xfId="0" applyFont="1" applyFill="1" applyBorder="1" applyAlignment="1">
      <alignment horizontal="center" vertical="center"/>
    </xf>
    <xf numFmtId="14" fontId="33" fillId="15" borderId="3" xfId="0" applyNumberFormat="1" applyFont="1" applyFill="1" applyBorder="1" applyAlignment="1">
      <alignment horizontal="center"/>
    </xf>
    <xf numFmtId="14" fontId="30" fillId="15" borderId="3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49" fontId="9" fillId="0" borderId="8" xfId="0" applyNumberFormat="1" applyFont="1" applyBorder="1"/>
    <xf numFmtId="49" fontId="9" fillId="0" borderId="8" xfId="0" applyNumberFormat="1" applyFont="1" applyBorder="1" applyAlignment="1">
      <alignment horizontal="right"/>
    </xf>
    <xf numFmtId="14" fontId="9" fillId="0" borderId="8" xfId="0" applyNumberFormat="1" applyFont="1" applyBorder="1" applyAlignment="1">
      <alignment horizontal="center"/>
    </xf>
    <xf numFmtId="0" fontId="7" fillId="0" borderId="8" xfId="2" applyBorder="1"/>
    <xf numFmtId="0" fontId="9" fillId="0" borderId="8" xfId="0" applyFont="1" applyBorder="1"/>
    <xf numFmtId="14" fontId="0" fillId="0" borderId="8" xfId="0" applyNumberFormat="1" applyBorder="1"/>
    <xf numFmtId="165" fontId="0" fillId="0" borderId="8" xfId="1" applyNumberFormat="1" applyFont="1" applyBorder="1"/>
    <xf numFmtId="49" fontId="0" fillId="0" borderId="8" xfId="0" applyNumberFormat="1" applyBorder="1"/>
    <xf numFmtId="14" fontId="0" fillId="0" borderId="8" xfId="0" applyNumberFormat="1" applyBorder="1" applyAlignment="1">
      <alignment horizontal="center"/>
    </xf>
    <xf numFmtId="0" fontId="0" fillId="0" borderId="8" xfId="0" applyBorder="1"/>
    <xf numFmtId="49" fontId="0" fillId="0" borderId="8" xfId="0" applyNumberFormat="1" applyBorder="1" applyAlignment="1">
      <alignment horizontal="left" vertical="center"/>
    </xf>
    <xf numFmtId="14" fontId="0" fillId="0" borderId="8" xfId="0" applyNumberFormat="1" applyBorder="1" applyAlignment="1">
      <alignment horizontal="center" vertical="center"/>
    </xf>
    <xf numFmtId="0" fontId="7" fillId="0" borderId="8" xfId="2" applyBorder="1" applyAlignment="1">
      <alignment horizontal="center" vertical="center"/>
    </xf>
    <xf numFmtId="0" fontId="7" fillId="0" borderId="8" xfId="2" applyBorder="1" applyAlignment="1">
      <alignment horizontal="left"/>
    </xf>
    <xf numFmtId="165" fontId="0" fillId="0" borderId="8" xfId="0" applyNumberFormat="1" applyBorder="1"/>
    <xf numFmtId="49" fontId="35" fillId="0" borderId="8" xfId="0" applyNumberFormat="1" applyFont="1" applyBorder="1"/>
    <xf numFmtId="14" fontId="6" fillId="0" borderId="8" xfId="0" applyNumberFormat="1" applyFont="1" applyBorder="1" applyAlignment="1">
      <alignment horizontal="center"/>
    </xf>
    <xf numFmtId="0" fontId="36" fillId="0" borderId="8" xfId="2" applyFont="1" applyBorder="1" applyAlignment="1">
      <alignment horizontal="left"/>
    </xf>
    <xf numFmtId="165" fontId="6" fillId="0" borderId="8" xfId="1" applyNumberFormat="1" applyFont="1" applyBorder="1" applyAlignment="1">
      <alignment horizontal="right"/>
    </xf>
    <xf numFmtId="165" fontId="9" fillId="0" borderId="8" xfId="1" applyNumberFormat="1" applyFon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171" fontId="7" fillId="0" borderId="8" xfId="2" applyNumberFormat="1" applyBorder="1" applyAlignment="1">
      <alignment horizontal="left"/>
    </xf>
    <xf numFmtId="49" fontId="9" fillId="0" borderId="1" xfId="0" applyNumberFormat="1" applyFont="1" applyBorder="1" applyAlignment="1">
      <alignment horizontal="right"/>
    </xf>
    <xf numFmtId="14" fontId="9" fillId="0" borderId="1" xfId="0" applyNumberFormat="1" applyFont="1" applyBorder="1" applyAlignment="1">
      <alignment horizontal="center"/>
    </xf>
    <xf numFmtId="171" fontId="0" fillId="0" borderId="8" xfId="2" applyNumberFormat="1" applyFont="1" applyBorder="1" applyAlignment="1">
      <alignment horizontal="left"/>
    </xf>
    <xf numFmtId="0" fontId="0" fillId="0" borderId="3" xfId="0" applyBorder="1"/>
    <xf numFmtId="0" fontId="0" fillId="0" borderId="8" xfId="2" applyFont="1" applyBorder="1"/>
    <xf numFmtId="0" fontId="0" fillId="0" borderId="8" xfId="2" applyFont="1" applyBorder="1" applyAlignment="1">
      <alignment horizontal="left"/>
    </xf>
    <xf numFmtId="165" fontId="0" fillId="0" borderId="8" xfId="1" applyNumberFormat="1" applyFont="1" applyBorder="1" applyAlignment="1">
      <alignment horizontal="right"/>
    </xf>
    <xf numFmtId="49" fontId="6" fillId="0" borderId="8" xfId="0" applyNumberFormat="1" applyFont="1" applyBorder="1"/>
    <xf numFmtId="14" fontId="6" fillId="0" borderId="8" xfId="0" applyNumberFormat="1" applyFont="1" applyBorder="1"/>
    <xf numFmtId="165" fontId="6" fillId="0" borderId="8" xfId="1" applyNumberFormat="1" applyFont="1" applyBorder="1"/>
    <xf numFmtId="14" fontId="0" fillId="0" borderId="9" xfId="0" applyNumberFormat="1" applyBorder="1" applyAlignment="1">
      <alignment horizontal="center"/>
    </xf>
    <xf numFmtId="14" fontId="0" fillId="0" borderId="9" xfId="0" applyNumberFormat="1" applyBorder="1"/>
    <xf numFmtId="14" fontId="6" fillId="0" borderId="9" xfId="0" applyNumberFormat="1" applyFont="1" applyBorder="1"/>
    <xf numFmtId="0" fontId="36" fillId="0" borderId="8" xfId="2" applyFont="1" applyBorder="1"/>
    <xf numFmtId="167" fontId="7" fillId="0" borderId="8" xfId="2" applyNumberFormat="1" applyBorder="1"/>
    <xf numFmtId="49" fontId="4" fillId="0" borderId="8" xfId="0" applyNumberFormat="1" applyFont="1" applyBorder="1"/>
    <xf numFmtId="14" fontId="4" fillId="0" borderId="8" xfId="0" applyNumberFormat="1" applyFont="1" applyBorder="1" applyAlignment="1">
      <alignment horizontal="center"/>
    </xf>
    <xf numFmtId="0" fontId="31" fillId="0" borderId="8" xfId="2" applyFont="1" applyBorder="1"/>
    <xf numFmtId="165" fontId="4" fillId="0" borderId="8" xfId="1" applyNumberFormat="1" applyFont="1" applyBorder="1"/>
    <xf numFmtId="165" fontId="0" fillId="0" borderId="8" xfId="1" applyNumberFormat="1" applyFont="1" applyBorder="1" applyAlignment="1">
      <alignment horizontal="left"/>
    </xf>
    <xf numFmtId="49" fontId="0" fillId="0" borderId="17" xfId="0" applyNumberFormat="1" applyBorder="1"/>
    <xf numFmtId="14" fontId="0" fillId="0" borderId="1" xfId="0" applyNumberFormat="1" applyBorder="1" applyAlignment="1">
      <alignment horizontal="center"/>
    </xf>
    <xf numFmtId="44" fontId="7" fillId="0" borderId="8" xfId="2" applyNumberFormat="1" applyBorder="1" applyAlignment="1">
      <alignment horizontal="left" vertical="center"/>
    </xf>
    <xf numFmtId="2" fontId="0" fillId="0" borderId="0" xfId="0" applyNumberFormat="1"/>
    <xf numFmtId="165" fontId="9" fillId="0" borderId="8" xfId="1" applyNumberFormat="1" applyFont="1" applyBorder="1"/>
    <xf numFmtId="49" fontId="9" fillId="0" borderId="8" xfId="2" applyNumberFormat="1" applyFont="1" applyBorder="1"/>
    <xf numFmtId="14" fontId="9" fillId="0" borderId="8" xfId="2" applyNumberFormat="1" applyFont="1" applyBorder="1" applyAlignment="1">
      <alignment horizontal="center"/>
    </xf>
    <xf numFmtId="0" fontId="37" fillId="0" borderId="8" xfId="2" applyFont="1" applyBorder="1"/>
    <xf numFmtId="0" fontId="0" fillId="0" borderId="0" xfId="0" applyAlignment="1">
      <alignment horizontal="right" vertical="center"/>
    </xf>
    <xf numFmtId="49" fontId="0" fillId="0" borderId="8" xfId="0" applyNumberFormat="1" applyBorder="1" applyAlignment="1">
      <alignment vertical="center"/>
    </xf>
    <xf numFmtId="14" fontId="0" fillId="0" borderId="8" xfId="0" applyNumberFormat="1" applyBorder="1" applyAlignment="1">
      <alignment vertical="center"/>
    </xf>
    <xf numFmtId="171" fontId="7" fillId="0" borderId="8" xfId="2" applyNumberFormat="1" applyBorder="1" applyAlignment="1">
      <alignment vertical="center"/>
    </xf>
    <xf numFmtId="171" fontId="38" fillId="0" borderId="8" xfId="2" applyNumberFormat="1" applyFont="1" applyBorder="1" applyAlignment="1">
      <alignment horizontal="left"/>
    </xf>
    <xf numFmtId="14" fontId="9" fillId="0" borderId="8" xfId="0" applyNumberFormat="1" applyFont="1" applyBorder="1"/>
    <xf numFmtId="49" fontId="34" fillId="0" borderId="8" xfId="0" applyNumberFormat="1" applyFont="1" applyBorder="1"/>
    <xf numFmtId="14" fontId="34" fillId="0" borderId="8" xfId="0" applyNumberFormat="1" applyFont="1" applyBorder="1" applyAlignment="1">
      <alignment horizontal="center"/>
    </xf>
    <xf numFmtId="0" fontId="39" fillId="0" borderId="8" xfId="2" applyFont="1" applyBorder="1"/>
    <xf numFmtId="49" fontId="11" fillId="0" borderId="8" xfId="0" applyNumberFormat="1" applyFont="1" applyBorder="1"/>
    <xf numFmtId="14" fontId="11" fillId="0" borderId="8" xfId="0" applyNumberFormat="1" applyFont="1" applyBorder="1" applyAlignment="1">
      <alignment horizontal="center"/>
    </xf>
    <xf numFmtId="0" fontId="40" fillId="0" borderId="8" xfId="2" applyFont="1" applyBorder="1"/>
    <xf numFmtId="0" fontId="38" fillId="0" borderId="8" xfId="2" applyFont="1" applyBorder="1"/>
    <xf numFmtId="49" fontId="0" fillId="0" borderId="6" xfId="0" applyNumberFormat="1" applyBorder="1"/>
    <xf numFmtId="49" fontId="9" fillId="0" borderId="6" xfId="0" applyNumberFormat="1" applyFont="1" applyBorder="1" applyAlignment="1">
      <alignment horizontal="right"/>
    </xf>
    <xf numFmtId="14" fontId="0" fillId="0" borderId="6" xfId="0" applyNumberForma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0" fontId="7" fillId="0" borderId="6" xfId="2" applyBorder="1"/>
    <xf numFmtId="14" fontId="0" fillId="0" borderId="6" xfId="0" applyNumberFormat="1" applyBorder="1"/>
    <xf numFmtId="165" fontId="0" fillId="0" borderId="6" xfId="1" applyNumberFormat="1" applyFont="1" applyBorder="1"/>
    <xf numFmtId="49" fontId="0" fillId="0" borderId="8" xfId="0" applyNumberFormat="1" applyBorder="1" applyAlignment="1">
      <alignment horizontal="center"/>
    </xf>
    <xf numFmtId="14" fontId="0" fillId="0" borderId="8" xfId="1" applyNumberFormat="1" applyFont="1" applyBorder="1"/>
    <xf numFmtId="49" fontId="30" fillId="15" borderId="0" xfId="0" applyNumberFormat="1" applyFont="1" applyFill="1" applyAlignment="1">
      <alignment horizontal="center" vertical="center"/>
    </xf>
    <xf numFmtId="49" fontId="4" fillId="0" borderId="8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4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 wrapText="1"/>
    </xf>
    <xf numFmtId="49" fontId="0" fillId="0" borderId="6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4" fontId="30" fillId="15" borderId="3" xfId="0" applyNumberFormat="1" applyFont="1" applyFill="1" applyBorder="1" applyAlignment="1">
      <alignment horizontal="center" vertical="center"/>
    </xf>
    <xf numFmtId="49" fontId="30" fillId="15" borderId="3" xfId="0" applyNumberFormat="1" applyFont="1" applyFill="1" applyBorder="1" applyAlignment="1">
      <alignment horizontal="center"/>
    </xf>
    <xf numFmtId="165" fontId="33" fillId="15" borderId="3" xfId="0" applyNumberFormat="1" applyFont="1" applyFill="1" applyBorder="1"/>
    <xf numFmtId="165" fontId="9" fillId="0" borderId="8" xfId="0" applyNumberFormat="1" applyFont="1" applyBorder="1"/>
    <xf numFmtId="165" fontId="9" fillId="0" borderId="1" xfId="0" applyNumberFormat="1" applyFont="1" applyBorder="1"/>
    <xf numFmtId="165" fontId="9" fillId="0" borderId="6" xfId="0" applyNumberFormat="1" applyFont="1" applyBorder="1"/>
    <xf numFmtId="49" fontId="9" fillId="0" borderId="8" xfId="0" applyNumberFormat="1" applyFont="1" applyBorder="1" applyAlignment="1">
      <alignment horizontal="left" vertical="center"/>
    </xf>
    <xf numFmtId="49" fontId="9" fillId="0" borderId="8" xfId="0" applyNumberFormat="1" applyFont="1" applyBorder="1" applyAlignment="1">
      <alignment horizontal="left"/>
    </xf>
    <xf numFmtId="49" fontId="33" fillId="15" borderId="3" xfId="0" applyNumberFormat="1" applyFont="1" applyFill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4" fontId="0" fillId="0" borderId="8" xfId="0" applyNumberFormat="1" applyBorder="1" applyAlignment="1">
      <alignment horizontal="left" vertical="center"/>
    </xf>
    <xf numFmtId="165" fontId="30" fillId="15" borderId="3" xfId="0" applyNumberFormat="1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left" vertical="center"/>
    </xf>
    <xf numFmtId="165" fontId="2" fillId="0" borderId="8" xfId="0" applyNumberFormat="1" applyFont="1" applyBorder="1"/>
    <xf numFmtId="165" fontId="6" fillId="0" borderId="8" xfId="0" applyNumberFormat="1" applyFont="1" applyBorder="1"/>
    <xf numFmtId="165" fontId="0" fillId="0" borderId="7" xfId="1" applyNumberFormat="1" applyFont="1" applyBorder="1"/>
    <xf numFmtId="165" fontId="9" fillId="0" borderId="8" xfId="2" applyNumberFormat="1" applyFont="1" applyBorder="1"/>
    <xf numFmtId="49" fontId="30" fillId="15" borderId="2" xfId="0" applyNumberFormat="1" applyFont="1" applyFill="1" applyBorder="1" applyAlignment="1">
      <alignment horizontal="center" vertical="center"/>
    </xf>
    <xf numFmtId="49" fontId="0" fillId="0" borderId="4" xfId="0" applyNumberFormat="1" applyBorder="1"/>
    <xf numFmtId="49" fontId="2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/>
    <xf numFmtId="49" fontId="4" fillId="0" borderId="4" xfId="0" applyNumberFormat="1" applyFont="1" applyBorder="1"/>
    <xf numFmtId="49" fontId="0" fillId="0" borderId="7" xfId="0" applyNumberFormat="1" applyBorder="1"/>
    <xf numFmtId="49" fontId="9" fillId="0" borderId="4" xfId="0" applyNumberFormat="1" applyFont="1" applyBorder="1"/>
    <xf numFmtId="49" fontId="0" fillId="0" borderId="4" xfId="0" applyNumberFormat="1" applyBorder="1" applyAlignment="1">
      <alignment horizontal="right" vertical="center"/>
    </xf>
    <xf numFmtId="49" fontId="0" fillId="0" borderId="4" xfId="0" applyNumberFormat="1" applyBorder="1" applyAlignment="1">
      <alignment wrapText="1"/>
    </xf>
    <xf numFmtId="49" fontId="42" fillId="15" borderId="3" xfId="0" applyNumberFormat="1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left"/>
    </xf>
    <xf numFmtId="49" fontId="43" fillId="0" borderId="8" xfId="2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14" fontId="0" fillId="0" borderId="1" xfId="0" applyNumberFormat="1" applyBorder="1"/>
    <xf numFmtId="0" fontId="7" fillId="0" borderId="1" xfId="2" applyBorder="1"/>
    <xf numFmtId="49" fontId="0" fillId="0" borderId="8" xfId="2" applyNumberFormat="1" applyFont="1" applyBorder="1" applyAlignment="1">
      <alignment horizontal="left"/>
    </xf>
    <xf numFmtId="14" fontId="0" fillId="0" borderId="9" xfId="1" applyNumberFormat="1" applyFont="1" applyBorder="1"/>
    <xf numFmtId="165" fontId="0" fillId="0" borderId="1" xfId="1" applyNumberFormat="1" applyFont="1" applyBorder="1"/>
    <xf numFmtId="0" fontId="14" fillId="0" borderId="0" xfId="0" applyFont="1" applyAlignment="1">
      <alignment vertical="center"/>
    </xf>
    <xf numFmtId="0" fontId="44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7" fillId="0" borderId="18" xfId="0" applyFont="1" applyBorder="1" applyAlignment="1">
      <alignment horizontal="left" vertical="center" wrapText="1" indent="1" readingOrder="1"/>
    </xf>
    <xf numFmtId="0" fontId="46" fillId="0" borderId="18" xfId="0" applyFont="1" applyBorder="1" applyAlignment="1">
      <alignment horizontal="left" vertical="center" wrapText="1" indent="1" readingOrder="1"/>
    </xf>
    <xf numFmtId="0" fontId="48" fillId="0" borderId="18" xfId="0" applyFont="1" applyBorder="1" applyAlignment="1">
      <alignment horizontal="left" vertical="center" wrapText="1" indent="1" readingOrder="1"/>
    </xf>
    <xf numFmtId="0" fontId="38" fillId="0" borderId="1" xfId="2" applyFont="1" applyBorder="1"/>
    <xf numFmtId="49" fontId="4" fillId="0" borderId="6" xfId="0" applyNumberFormat="1" applyFont="1" applyBorder="1" applyAlignment="1">
      <alignment horizontal="center"/>
    </xf>
    <xf numFmtId="0" fontId="0" fillId="0" borderId="6" xfId="0" applyBorder="1"/>
    <xf numFmtId="165" fontId="0" fillId="0" borderId="6" xfId="0" applyNumberFormat="1" applyBorder="1"/>
    <xf numFmtId="49" fontId="9" fillId="0" borderId="20" xfId="0" applyNumberFormat="1" applyFont="1" applyBorder="1" applyAlignment="1">
      <alignment horizontal="center"/>
    </xf>
    <xf numFmtId="0" fontId="32" fillId="5" borderId="0" xfId="0" applyFont="1" applyFill="1" applyAlignment="1">
      <alignment horizontal="right" wrapText="1"/>
    </xf>
    <xf numFmtId="49" fontId="9" fillId="0" borderId="6" xfId="0" applyNumberFormat="1" applyFont="1" applyBorder="1"/>
    <xf numFmtId="165" fontId="9" fillId="0" borderId="4" xfId="0" applyNumberFormat="1" applyFont="1" applyBorder="1"/>
    <xf numFmtId="165" fontId="0" fillId="0" borderId="4" xfId="1" applyNumberFormat="1" applyFont="1" applyBorder="1"/>
    <xf numFmtId="49" fontId="9" fillId="0" borderId="4" xfId="0" applyNumberFormat="1" applyFont="1" applyBorder="1" applyAlignment="1">
      <alignment horizontal="right"/>
    </xf>
    <xf numFmtId="14" fontId="9" fillId="0" borderId="4" xfId="0" applyNumberFormat="1" applyFont="1" applyBorder="1" applyAlignment="1">
      <alignment horizontal="center"/>
    </xf>
    <xf numFmtId="49" fontId="0" fillId="0" borderId="8" xfId="0" applyNumberFormat="1" applyBorder="1" applyAlignment="1">
      <alignment wrapText="1"/>
    </xf>
    <xf numFmtId="49" fontId="0" fillId="0" borderId="21" xfId="0" applyNumberFormat="1" applyBorder="1"/>
    <xf numFmtId="14" fontId="0" fillId="0" borderId="20" xfId="0" applyNumberFormat="1" applyBorder="1"/>
    <xf numFmtId="0" fontId="38" fillId="0" borderId="0" xfId="0" applyFont="1"/>
    <xf numFmtId="14" fontId="38" fillId="0" borderId="0" xfId="0" applyNumberFormat="1" applyFont="1"/>
    <xf numFmtId="49" fontId="4" fillId="0" borderId="1" xfId="0" applyNumberFormat="1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171" fontId="7" fillId="0" borderId="0" xfId="2" applyNumberFormat="1" applyAlignment="1">
      <alignment horizontal="left"/>
    </xf>
    <xf numFmtId="165" fontId="0" fillId="0" borderId="11" xfId="1" applyNumberFormat="1" applyFont="1" applyBorder="1"/>
    <xf numFmtId="165" fontId="0" fillId="0" borderId="10" xfId="1" applyNumberFormat="1" applyFont="1" applyBorder="1"/>
    <xf numFmtId="0" fontId="0" fillId="0" borderId="3" xfId="0" applyBorder="1" applyAlignment="1">
      <alignment horizontal="center"/>
    </xf>
    <xf numFmtId="49" fontId="37" fillId="0" borderId="1" xfId="0" applyNumberFormat="1" applyFont="1" applyBorder="1" applyAlignment="1">
      <alignment horizontal="right"/>
    </xf>
    <xf numFmtId="0" fontId="44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44" fontId="0" fillId="0" borderId="0" xfId="1" applyFont="1"/>
    <xf numFmtId="0" fontId="17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44" fontId="10" fillId="0" borderId="0" xfId="1" applyFont="1" applyAlignment="1">
      <alignment horizontal="center" vertical="center" wrapText="1"/>
    </xf>
    <xf numFmtId="44" fontId="0" fillId="6" borderId="0" xfId="1" applyFont="1" applyFill="1" applyAlignment="1">
      <alignment horizontal="center" vertical="center" wrapText="1"/>
    </xf>
    <xf numFmtId="169" fontId="8" fillId="0" borderId="0" xfId="0" applyNumberFormat="1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NumberFormat="1"/>
  </cellXfs>
  <cellStyles count="3">
    <cellStyle name="Collegamento ipertestuale" xfId="2" builtinId="8"/>
    <cellStyle name="Normale" xfId="0" builtinId="0"/>
    <cellStyle name="Valuta" xfId="1" builtinId="4"/>
  </cellStyles>
  <dxfs count="175">
    <dxf>
      <numFmt numFmtId="165" formatCode="_-[$€-2]\ * #,##0.00_-;\-[$€-2]\ * #,##0.00_-;_-[$€-2]\ * &quot;-&quot;??_-;_-@_-"/>
    </dxf>
    <dxf>
      <numFmt numFmtId="19" formatCode="dd/mm/yyyy"/>
    </dxf>
    <dxf>
      <numFmt numFmtId="165" formatCode="_-[$€-2]\ * #,##0.00_-;\-[$€-2]\ * #,##0.00_-;_-[$€-2]\ * &quot;-&quot;??_-;_-@_-"/>
    </dxf>
    <dxf>
      <numFmt numFmtId="19" formatCode="dd/mm/yyyy"/>
    </dxf>
    <dxf>
      <numFmt numFmtId="19" formatCode="dd/mm/yyyy"/>
    </dxf>
    <dxf>
      <numFmt numFmtId="0" formatCode="General"/>
    </dxf>
    <dxf>
      <numFmt numFmtId="165" formatCode="_-[$€-2]\ * #,##0.00_-;\-[$€-2]\ * #,##0.00_-;_-[$€-2]\ * &quot;-&quot;??_-;_-@_-"/>
    </dxf>
    <dxf>
      <numFmt numFmtId="19" formatCode="dd/mm/yyyy"/>
    </dxf>
    <dxf>
      <numFmt numFmtId="0" formatCode="General"/>
    </dxf>
    <dxf>
      <numFmt numFmtId="0" formatCode="General"/>
    </dxf>
    <dxf>
      <numFmt numFmtId="165" formatCode="_-[$€-2]\ * #,##0.00_-;\-[$€-2]\ * #,##0.00_-;_-[$€-2]\ * &quot;-&quot;??_-;_-@_-"/>
    </dxf>
    <dxf>
      <numFmt numFmtId="0" formatCode="General"/>
    </dxf>
    <dxf>
      <numFmt numFmtId="19" formatCode="dd/mm/yyyy"/>
    </dxf>
    <dxf>
      <numFmt numFmtId="19" formatCode="dd/mm/yyyy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19" formatCode="dd/mm/yyyy"/>
    </dxf>
    <dxf>
      <numFmt numFmtId="165" formatCode="_-[$€-2]\ * #,##0.00_-;\-[$€-2]\ * #,##0.00_-;_-[$€-2]\ * &quot;-&quot;??_-;_-@_-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_-* #,##0.00\ [$€-410]_-;\-* #,##0.00\ [$€-410]_-;_-* &quot;-&quot;??\ [$€-410]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9" formatCode="dd/mm/yyyy"/>
    </dxf>
    <dxf>
      <numFmt numFmtId="19" formatCode="dd/mm/yyyy"/>
    </dxf>
    <dxf>
      <font>
        <b/>
        <color rgb="FFC0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C00000"/>
      </font>
      <fill>
        <patternFill>
          <bgColor auto="1"/>
        </patternFill>
      </fill>
    </dxf>
    <dxf>
      <font>
        <b/>
        <color rgb="FF00B050"/>
      </font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/>
        <color rgb="FF00B050"/>
      </font>
    </dxf>
    <dxf>
      <font>
        <b/>
        <color rgb="FFFF0000"/>
      </font>
    </dxf>
    <dxf>
      <font>
        <color theme="0"/>
      </font>
    </dxf>
    <dxf>
      <font>
        <b/>
        <u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theme="9"/>
      </font>
      <fill>
        <patternFill>
          <bgColor theme="9"/>
        </patternFill>
      </fill>
      <border>
        <left/>
        <right/>
        <top/>
        <bottom/>
        <vertical/>
        <horizontal/>
      </border>
    </dxf>
    <dxf>
      <font>
        <b/>
        <u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C00000"/>
      </font>
    </dxf>
    <dxf>
      <font>
        <b/>
        <color rgb="FFC0000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00B050"/>
      </font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</dxf>
    <dxf>
      <font>
        <b/>
        <color rgb="FF00B05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FF000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00B050"/>
      </font>
    </dxf>
    <dxf>
      <font>
        <b/>
        <color rgb="FFC00000"/>
      </font>
      <fill>
        <patternFill>
          <bgColor auto="1"/>
        </patternFill>
      </fill>
    </dxf>
    <dxf>
      <font>
        <b/>
        <color rgb="FF00B050"/>
      </font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C9"/>
        </patternFill>
      </fill>
    </dxf>
    <dxf>
      <font>
        <b/>
        <color rgb="FFC00000"/>
      </font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alignment horizontal="right" vertical="bottom"/>
    </dxf>
    <dxf>
      <numFmt numFmtId="4" formatCode="#,##0.00"/>
      <alignment horizontal="right" vertical="bottom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strike val="0"/>
        <condense val="0"/>
        <extend val="0"/>
        <outline val="0"/>
        <shadow val="0"/>
        <vertAlign val="baseline"/>
        <sz val="20"/>
        <color theme="1"/>
        <name val="Calibri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numFmt numFmtId="164" formatCode="_-* #,##0.00\ [$€-410]_-;\-* #,##0.00\ [$€-410]_-;_-* &quot;-&quot;??\ [$€-410]_-;_-@_-"/>
    </dxf>
    <dxf>
      <numFmt numFmtId="19" formatCode="dd/mm/yyyy"/>
      <alignment horizontal="left" vertical="bottom"/>
    </dxf>
    <dxf>
      <numFmt numFmtId="30" formatCode="@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9" formatCode="dd/mm/yyyy"/>
    </dxf>
    <dxf>
      <numFmt numFmtId="19" formatCode="dd/mm/yyyy"/>
    </dxf>
    <dxf>
      <font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-[$€-2]\ * #,##0.00_-;\-[$€-2]\ * #,##0.00_-;_-[$€-2]\ * &quot;-&quot;??_-;_-@_-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outline="0">
        <right style="thin">
          <color indexed="64"/>
        </right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5" formatCode="_-[$€-2]\ * #,##0.00_-;\-[$€-2]\ * #,##0.00_-;_-[$€-2]\ * &quot;-&quot;??_-;_-@_-"/>
      <fill>
        <patternFill patternType="none"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outline val="0"/>
        <shadow val="0"/>
        <vertAlign val="baseline"/>
        <sz val="1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outline val="0"/>
        <shadow val="0"/>
        <vertAlign val="baseline"/>
        <sz val="11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41462</xdr:rowOff>
    </xdr:from>
    <xdr:to>
      <xdr:col>8</xdr:col>
      <xdr:colOff>627590</xdr:colOff>
      <xdr:row>50</xdr:row>
      <xdr:rowOff>176180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3962"/>
          <a:ext cx="8457140" cy="7278468"/>
        </a:xfrm>
        <a:prstGeom prst="rect">
          <a:avLst/>
        </a:prstGeom>
        <a:ln>
          <a:prstDash val="solid"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fficio" refreshedDate="46087.573718402775" createdVersion="8" refreshedVersion="8" minRefreshableVersion="3" recordCount="191" xr:uid="{00000000-000A-0000-FFFF-FFFF2C000000}">
  <cacheSource type="worksheet">
    <worksheetSource ref="A1:D1048576" sheet="DATABASE_SCHEDULAZIONE"/>
  </cacheSource>
  <cacheFields count="4">
    <cacheField name="Mese" numFmtId="0">
      <sharedItems containsDate="1" containsBlank="1" containsMixedTypes="1" minDate="2025-09-30T00:00:00" maxDate="2026-08-31T00:00:00"/>
    </cacheField>
    <cacheField name="Beneficiario" numFmtId="0">
      <sharedItems containsBlank="1" count="81">
        <s v="Almici"/>
        <s v="Andrea Losa"/>
        <s v="Anselmo"/>
        <s v="anticipo fatture bcc"/>
        <s v="anticipo fatture bps"/>
        <s v="Appartamento finale"/>
        <s v="Armici"/>
        <s v="Artes"/>
        <s v="assolari assegno"/>
        <s v="Bellini associati"/>
        <s v="Belloli attilio"/>
        <s v="Bergamelli"/>
        <s v="Bigaglia"/>
        <s v="Bordogni"/>
        <s v="Borgia"/>
        <s v="Bosio commerciale"/>
        <s v="brembilla"/>
        <s v="Casali"/>
        <s v="Cavallini&amp;Partners"/>
        <s v="Cofidis"/>
        <s v="Cucchi"/>
        <s v="Culligan"/>
        <s v="Delprino"/>
        <s v="Duferco"/>
        <s v="Ecoberg"/>
        <s v="Ecotaurus"/>
        <s v="Edilcassa"/>
        <s v="Edilcommercio"/>
        <s v="edilcommercio cambiale"/>
        <s v="Edilnova"/>
        <s v="Energy Evolution"/>
        <s v="F24 mail 27/06"/>
        <s v="Facchin"/>
        <s v="finanziamento bper"/>
        <s v="finanziamento bps"/>
        <s v="fornoni marmi"/>
        <s v="fratelli testa"/>
        <s v="Geom. Imberti Daniele"/>
        <s v="GMG"/>
        <s v="GMV"/>
        <s v="Gypsum"/>
        <s v="Interessi e liquididazioni"/>
        <s v="Intesa Home"/>
        <s v="Kuwait RID"/>
        <s v="Lanfranchi carrelli"/>
        <s v="Leaders"/>
        <s v="LuceIn"/>
        <s v="Madaschi"/>
        <s v="Met energia"/>
        <s v="Mutuo bper"/>
        <s v="Mutuo BPM"/>
        <s v="Mutuo BPS"/>
        <s v="Mutuo Brembilla"/>
        <s v="Mutuo Intesa"/>
        <s v="negozio finale "/>
        <s v="Olimpia energia"/>
        <s v="Pedretti"/>
        <s v="Perani"/>
        <s v="PR Cortinovis"/>
        <s v="PR Pesce"/>
        <s v="Punto Gru"/>
        <s v="RBP"/>
        <s v="riba salvetti"/>
        <s v="Rimborso finanziamento Ilaria"/>
        <s v="salvetti"/>
        <s v="Sessantini"/>
        <s v="Spettanze Ilaria e Kri"/>
        <s v="Stipendi dipendenti"/>
        <s v="Stipendio Priori"/>
        <s v="Tappezzeria Moroni"/>
        <s v="Techind"/>
        <s v="Termoidraulica"/>
        <s v="Top Coperture"/>
        <s v="Uniacque"/>
        <s v="Verisure RID"/>
        <s v="Versamento Ilaria"/>
        <s v="Viacard SEPA"/>
        <s v="Wuerth"/>
        <s v="Wix sito edilvertova"/>
        <m/>
        <s v="Kristian ft 5" u="1"/>
      </sharedItems>
    </cacheField>
    <cacheField name="Importo €" numFmtId="164">
      <sharedItems containsString="0" containsBlank="1" containsNumber="1" minValue="36.6" maxValue="240000"/>
    </cacheField>
    <cacheField name="E/U" numFmtId="0">
      <sharedItems containsBlank="1" count="4">
        <s v="U"/>
        <s v="E"/>
        <s v="CONTESTA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fficio" refreshedDate="46087.573718634259" createdVersion="8" refreshedVersion="8" minRefreshableVersion="3" recordCount="534" xr:uid="{00000000-000A-0000-FFFF-FFFF59000000}">
  <cacheSource type="worksheet">
    <worksheetSource name="Tbl_Cashflow"/>
  </cacheSource>
  <cacheFields count="17">
    <cacheField name="Mese" numFmtId="49">
      <sharedItems containsBlank="1" count="28">
        <s v="SALDI INIZIALI"/>
        <s v="TOTALE SEPTEMBER 2025"/>
        <s v="September 2025"/>
        <m/>
        <s v="TOTALE OCTOBER 2025"/>
        <s v="October 2025"/>
        <s v="GIROCONTO"/>
        <s v="FINANZIAMENTO"/>
        <s v="TOTALE NOVEMBER 2025"/>
        <s v="November 2025"/>
        <s v="TOTALE DECEMBER 2025"/>
        <s v="December 2025"/>
        <s v="TOTALE JANUARY 2026"/>
        <s v="January 2026"/>
        <s v="February 2026"/>
        <s v="TOTALE FEBRUARY 2026"/>
        <s v="TOTALE MARCH 2026"/>
        <s v="March 2026"/>
        <s v="TOTALE APRIL 2026"/>
        <s v="April 2026"/>
        <s v="TOTALE MAY 2026"/>
        <s v="May 2026"/>
        <s v="TOTALE JUNE 2026"/>
        <s v="June 2026"/>
        <s v="TOTALE JULY 2026"/>
        <s v="July 2026"/>
        <s v="TOTALE A DEFINIRE"/>
        <s v="Da definire"/>
      </sharedItems>
    </cacheField>
    <cacheField name="Giorno" numFmtId="14">
      <sharedItems containsDate="1" containsBlank="1" containsMixedTypes="1" minDate="2025-01-07T00:00:00" maxDate="2026-10-15T00:00:00" count="129">
        <m/>
        <d v="2025-09-30T00:00:00"/>
        <d v="2025-10-01T00:00:00"/>
        <d v="2025-10-02T00:00:00"/>
        <d v="2025-10-09T00:00:00"/>
        <d v="2025-10-03T00:00:00"/>
        <d v="2025-10-06T00:00:00"/>
        <s v="06/10"/>
        <d v="2025-10-08T00:00:00"/>
        <d v="2025-10-10T00:00:00"/>
        <d v="2025-10-13T00:00:00"/>
        <d v="2025-10-15T00:00:00"/>
        <d v="2025-10-17T00:00:00"/>
        <d v="2025-10-20T00:00:00"/>
        <d v="2025-10-16T00:00:00"/>
        <s v="30/10"/>
        <d v="2025-10-21T00:00:00"/>
        <d v="2025-10-22T00:00:00"/>
        <d v="2025-10-27T00:00:00"/>
        <d v="2025-10-23T00:00:00"/>
        <d v="2025-10-29T00:00:00"/>
        <d v="2025-10-31T00:00:00"/>
        <s v="01/11"/>
        <d v="2025-11-04T00:00:00"/>
        <d v="2025-11-03T00:00:00"/>
        <d v="2025-11-05T00:00:00"/>
        <d v="2025-11-06T00:00:00"/>
        <d v="2025-11-07T00:00:00"/>
        <d v="2025-11-10T00:00:00"/>
        <s v="30/11"/>
        <d v="2025-11-01T00:00:00"/>
        <d v="2025-11-11T00:00:00"/>
        <d v="2025-11-13T00:00:00"/>
        <d v="2025-11-18T00:00:00"/>
        <d v="2025-11-14T00:00:00"/>
        <s v="10/11"/>
        <d v="2025-11-17T00:00:00"/>
        <d v="2025-11-20T00:00:00"/>
        <d v="2025-11-21T00:00:00"/>
        <d v="2025-11-30T00:00:00"/>
        <d v="2025-11-24T00:00:00"/>
        <d v="2025-11-25T00:00:00"/>
        <d v="2025-11-27T00:00:00"/>
        <d v="2025-11-26T00:00:00"/>
        <d v="2025-11-28T00:00:00"/>
        <s v="01/12"/>
        <s v="30/12"/>
        <d v="2025-12-01T00:00:00"/>
        <d v="2025-12-05T00:00:00"/>
        <d v="2025-12-07T00:00:00"/>
        <d v="2025-12-09T00:00:00"/>
        <d v="2025-12-10T00:00:00"/>
        <d v="2025-12-11T00:00:00"/>
        <d v="2025-12-15T00:00:00"/>
        <d v="2025-12-25T00:00:00"/>
        <d v="2025-12-16T00:00:00"/>
        <d v="2025-12-18T00:00:00"/>
        <d v="2025-12-22T00:00:00"/>
        <d v="2025-12-23T00:00:00"/>
        <d v="2025-12-24T00:00:00"/>
        <d v="2025-12-29T00:00:00"/>
        <d v="2025-12-28T00:00:00"/>
        <d v="2025-12-31T00:00:00"/>
        <d v="2025-12-30T00:00:00"/>
        <d v="2026-01-02T00:00:00"/>
        <d v="2026-01-01T00:00:00"/>
        <d v="2026-01-05T00:00:00"/>
        <s v="01/01"/>
        <d v="2025-01-07T00:00:00"/>
        <d v="2026-01-09T00:00:00"/>
        <d v="2026-01-07T00:00:00"/>
        <d v="2026-01-10T00:00:00"/>
        <d v="2026-10-14T00:00:00"/>
        <d v="2025-01-13T00:00:00"/>
        <d v="2026-01-14T00:00:00"/>
        <d v="2026-01-19T00:00:00"/>
        <d v="2026-01-15T00:00:00"/>
        <d v="2026-01-30T00:00:00"/>
        <d v="2025-01-30T00:00:00"/>
        <d v="2026-01-26T00:00:00"/>
        <d v="2026-01-20T00:00:00"/>
        <d v="2026-01-23T00:00:00"/>
        <d v="2026-01-27T00:00:00"/>
        <d v="2026-01-29T00:00:00"/>
        <s v="30/01"/>
        <d v="2025-01-31T00:00:00"/>
        <s v="01/02"/>
        <s v="28/02"/>
        <d v="2026-02-02T00:00:00"/>
        <d v="2026-02-04T00:00:00"/>
        <d v="2026-02-05T00:00:00"/>
        <d v="2026-02-07T00:00:00"/>
        <d v="2026-02-13T00:00:00"/>
        <d v="2026-02-28T00:00:00"/>
        <s v="15/02"/>
        <d v="2026-02-10T00:00:00"/>
        <s v="01/03"/>
        <d v="2026-03-30T00:00:00"/>
        <d v="2026-03-10T00:00:00"/>
        <s v="15/03"/>
        <s v="28/03"/>
        <d v="2025-03-31T00:00:00"/>
        <d v="2025-03-30T00:00:00"/>
        <s v="30/03"/>
        <d v="2026-03-15T00:00:00"/>
        <s v="06/04"/>
        <d v="2026-04-10T00:00:00"/>
        <s v="15/04"/>
        <d v="2025-04-30T00:00:00"/>
        <s v="28/04"/>
        <s v="15/05"/>
        <d v="2026-05-30T00:00:00"/>
        <s v="28/05"/>
        <s v="15/06"/>
        <s v="28/06"/>
        <s v="30/06"/>
        <d v="2026-07-15T00:00:00"/>
        <s v="?"/>
        <d v="2025-01-10T00:00:00" u="1"/>
        <d v="2025-02-10T00:00:00" u="1"/>
        <d v="2025-02-28T00:00:00" u="1"/>
        <d v="2025-03-10T00:00:00" u="1"/>
        <s v="15/01" u="1"/>
        <s v="06/02" u="1"/>
        <s v="06/03" u="1"/>
        <s v="06/05" u="1"/>
        <s v="06/06" u="1"/>
        <s v="06/01" u="1"/>
        <d v="2025-12-06T00:00:00" u="1"/>
      </sharedItems>
    </cacheField>
    <cacheField name="Beneficiario" numFmtId="0">
      <sharedItems containsBlank="1" count="186">
        <s v="Al 29/09/2025"/>
        <m/>
        <s v="Mutuo BPM"/>
        <s v="Mutuo Intesa"/>
        <s v="Viacard SEPA"/>
        <s v="Salvetti srl"/>
        <s v="saldo (entrate-uscite)"/>
        <s v="Mutuo BPS"/>
        <s v="Interessi e liquididazioni"/>
        <s v="DA BPER A BPM"/>
        <s v="DA SONDRIO A BPM"/>
        <s v="Stipendi dipendenti"/>
        <s v="Interessi trimestrali BPM"/>
        <s v="GHILARDINI ILARIA"/>
        <s v="Verisure RID"/>
        <s v="anticipo fatture bps"/>
        <s v="anticipo fatture bcc"/>
        <s v="KUWAIT PETROLEUM ITALIA SPA"/>
        <s v="Mutuo Brembilla"/>
        <s v="Assicurazione Arca"/>
        <s v="finanziamento bper"/>
        <s v="DA SONDRIO A BCC"/>
        <s v="DA BPER A BCC"/>
        <s v="DA BPS A INTESA"/>
        <s v="CARTA BPM 5396"/>
        <s v="Edilcommercio srl"/>
        <s v="Geom. Imberti Daniele"/>
        <s v="Costruzioni Edili Almici"/>
        <s v="Borgia Box"/>
        <s v="Borgia Box - FT 19"/>
        <s v="Energy Evolution"/>
        <s v="finanziamento bps"/>
        <s v="Viemme Porte srl"/>
        <s v="Verti assicurazione clio"/>
        <s v="G.M.V. IMPIANTI ELETTRICI SNC"/>
        <s v="Edilscavi di Damiano Perani"/>
        <s v="leaders srl"/>
        <s v="fornoni marmi"/>
        <s v="Pedretti s.r.l."/>
        <s v="Bosio Commerciale srl"/>
        <s v="Tappezziere Moroni"/>
        <s v="Cofidis"/>
        <s v="Bordogni Fabio"/>
        <s v="Luce in srl"/>
        <s v="Ecoberg srl"/>
        <s v="fratelli testa assegno"/>
        <s v="Home in evolution"/>
        <s v="Punto Gru"/>
        <s v="Gypsum"/>
        <s v="FRATELLI BAGGI SRL"/>
        <s v="Bellini e associati"/>
        <s v="Edilcassa"/>
        <s v="Assicurazione Vittoria"/>
        <s v="Cortinovis Gianluigi"/>
        <s v="Madaschi"/>
        <s v="Techind"/>
        <s v="Facchin"/>
        <s v="Sessantini"/>
        <s v="F24 Colombini"/>
        <s v="Faro SX Dacia"/>
        <s v="Davide Mancusi"/>
        <s v="Assolari Domenico e C. snc"/>
        <s v="Interessi e commissioni"/>
        <s v="Cassa"/>
        <s v="Assicurazione RC AON"/>
        <s v="DA BCC A BPM"/>
        <s v="Appartamento finale"/>
        <s v="negozio finale "/>
        <s v="Provvigioni Gabetti negozio"/>
        <s v="Provvigioni Gabetti appartamento"/>
        <s v="I24 Inail"/>
        <s v="CARTA BCC *288"/>
        <s v="DELPRINO"/>
        <s v="Wuerth"/>
        <s v="PR Pesce"/>
        <s v="Duferco"/>
        <s v="DA SONDRIO A INTESA"/>
        <s v="Olimpia energia"/>
        <s v="ESTINZIONE MUTUO BREMBILLA"/>
        <s v="Sorisole:  FT22 DEL 07/10 Certificato pagamento 1"/>
        <s v="Culligan Italy srl"/>
        <s v="PAGOPA"/>
        <s v="Priori fabrizio"/>
        <s v="fratelli testa"/>
        <s v="CARTA BPS 7639"/>
        <s v="Artes s.r.l."/>
        <s v="Borgia Box - FT 28"/>
        <s v="Ecotaurus"/>
        <s v="TIM S.P.A."/>
        <s v="Mutuo bper"/>
        <s v="Sercar"/>
        <s v="Bollettino postale"/>
        <s v="CARTA BPS 7621"/>
        <s v="F24  INPS-INAIL"/>
        <s v="Intesa Home"/>
        <s v="ft 31 - Condominio Serena"/>
        <s v="Idraulica Marco Cattaneo"/>
        <s v="Markolor"/>
        <s v="Versamenti rateali AdE"/>
        <s v="Prean"/>
        <s v="Anselmo"/>
        <s v="DA BCC A INTESA"/>
        <s v="RBP SRL"/>
        <s v="FT 27 - Sirio"/>
        <s v="Assicurazione Genertel"/>
        <s v="Borgia Box - FT 29"/>
        <s v="Cenpi "/>
        <s v="Termoidraulica V.M"/>
        <s v="Euronics"/>
        <s v="Domiciliazioni varie"/>
        <s v="Ft 28 - Edilinvestimenti"/>
        <s v="CARTA BPM 0598"/>
        <s v="DA BPM A BPER"/>
        <s v="FCA BANK"/>
        <s v="Ft 23 - IMM SAVE"/>
        <s v="Ft 23 - Edilinvestimenti"/>
        <s v="La Piazzoni s.r.l."/>
        <s v="NSA SRL"/>
        <s v="Libreria Amministrativa s.a.s."/>
        <s v="P&amp;P LMC srl"/>
        <s v="Happily srl"/>
        <s v="Studio Giagnoni STP srl "/>
        <s v="Caseificio Paleni"/>
        <s v="FT 34 - Condominio Serena"/>
        <s v="DA BPER A INTESA"/>
        <s v="DA BPER A SONDRIO"/>
        <s v="Assegno ?"/>
        <s v="CARTA BCC *877"/>
        <s v="Olimpia s.r.l. Unipersonale"/>
        <s v="Myo spa"/>
        <s v="E.ON ENERGIA SPA"/>
        <s v="saldo ft 34 - Condominio Serena"/>
        <s v="Saldo ft 35 - Condominio Serena"/>
        <s v="brembilla"/>
        <s v="TFR GIOVANNI"/>
        <s v="EDILGEMA SRL"/>
        <s v="System project srl"/>
        <s v="DA BPER A BPS"/>
        <s v="Lalus Gestioni Immobiliari"/>
        <s v="IDRAULICO CATTANEO MARCO"/>
        <s v="TFR Priori"/>
        <s v="BELLOLI ATTILIO VERS. EDILVERTOVA SRL-COLOMBINI GAGLIOLO "/>
        <s v="ASSICURAZIONE BPM"/>
        <s v="I24"/>
        <s v="BELLOLI ATTILIO"/>
        <s v="DA BCC A BPS"/>
        <s v="Met Energia Italia Spa"/>
        <s v="Top Coperture srl"/>
        <s v="Moioli Valerio"/>
        <s v="Ruggipav sas di Trapletti Ruggero &amp;C."/>
        <s v="FAIP SRL"/>
        <s v="PC Genesi di Bosio Ferruccio"/>
        <s v="BUTTINONI FERRAMENTA SNC"/>
        <s v="Madaschi Giuseppe"/>
        <s v="F.lli Testa srl"/>
        <s v="Andrea Losa Giardini s.r.l."/>
        <s v="BIGAGLIA"/>
        <s v="F24 mail 27/06"/>
        <s v="Edilnova s.r.l."/>
        <s v="GMG CENTROEDILE"/>
        <s v="Wix sito edilvertova"/>
        <s v="Cavallini&amp;Partners"/>
        <s v="Uniacque spa"/>
        <s v="Bergamelli srl"/>
        <s v="Casali"/>
        <s v="Cucchi"/>
        <s v="Armici"/>
        <s v="Lanfranchi carrelli"/>
        <s v="Crediti fiscali"/>
        <s v="Immobiliare72"/>
        <s v="Imbersago"/>
        <s v="SGII"/>
        <s v="Duferco Energia Spa" u="1"/>
        <s v="LEADERS" u="1"/>
        <s v="Viemme porte" u="1"/>
        <s v="Borgia" u="1"/>
        <s v="Stipendio Priori" u="1"/>
        <s v="Stipendi" u="1"/>
        <s v="Stipendio Donati" u="1"/>
        <s v="Stipendio Lanfranchi" u="1"/>
        <s v="Stipendio Rodigari" u="1"/>
        <s v="Stipendio Bacis" u="1"/>
        <s v="Priori stipendio" u="1"/>
        <s v="RINALDI KRISTIAN" u="1"/>
        <s v="Kuwait RID" u="1"/>
        <s v="TIM" u="1"/>
      </sharedItems>
    </cacheField>
    <cacheField name="Importo €" numFmtId="0">
      <sharedItems containsString="0" containsBlank="1" containsNumber="1" minValue="-203028.41666666669" maxValue="1018233.34"/>
    </cacheField>
    <cacheField name="E/U" numFmtId="0">
      <sharedItems containsBlank="1" count="3">
        <m/>
        <s v="U"/>
        <s v="E"/>
      </sharedItems>
    </cacheField>
    <cacheField name="CONFERMATO?" numFmtId="0">
      <sharedItems containsBlank="1" count="4">
        <m/>
        <s v="X"/>
        <s v="ENTRATE PREVISTE"/>
        <s v="P"/>
      </sharedItems>
    </cacheField>
    <cacheField name="Conto" numFmtId="0">
      <sharedItems containsBlank="1" containsMixedTypes="1" containsNumber="1" minValue="0" maxValue="1140000" count="22">
        <s v="Tutti i conti"/>
        <s v="Riepilogo mese"/>
        <s v="BPM"/>
        <s v="INTESA"/>
        <s v="SONDRIO"/>
        <s v="BCC"/>
        <n v="0"/>
        <s v="BPER"/>
        <n v="709380.55"/>
        <n v="72698.13"/>
        <s v="CASSA"/>
        <n v="204384.78"/>
        <m/>
        <n v="28156.18"/>
        <n v="250"/>
        <s v="VARIGOTTI"/>
        <n v="1140000"/>
        <n v="10156.18" u="1"/>
        <n v="3000" u="1"/>
        <n v="213038.13" u="1"/>
        <n v="198988.13" u="1"/>
        <n v="93552.3" u="1"/>
      </sharedItems>
    </cacheField>
    <cacheField name="BCC" numFmtId="0">
      <sharedItems containsBlank="1" containsMixedTypes="1" containsNumber="1" minValue="-49920" maxValue="100000"/>
    </cacheField>
    <cacheField name="INTESA" numFmtId="0">
      <sharedItems containsBlank="1" containsMixedTypes="1" containsNumber="1" minValue="-502.6" maxValue="1478937.0500000007"/>
    </cacheField>
    <cacheField name="BPM " numFmtId="0">
      <sharedItems containsBlank="1" containsMixedTypes="1" containsNumber="1" minValue="-4041.96" maxValue="5000"/>
    </cacheField>
    <cacheField name="SONDRIO " numFmtId="0">
      <sharedItems containsBlank="1" containsMixedTypes="1" containsNumber="1" minValue="-338937.05000000075" maxValue="257706.19"/>
    </cacheField>
    <cacheField name="BPER " numFmtId="0">
      <sharedItems containsBlank="1" containsMixedTypes="1" containsNumber="1" minValue="-100000" maxValue="147975"/>
    </cacheField>
    <cacheField name="CASSA" numFmtId="0">
      <sharedItems containsBlank="1" containsMixedTypes="1" containsNumber="1" containsInteger="1" minValue="0" maxValue="0"/>
    </cacheField>
    <cacheField name="Tot Saldo " numFmtId="0">
      <sharedItems containsBlank="1" containsMixedTypes="1" containsNumber="1" minValue="-114397.72166666665" maxValue="1020036.2899999999"/>
    </cacheField>
    <cacheField name="Colonna1" numFmtId="0">
      <sharedItems containsDate="1" containsBlank="1" containsMixedTypes="1" minDate="2025-12-01T00:00:00" maxDate="1900-01-05T00:51:04"/>
    </cacheField>
    <cacheField name="Colonna2" numFmtId="0">
      <sharedItems containsBlank="1" containsMixedTypes="1" containsNumber="1" minValue="-836916.70000000077" maxValue="271333.51"/>
    </cacheField>
    <cacheField name="Colonna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fficio" refreshedDate="46087.573718865744" createdVersion="8" refreshedVersion="8" minRefreshableVersion="3" recordCount="1000" xr:uid="{FD88E15D-F88B-4AC1-A9A5-8C65FB39FE7B}">
  <cacheSource type="worksheet">
    <worksheetSource ref="A1:N1001" sheet="MAIN"/>
  </cacheSource>
  <cacheFields count="14">
    <cacheField name="APPUNTI" numFmtId="0">
      <sharedItems containsBlank="1" containsMixedTypes="1" containsNumber="1" containsInteger="1" minValue="2023" maxValue="2024"/>
    </cacheField>
    <cacheField name="fornitore" numFmtId="0">
      <sharedItems containsBlank="1" count="252">
        <s v="ABACO SPA"/>
        <s v="AG. SERENA DI MARSEU SERENA &amp; C."/>
        <s v="Agostani srl con socio unico"/>
        <s v="Agriristorante Sant'Alessandro s.r.l."/>
        <s v="AK Informatica Tech srl"/>
        <s v="Al Garghet sas di Cipolla Emanuela  e C."/>
        <s v="albero group s.r.l."/>
        <s v="AMAZON BUSINNESS"/>
        <s v="Andrea Losa Giardini s.r.l."/>
        <s v="Anselmo s.r.l."/>
        <s v="Antonio Giannetta notaio"/>
        <s v="AON SPA"/>
        <s v="Armici Fabrizio"/>
        <s v="Artes s.r.l."/>
        <s v="Assolari Domenico e C. snc"/>
        <s v="autostrada pedemontane"/>
        <s v="autostrade per l'italia s.p.a."/>
        <s v="Autostrade per l'Italia spa"/>
        <s v="Avvocato Alberto Ferrari"/>
        <s v="Avvocato antonio giannetta"/>
        <s v="b.m. srl"/>
        <s v="Baccino Marco"/>
        <s v="baldi giovanni"/>
        <s v="Ballan spa"/>
        <s v="Banco BPM"/>
        <s v="banco bpm s.p.a."/>
        <s v="Barazzoni spa"/>
        <s v="BARCELLA ELETTROFORNITURE SPA"/>
        <s v="barcella elettroforniture spa unipersonale"/>
        <s v="bcc di milano"/>
        <s v="Bellini e associati"/>
        <s v="Belloli Attilio"/>
        <s v="Bergamelli srl"/>
        <s v="Bialetti Store srl"/>
        <s v="Bongiorno Antinfortunistica srl"/>
        <s v="Bordogni Fabio"/>
        <s v="Borgia Gabriele"/>
        <s v="Bosio Commerciale srl"/>
        <s v="BP33"/>
        <s v="BPER"/>
        <s v="bper banca s.p.a."/>
        <s v="Bricoman Italia s.r.l. società a socio unico "/>
        <s v="BUTTINNI FERRAMENTE SNC"/>
        <s v="BUTTINONI FERRAMENTA SNC"/>
        <s v="Buttinoni Giuseppe &amp; figli snc"/>
        <s v="C.M.M. Carpenteria metallica medici"/>
        <s v="Calcestruzzi spa"/>
        <s v="CAMERA DI COMMERCIO"/>
        <s v="CAMERA DI COMMERCIO "/>
        <s v="Camplone Mauro Massimo"/>
        <s v="canva pty ltd"/>
        <s v="Casali Nicola"/>
        <s v="CASEIFICIO FRATELLI PALENI"/>
        <s v="Cavallini dal Borgo &amp; Partners"/>
        <s v="Cenpi scrl"/>
        <s v="Center Casa"/>
        <s v="Centro edilizia"/>
        <s v="chef express s.p.a."/>
        <s v="Chiurlo srl"/>
        <s v="cofidis sa"/>
        <s v="comitato paritetico territoriale artigiano"/>
        <s v="COMUNE DI ALZANO"/>
        <s v="COMUNE DI BRESCIA"/>
        <s v="comune di gazzaniga"/>
        <s v="comune di rapallo"/>
        <s v="CONSIT MANGILI SIBELLA SRL"/>
        <s v="Convento di Neveri"/>
        <s v="Cornolti Posatori snc dei F.lli Cornolti"/>
        <s v="Cortinovis Gianluigi"/>
        <s v="Costruzioni Edili Almici"/>
        <s v="Cri.mer srl"/>
        <s v="Cucchi Peter"/>
        <s v="Culligan Italy srl"/>
        <s v="Da Leone di Costa Carlo"/>
        <s v="DELPRINO"/>
        <s v="DELPRINO MASSIMO"/>
        <s v="Delta srl"/>
        <s v="Deutschordensschwestern lana"/>
        <s v="Duferco Energia Spa"/>
        <s v="E.ON ENERGIA SPA"/>
        <s v="Ecoberg srl"/>
        <s v="Ecotaurus srl"/>
        <s v="edil karim s.n.c. di mohamed nefin mohamed mohamadi &amp; c."/>
        <s v="Edilcassa"/>
        <s v="Edilcommercio srl"/>
        <s v="EDILGEMA SRL"/>
        <s v="Edilnova s.r.l."/>
        <s v="edilscavi di damiano perani"/>
        <s v="Edilscavi s.r.l."/>
        <s v="Elettrauto Belotti Franco &amp; C. SNC"/>
        <s v="energy evolution"/>
        <s v="Espresso Toscano srl"/>
        <s v="Eureka led di Zhu miao"/>
        <s v="EURONICS ITALIA SPA"/>
        <s v="F.lli Testa srl"/>
        <s v="facchi srl"/>
        <s v="Facchin Gru "/>
        <s v="FAIP SRL"/>
        <s v="FENGHUANG"/>
        <s v="Ferramenta 2000 snc"/>
        <s v="Ferrari avv. Alberto"/>
        <s v="Fornoni marmi srl"/>
        <s v="FRATELLI BAGGI SRL"/>
        <s v="Fratelli Baggi srl "/>
        <s v="FRATELLI MAZZA "/>
        <s v="G.M.V. IMPIANTI ELETTRICI SNC"/>
        <s v="Geom. Imberti Daniele"/>
        <s v="GHILARDINI ILARIA"/>
        <s v="giordano vini s.p.a."/>
        <s v="GMG CENTROEDILE"/>
        <s v="Gruppo Carmeli spa"/>
        <s v="Gruppo Negozi srl"/>
        <s v="GS Rubiera srl"/>
        <s v="Gualeni Paolo"/>
        <s v="guffanti avv. Giulio Mario"/>
        <s v="Gypsum srl"/>
        <s v="Happily srl"/>
        <s v="Idras spa"/>
        <s v="IDRAULICO CATTANEO MARCO"/>
        <s v="Idria Ponteggi"/>
        <s v="Ikea italia"/>
        <s v="ikea italia retail srl"/>
        <s v="ilgema"/>
        <s v="imberti daniele"/>
        <s v="Incemento"/>
        <s v="InfoCamere S.C.p.A."/>
        <s v="Intesa Home"/>
        <s v="Intesa san paolo S.p.a."/>
        <s v="Intesa Sanpaolo S.p.a."/>
        <s v="iris mobili srl"/>
        <s v="JYSK Italia Srl "/>
        <s v="kuwait petroleum italia spa"/>
        <s v="l a  p i a z z o n i    s. r. l."/>
        <s v="La Piazzoni s.r.l."/>
        <s v="Lanfranchi Marco"/>
        <s v="Lanzi Florovivaistica"/>
        <s v="leaders srl"/>
        <s v="Leon d'oro di Paola Catrullo"/>
        <s v="Leroy Merlin"/>
        <s v="Libreria Amministrativa s.a.s."/>
        <s v="Locanda Rosa "/>
        <s v="Luce in srl"/>
        <m/>
        <s v="Madaschi Giuseppe"/>
        <s v="MAFFEIS CENTRO SERVIZI "/>
        <s v="Malto &amp; Luppolo Bar Liu snc di Ongaro F. &amp; C."/>
        <s v="Mancusi Davide Avvocato"/>
        <s v="manzoini christian avvocato"/>
        <s v="Markolor srl "/>
        <s v="Mazzoleni Rudy"/>
        <s v="Mazzucchelli Nadia"/>
        <s v="Mediamarket SPA"/>
        <s v="Merelli Annamaria"/>
        <s v="Met Energia Italia Spa"/>
        <s v="Metro Italia spa"/>
        <s v="MINISTERO DELLA GIUSTIZIA"/>
        <s v="Moioli Valerio"/>
        <s v="Mya srl"/>
        <s v="myo spa"/>
        <s v="Nagoya Curno srl"/>
        <s v="Newteam srl"/>
        <s v="Nodari Bruno"/>
        <s v="NSA SRL"/>
        <s v="oberti commerciale srl"/>
        <s v="Olimpia s.r.l. Unipersonale"/>
        <s v="Oltrevino di Antonio Lacerenza"/>
        <s v="Original Salads srl"/>
        <s v="P&amp;P LMC srl"/>
        <s v="P.F.A Sas"/>
        <s v="parcheggi italia spa"/>
        <s v="Parcheggi Italia spa "/>
        <s v="PC Genesi di Bosio Ferruccio"/>
        <s v="Pedretti s.r.l."/>
        <s v="per piu soluzioni srl"/>
        <s v="Per Più soluzioni srl"/>
        <s v="PESCE ROBERTO GEOM."/>
        <s v="Piccardi Maria "/>
        <s v="PICCARDI MARINA"/>
        <s v="pit stop revolution"/>
        <s v="Pixartprinting spa"/>
        <s v="Poggio Carlo"/>
        <s v="Poker di Grassi Danilo"/>
        <s v="Poma Mario srl"/>
        <s v="Prean srl"/>
        <s v="Project s.r.l."/>
        <s v="Punto gru di Romano Giuseppe"/>
        <s v="Raz snc di Razmasa Davide e Dario"/>
        <s v="RBP SRL"/>
        <s v="Register spa"/>
        <s v="Repower Vendita Italia"/>
        <s v="Residenza  Paradiso srl"/>
        <s v="Residenza Paradiso Srl"/>
        <s v="Rinaldi Giulia"/>
        <s v="Rinaldi Kristian"/>
        <s v="Ristorante pizzeria Centauri di Merelli Annamaria"/>
        <s v="Rocca Giuseppe"/>
        <s v="Rubinetteria Shop srl"/>
        <s v="ruggipav sas di trapletti ruggero &amp; c."/>
        <s v="S.E.A. s.r.l."/>
        <s v="Salvetti srl"/>
        <s v="sas immobiliare corallo"/>
        <s v="Ser car ristorazione collettiva spa"/>
        <s v="Ser car ristorazione collettiva spa "/>
        <s v="Service Precast srl"/>
        <s v="Sessantini Impianti srl"/>
        <s v="SKLUM"/>
        <s v="Solution srl"/>
        <s v="Spelgatti srl"/>
        <s v="Stella Home srl"/>
        <s v="Studio Giagnoni STP s.r.l."/>
        <s v="Studio Giagnoni STP srl"/>
        <s v="Studio Giagnoni STP srl "/>
        <s v="Studio Legale Belloli e Associati"/>
        <s v="Studio notarile associato Tucci Turconi"/>
        <s v="system project s.r.l."/>
        <s v="System project srl"/>
        <s v="Tappezziere Moroni"/>
        <s v="Taverna San Giorgio "/>
        <s v="Techind"/>
        <s v="telepass s.p.a."/>
        <s v="Telepass spa"/>
        <s v="Telepass spa "/>
        <s v="Termoidraulica V.M"/>
        <s v="tim  s.p.a."/>
        <s v="tim s.p.a."/>
        <s v="Tomasoni ing. Luigi"/>
        <s v="Tony s.r.l."/>
        <s v="Top Coperture srl"/>
        <s v="Trattoria la patta"/>
        <s v="Trattoria Parietti snc "/>
        <s v="Trentino mobilita spa"/>
        <s v="Tuttauto s.n.c. di Fornoni Giuseppe &amp; C."/>
        <s v="Ultrasonic srl"/>
        <s v="uniacque s.p.a."/>
        <s v="Uniacque spa"/>
        <s v="Unieuro spa "/>
        <s v="V.E.M. srl"/>
        <s v="Varg srl"/>
        <s v="verisure italy srl"/>
        <s v="Verti Assicurazioni "/>
        <s v="Viemme Porte srl"/>
        <s v="Vittoria Assicurazioni "/>
        <s v="WBX srl"/>
        <s v="WICASA SRL "/>
        <s v="Wuerth s.r.l."/>
        <s v="Zaninoni Packaging"/>
        <s v="Zanutta spa"/>
        <s v="Zenoni Maicol Alessandro"/>
        <s v="edilkarim snc" u="1"/>
        <s v="Ruggipav sas di Trapletti Ruggero &amp;C." u="1"/>
        <s v="BIGAGLIA" u="1"/>
        <s v="ENERGY EVOLUTION  " u="1"/>
      </sharedItems>
    </cacheField>
    <cacheField name="fattura nr" numFmtId="0">
      <sharedItems containsBlank="1" containsMixedTypes="1" containsNumber="1" containsInteger="1" minValue="1" maxValue="84530256903276"/>
    </cacheField>
    <cacheField name="del" numFmtId="14">
      <sharedItems containsDate="1" containsBlank="1" containsMixedTypes="1" minDate="2020-06-18T00:00:00" maxDate="2026-03-03T00:00:00"/>
    </cacheField>
    <cacheField name="Scadenza" numFmtId="14">
      <sharedItems containsDate="1" containsBlank="1" containsMixedTypes="1" minDate="2023-11-10T00:00:00" maxDate="2026-07-21T00:00:00"/>
    </cacheField>
    <cacheField name="Sdo" numFmtId="0">
      <sharedItems containsBlank="1" count="3">
        <s v="x"/>
        <m/>
        <s v="C"/>
      </sharedItems>
    </cacheField>
    <cacheField name="Importo" numFmtId="165">
      <sharedItems containsSemiMixedTypes="0" containsString="0" containsNumber="1" minValue="-19358.72" maxValue="80000" count="741">
        <n v="698.1"/>
        <n v="40"/>
        <n v="85"/>
        <n v="240"/>
        <n v="80"/>
        <n v="108"/>
        <n v="104.8"/>
        <n v="189.99"/>
        <n v="22.89"/>
        <n v="679.1"/>
        <n v="141.44999999999999"/>
        <n v="58"/>
        <n v="1390.8"/>
        <n v="1633.83"/>
        <n v="2192.42"/>
        <n v="447.6"/>
        <n v="2690"/>
        <n v="602"/>
        <n v="-602"/>
        <n v="1000"/>
        <n v="2579.42"/>
        <n v="94.71"/>
        <n v="219.6"/>
        <n v="32.21"/>
        <n v="977.42"/>
        <n v="5049.7299999999996"/>
        <n v="1288.3399999999999"/>
        <n v="231.8"/>
        <n v="4933.58"/>
        <n v="3655.96"/>
        <n v="629.75"/>
        <n v="-542.22"/>
        <n v="1923.2"/>
        <n v="2859.9"/>
        <n v="1244.74"/>
        <n v="567.29999999999995"/>
        <n v="13.42"/>
        <n v="5.27"/>
        <n v="251.38"/>
        <n v="274.39999999999998"/>
        <n v="333.48"/>
        <n v="244.6"/>
        <n v="180.66"/>
        <n v="247.8"/>
        <n v="400.85"/>
        <n v="211.2"/>
        <n v="390.35"/>
        <n v="267.16000000000003"/>
        <n v="229.8"/>
        <n v="116.4"/>
        <n v="181.1"/>
        <n v="111.9"/>
        <n v="737.47"/>
        <n v="4100"/>
        <n v="180"/>
        <n v="991"/>
        <n v="1330.36"/>
        <n v="12801.52"/>
        <n v="80.52"/>
        <n v="218.16"/>
        <n v="51.2"/>
        <n v="102.46"/>
        <n v="0.61"/>
        <n v="1869.6399999999999"/>
        <n v="720"/>
        <n v="859.92"/>
        <n v="160"/>
        <n v="1140.08"/>
        <n v="212.13"/>
        <n v="2000"/>
        <n v="372.13"/>
        <n v="693.68"/>
        <n v="380.19"/>
        <n v="230"/>
        <n v="184"/>
        <n v="1282.19"/>
        <n v="197.8"/>
        <n v="227.3"/>
        <n v="262.19"/>
        <n v="5955.05"/>
        <n v="5001.26"/>
        <n v="7362.68"/>
        <n v="31681.01"/>
        <n v="643.05999999999995"/>
        <n v="1381.35"/>
        <n v="111"/>
        <n v="2363.5300000000002"/>
        <n v="314.64"/>
        <n v="217.4"/>
        <n v="233.02"/>
        <n v="142.74"/>
        <n v="126.88"/>
        <n v="220.82"/>
        <n v="68.319999999999993"/>
        <n v="395.25"/>
        <n v="-126.88"/>
        <n v="10000"/>
        <n v="5000"/>
        <n v="10008"/>
        <n v="30000"/>
        <n v="2685.5"/>
        <n v="2906.35"/>
        <n v="1453.1699999999996"/>
        <n v="2963.54"/>
        <n v="2857.54"/>
        <n v="1297.54"/>
        <n v="-415.46"/>
        <n v="5276.37"/>
        <n v="6008.44"/>
        <n v="5345.42"/>
        <n v="8.5399999999999991"/>
        <n v="127.8"/>
        <n v="31.99"/>
        <n v="92.92"/>
        <n v="218.72"/>
        <n v="4.7"/>
        <n v="21.2"/>
        <n v="15.47"/>
        <n v="37.94"/>
        <n v="33.659999999999997"/>
        <n v="11.24"/>
        <n v="16925.38"/>
        <n v="11766.72"/>
        <n v="12667.41"/>
        <n v="1933.4"/>
        <n v="10.33"/>
        <n v="18"/>
        <n v="10"/>
        <n v="16"/>
        <n v="8.33"/>
        <n v="702.72"/>
        <n v="19.52"/>
        <n v="7481.6"/>
        <n v="3500"/>
        <n v="3981.6000000000004"/>
        <n v="458"/>
        <n v="3933.18"/>
        <n v="406.94"/>
        <n v="63.42"/>
        <n v="55.96"/>
        <n v="51.24"/>
        <n v="37.15"/>
        <n v="450.51"/>
        <n v="1230.1500000000001"/>
        <n v="37.86"/>
        <n v="225.75"/>
        <n v="265.18"/>
        <n v="37.49"/>
        <n v="-82.19"/>
        <n v="38.19"/>
        <n v="145.81"/>
        <n v="10.84"/>
        <n v="1354.5"/>
        <n v="78.08"/>
        <n v="176.5"/>
        <n v="35"/>
        <n v="29.4"/>
        <n v="60.9"/>
        <n v="1098"/>
        <n v="124"/>
        <n v="4998"/>
        <n v="1389.44"/>
        <n v="3206.4"/>
        <n v="1068.8"/>
        <n v="534.4"/>
        <n v="572.32000000000005"/>
        <n v="5344"/>
        <n v="2137.6"/>
        <n v="600"/>
        <n v="8100"/>
        <n v="1058"/>
        <n v="7139.52"/>
        <n v="3000"/>
        <n v="900"/>
        <n v="1600"/>
        <n v="-3000"/>
        <n v="36.659999999999997"/>
        <n v="111.58"/>
        <n v="26"/>
        <n v="39"/>
        <n v="52"/>
        <n v="63"/>
        <n v="13"/>
        <n v="78"/>
        <n v="-78"/>
        <n v="13109.849999999999"/>
        <n v="4000"/>
        <n v="2.8"/>
        <n v="272.72000000000003"/>
        <n v="301.44"/>
        <n v="32.04"/>
        <n v="400"/>
        <n v="48.78"/>
        <n v="77"/>
        <n v="81"/>
        <n v="638.42999999999995"/>
        <n v="489.71"/>
        <n v="573.77"/>
        <n v="1349.69"/>
        <n v="716.02"/>
        <n v="158.6"/>
        <n v="7200"/>
        <n v="6400"/>
        <n v="2757.9"/>
        <n v="1985.2"/>
        <n v="2014.8000000000002"/>
        <n v="56.489999999999782"/>
        <n v="2118.6400000000003"/>
        <n v="2433.0100000000002"/>
        <n v="2219.64"/>
        <n v="2458.96"/>
        <n v="1140"/>
        <n v="1423.22"/>
        <n v="1218.4000000000001"/>
        <n v="1644.89"/>
        <n v="1053.32"/>
        <n v="9901.9500000000007"/>
        <n v="2145.2099999999991"/>
        <n v="5655.13"/>
        <n v="1244.1300000000001"/>
        <n v="5104.53"/>
        <n v="4437.7700000000004"/>
        <n v="3065.47"/>
        <n v="2536.9899999999998"/>
        <n v="3395.75"/>
        <n v="469.6"/>
        <n v="103.30999999999995"/>
        <n v="24053.599999999999"/>
        <n v="8688.33"/>
        <n v="1340.39"/>
        <n v="2129.91"/>
        <n v="392.45"/>
        <n v="388.48"/>
        <n v="10148.11"/>
        <n v="659.76"/>
        <n v="42.55"/>
        <n v="137.69999999999999"/>
        <n v="339.44"/>
        <n v="1888.18"/>
        <n v="1064.95"/>
        <n v="1804.47"/>
        <n v="959.9"/>
        <n v="377.81"/>
        <n v="189.1"/>
        <n v="392.84"/>
        <n v="58090.98"/>
        <n v="7283.5"/>
        <n v="7000"/>
        <n v="11000"/>
        <n v="10000.000000000004"/>
        <n v="207.4"/>
        <n v="368.68"/>
        <n v="3885"/>
        <n v="115"/>
        <n v="2540"/>
        <n v="555"/>
        <n v="3387"/>
        <n v="5740"/>
        <n v="7265"/>
        <n v="48.5"/>
        <n v="88.72"/>
        <n v="2787"/>
        <n v="2098.7399999999998"/>
        <n v="-2098.7400000000016"/>
        <n v="16000"/>
        <n v="34596.83"/>
        <n v="761.89"/>
        <n v="-19358.72"/>
        <n v="7308.41"/>
        <n v="2930.44"/>
        <n v="2175.87"/>
        <n v="4688.1499999999996"/>
        <n v="4688.16"/>
        <n v="2737.38"/>
        <n v="2737.37"/>
        <n v="48000"/>
        <n v="3852.15"/>
        <n v="1175.78"/>
        <n v="1175.77"/>
        <n v="463.6"/>
        <n v="292.8"/>
        <n v="474.96"/>
        <n v="139.08000000000001"/>
        <n v="137.6"/>
        <n v="53.7"/>
        <n v="55.2"/>
        <n v="56.7"/>
        <n v="79.13"/>
        <n v="138"/>
        <n v="1100"/>
        <n v="844.92000000000007"/>
        <n v="513.34"/>
        <n v="331.46"/>
        <n v="20000"/>
        <n v="6000"/>
        <n v="109.56"/>
        <n v="80000"/>
        <n v="555.04"/>
        <n v="13700"/>
        <n v="3300"/>
        <n v="597.59"/>
        <n v="4500"/>
        <n v="92.2"/>
        <n v="3575"/>
        <n v="310"/>
        <n v="11.61"/>
        <n v="42.6"/>
        <n v="3459.2"/>
        <n v="640"/>
        <n v="196.24"/>
        <n v="36.72"/>
        <n v="1153.4000000000001"/>
        <n v="1812.44"/>
        <n v="1162.73"/>
        <n v="488"/>
        <n v="-8000"/>
        <n v="1858.75"/>
        <n v="9.69"/>
        <n v="2837"/>
        <n v="410"/>
        <n v="6599.76"/>
        <n v="530.65"/>
        <n v="229.15"/>
        <n v="122.4"/>
        <n v="183.45"/>
        <n v="557"/>
        <n v="7245.5"/>
        <n v="2162"/>
        <n v="84.18"/>
        <n v="1500"/>
        <n v="54.9"/>
        <n v="36.6"/>
        <n v="546.38"/>
        <n v="111.62"/>
        <n v="1110"/>
        <n v="300"/>
        <n v="749.62"/>
        <n v="121"/>
        <n v="1606.93"/>
        <n v="221.78"/>
        <n v="498.96"/>
        <n v="215.54"/>
        <n v="295.95"/>
        <n v="550.69000000000005"/>
        <n v="693.19"/>
        <n v="1206.6199999999999"/>
        <n v="916.36"/>
        <n v="749.5"/>
        <n v="729.96"/>
        <n v="828.84"/>
        <n v="846.19"/>
        <n v="615.79999999999995"/>
        <n v="568.62"/>
        <n v="942.34"/>
        <n v="579.76"/>
        <n v="738.19"/>
        <n v="1247.81"/>
        <n v="986.36"/>
        <n v="1157.67"/>
        <n v="748.7"/>
        <n v="662.09"/>
        <n v="620.88"/>
        <n v="328.43"/>
        <n v="758.4"/>
        <n v="741.56"/>
        <n v="415.6"/>
        <n v="764.62"/>
        <n v="560.03"/>
        <n v="672.99"/>
        <n v="883.87"/>
        <n v="561.80999999999995"/>
        <n v="427"/>
        <n v="854"/>
        <n v="329.4"/>
        <n v="77000"/>
        <n v="1281"/>
        <n v="-328.18"/>
        <n v="2745"/>
        <n v="11598.83"/>
        <n v="2598.6"/>
        <n v="1660.42"/>
        <n v="180.56"/>
        <n v="890.6"/>
        <n v="405.01"/>
        <n v="3669.1400000000003"/>
        <n v="4760.8599999999997"/>
        <n v="2087.4899999999998"/>
        <n v="2412.5100000000002"/>
        <n v="0"/>
        <n v="5559.07"/>
        <n v="5210.62"/>
        <n v="74"/>
        <n v="638.14"/>
        <n v="809.7"/>
        <n v="1216.9000000000001"/>
        <n v="119.88"/>
        <n v="157.35"/>
        <n v="65.95"/>
        <n v="91"/>
        <n v="121.53"/>
        <n v="355.82"/>
        <n v="39.89"/>
        <n v="51.33"/>
        <n v="150.01"/>
        <n v="114.68"/>
        <n v="26.5"/>
        <n v="24.5"/>
        <n v="25.5"/>
        <n v="7210.99"/>
        <n v="1837.86"/>
        <n v="3010.07"/>
        <n v="865.96"/>
        <n v="679.81999999999994"/>
        <n v="-3010.07"/>
        <n v="1236.1199999999999"/>
        <n v="563.63"/>
        <n v="2300.9"/>
        <n v="2409.5500000000002"/>
        <n v="10027.799999999999"/>
        <n v="110"/>
        <n v="59"/>
        <n v="2500"/>
        <n v="6145.6"/>
        <n v="187.31"/>
        <n v="3770.8"/>
        <n v="1734"/>
        <n v="204.48"/>
        <n v="39.99"/>
        <n v="304.98"/>
        <n v="1176.4100000000001"/>
        <n v="1270"/>
        <n v="1163.22"/>
        <n v="705.49"/>
        <n v="182.27"/>
        <n v="233.5"/>
        <n v="16.64"/>
        <n v="870"/>
        <n v="73.5"/>
        <n v="73.599999999999994"/>
        <n v="142.4"/>
        <n v="165.5"/>
        <n v="40.799999999999997"/>
        <n v="448.4"/>
        <n v="101.2"/>
        <n v="203.7"/>
        <n v="153.54"/>
        <n v="419.99"/>
        <n v="98.26"/>
        <n v="139.68"/>
        <n v="227.51"/>
        <n v="222.4"/>
        <n v="149.6"/>
        <n v="89"/>
        <n v="239"/>
        <n v="4980"/>
        <n v="2267"/>
        <n v="1067.5"/>
        <n v="668.56"/>
        <n v="123.33"/>
        <n v="127.55"/>
        <n v="64.180000000000007"/>
        <n v="62.38"/>
        <n v="285.48"/>
        <n v="60.46"/>
        <n v="141.63999999999999"/>
        <n v="60.74"/>
        <n v="195.83"/>
        <n v="61.67"/>
        <n v="204.87"/>
        <n v="62.13"/>
        <n v="153.02000000000001"/>
        <n v="67.14"/>
        <n v="149.27000000000001"/>
        <n v="61.22"/>
        <n v="62.11"/>
        <n v="315.44"/>
        <n v="60.99"/>
        <n v="754.95"/>
        <n v="887.49"/>
        <n v="67.38"/>
        <n v="1139.02"/>
        <n v="124.06"/>
        <n v="106.32"/>
        <n v="9"/>
        <n v="17"/>
        <n v="112.07"/>
        <n v="361.17"/>
        <n v="107"/>
        <n v="18.7"/>
        <n v="3.3"/>
        <n v="2.2000000000000002"/>
        <n v="10.5"/>
        <n v="17.600000000000001"/>
        <n v="47.6"/>
        <n v="6.6"/>
        <n v="103.2"/>
        <n v="60.4"/>
        <n v="37.6"/>
        <n v="30.4"/>
        <n v="13.2"/>
        <n v="24.2"/>
        <n v="25"/>
        <n v="5.2"/>
        <n v="11"/>
        <n v="90.8"/>
        <n v="18.600000000000001"/>
        <n v="57.2"/>
        <n v="41.6"/>
        <n v="13000"/>
        <n v="27090"/>
        <n v="53090"/>
        <n v="455"/>
        <n v="689"/>
        <n v="416"/>
        <n v="1066"/>
        <n v="520"/>
        <n v="611"/>
        <n v="351"/>
        <n v="4200"/>
        <n v="2850"/>
        <n v="284.89999999999998"/>
        <n v="284.89"/>
        <n v="47.64"/>
        <n v="250"/>
        <n v="2216.0500000000002"/>
        <n v="2216.04"/>
        <n v="28.94"/>
        <n v="597.79999999999995"/>
        <n v="1378.6"/>
        <n v="120.5"/>
        <n v="13200"/>
        <n v="9360"/>
        <n v="9928.5"/>
        <n v="27.95"/>
        <n v="591.91999999999996"/>
        <n v="842.53"/>
        <n v="1294.52"/>
        <n v="280.5"/>
        <n v="567.80999999999995"/>
        <n v="20.67"/>
        <n v="3159.26"/>
        <n v="4452.29"/>
        <n v="51.92"/>
        <n v="364.54"/>
        <n v="87.23"/>
        <n v="154.22"/>
        <n v="-8700"/>
        <n v="5950"/>
        <n v="2750"/>
        <n v="3200"/>
        <n v="3800"/>
        <n v="502"/>
        <n v="10900"/>
        <n v="3050"/>
        <n v="1050"/>
        <n v="450"/>
        <n v="1611.8000000000002"/>
        <n v="92.07"/>
        <n v="1400"/>
        <n v="1300"/>
        <n v="3600"/>
        <n v="1700"/>
        <n v="3928.09"/>
        <n v="35000"/>
        <n v="25000"/>
        <n v="12000"/>
        <n v="366"/>
        <n v="1065"/>
        <n v="28.1"/>
        <n v="25.1"/>
        <n v="36.4"/>
        <n v="24.4"/>
        <n v="33.200000000000003"/>
        <n v="25.2"/>
        <n v="22.7"/>
        <n v="457.6"/>
        <n v="24.7"/>
        <n v="35.1"/>
        <n v="33.700000000000003"/>
        <n v="-801.94"/>
        <n v="2325"/>
        <n v="930"/>
        <n v="1370"/>
        <n v="355.05"/>
        <n v="3420"/>
        <n v="3850"/>
        <n v="3226"/>
        <n v="280.60000000000002"/>
        <n v="343.40000000000009"/>
        <n v="2276.3799999999992"/>
        <n v="80.06"/>
        <n v="1447.7"/>
        <n v="29.180000000000064"/>
        <n v="1361.4199999999998"/>
        <n v="1013.77"/>
        <n v="1476.88"/>
        <n v="299.59000000000015"/>
        <n v="1723.02"/>
        <n v="1519.91"/>
        <n v="1822.6"/>
        <n v="3615.15"/>
        <n v="51.06"/>
        <n v="43.06"/>
        <n v="283.26"/>
        <n v="320.89999999999998"/>
        <n v="509.8"/>
        <n v="71.260000000000005"/>
        <n v="352.1"/>
        <n v="323.58"/>
        <n v="192.13"/>
        <n v="596.57000000000005"/>
        <n v="266.32"/>
        <n v="29.3"/>
        <n v="408.19"/>
        <n v="344.93"/>
        <n v="207.8"/>
        <n v="7320"/>
        <n v="3090"/>
        <n v="3045"/>
        <n v="3081.72"/>
        <n v="-3081.72"/>
        <n v="2627.04"/>
        <n v="42"/>
        <n v="370.39"/>
        <n v="1845.37"/>
        <n v="91.31"/>
        <n v="7"/>
        <n v="33.32"/>
        <n v="21.35"/>
        <n v="6"/>
        <n v="52.34"/>
        <n v="12.5"/>
        <n v="1.8"/>
        <n v="2.5"/>
        <n v="5"/>
        <n v="19743.5"/>
        <n v="10256.5"/>
        <n v="9487"/>
        <n v="4907"/>
        <n v="5013.5"/>
        <n v="8123.5"/>
        <n v="-8800"/>
        <n v="-7000"/>
        <n v="1465"/>
        <n v="19184.5"/>
        <n v="-1465"/>
        <n v="31.48"/>
        <n v="45.65"/>
        <n v="27.94"/>
        <n v="30.52"/>
        <n v="28.51"/>
        <n v="22.95"/>
        <n v="56.33"/>
        <n v="29.39"/>
        <n v="5130.24"/>
        <n v="20"/>
        <n v="70000"/>
        <n v="1105"/>
        <n v="1274"/>
        <n v="767"/>
        <n v="533"/>
        <n v="1040"/>
        <n v="949"/>
        <n v="122.3"/>
        <n v="1.2"/>
        <n v="1682"/>
        <n v="108.01"/>
        <n v="6.85"/>
        <n v="204.97"/>
        <n v="36.51"/>
        <n v="335.87"/>
        <n v="30.19"/>
        <n v="188"/>
        <n v="188.58"/>
        <n v="26.65"/>
        <n v="30.39"/>
        <n v="11.06"/>
        <n v="223.98"/>
        <n v="752.58"/>
        <n v="137.97999999999999"/>
        <n v="345.34"/>
        <n v="170.5"/>
        <n v="173"/>
        <n v="35.5"/>
        <n v="123.5"/>
        <n v="49.5"/>
        <n v="58.8"/>
        <n v="51.4"/>
        <n v="57.78"/>
        <n v="52.22"/>
        <n v="50.8"/>
        <n v="70.599999999999994"/>
        <n v="496.99"/>
        <n v="19.12"/>
        <n v="49.8"/>
        <n v="60.72"/>
        <n v="53.12"/>
        <n v="66.86"/>
        <n v="62.79"/>
        <n v="51.3"/>
        <n v="701.77"/>
        <n v="98.48"/>
        <n v="830.72"/>
        <n v="256.2"/>
        <n v="-180.56"/>
        <n v="194.71"/>
        <n v="179.55"/>
        <n v="213.5"/>
        <n v="1166.31"/>
        <n v="1383.41"/>
        <n v="63.44"/>
        <n v="360.88"/>
        <n v="65.08"/>
        <n v="5155.1099999999997"/>
        <n v="36.600000000000364"/>
        <n v="572"/>
        <n v="180.84"/>
        <n v="1989"/>
        <n v="269.63"/>
        <n v="94.28"/>
        <n v="1236.82"/>
        <n v="1636.99"/>
        <n v="472.74"/>
        <n v="71.790000000000006"/>
        <n v="85.18"/>
        <n v="66.67"/>
        <n v="152.38999999999999"/>
        <n v="694.17"/>
        <n v="977.42000000000007" u="1"/>
        <n v="13109.09" u="1"/>
        <n v="8127.02" u="1"/>
        <n v="15109.09" u="1"/>
        <n v="45000" u="1"/>
        <n v="2276" u="1"/>
        <n v="17109" u="1"/>
        <n v="1603.2" u="1"/>
        <n v="882.07999999999993" u="1"/>
        <n v="4793.6000000000004" u="1"/>
        <n v="50000" u="1"/>
        <n v="601.26" u="1"/>
        <n v="429.96" u="1"/>
      </sharedItems>
    </cacheField>
    <cacheField name="Ft in pdf" numFmtId="0">
      <sharedItems containsBlank="1" containsMixedTypes="1" containsNumber="1" containsInteger="1" minValue="45981" maxValue="45981"/>
    </cacheField>
    <cacheField name="Cantiere" numFmtId="0">
      <sharedItems containsBlank="1" containsMixedTypes="1" containsNumber="1" containsInteger="1" minValue="45981" maxValue="52000"/>
    </cacheField>
    <cacheField name="Modalità_x000a_pagamento" numFmtId="0">
      <sharedItems containsDate="1" containsBlank="1" containsMixedTypes="1" minDate="2025-10-27T00:00:00" maxDate="1900-01-04T07:54:04" count="77">
        <s v="CBILL"/>
        <s v="carta di credito "/>
        <s v="Carta di credito"/>
        <s v="Carta di Pagamento"/>
        <m/>
        <s v="CARTA "/>
        <d v="2026-01-16T00:00:00"/>
        <s v="Bonifico"/>
        <s v="BONIFICO "/>
        <d v="2026-01-27T00:00:00"/>
        <s v="Assegno"/>
        <s v="Riba"/>
        <s v="SEPA DD"/>
        <s v="Sepa Direct"/>
        <s v="Contanti"/>
        <s v="RIT. ACCONTO"/>
        <s v="Bonifico bancario o postale"/>
        <s v="RID"/>
        <d v="2026-01-09T00:00:00"/>
        <s v="RID bancario"/>
        <d v="2026-01-12T00:00:00"/>
        <s v="SDD"/>
        <n v="0.11"/>
        <n v="1036.79"/>
        <d v="2026-01-15T00:00:00"/>
        <s v="A CREDITO"/>
        <d v="2026-01-05T00:00:00"/>
        <s v="RIBA "/>
        <s v="carta"/>
        <s v="bonfico"/>
        <s v="CASA"/>
        <d v="2026-01-14T00:00:00"/>
        <d v="2026-02-14T00:00:00"/>
        <d v="2026-03-14T00:00:00"/>
        <d v="2026-04-14T00:00:00"/>
        <d v="2026-05-14T00:00:00"/>
        <d v="2026-12-20T00:00:00"/>
        <d v="2025-10-27T00:00:00"/>
        <d v="2026-01-19T00:00:00"/>
        <s v="MAV"/>
        <s v="nota di credito"/>
        <s v="assegni"/>
        <d v="2026-01-20T00:00:00"/>
        <s v="cambiale"/>
        <s v="ASSEGNI BCC"/>
        <s v="RITENUTA D'ACCONTO"/>
        <s v="ilaria"/>
        <s v="Sepa Direst"/>
        <s v="bper"/>
        <s v="CASSA "/>
        <s v="carta  "/>
        <s v="RIT.ACCONTO"/>
        <s v="ASSEGNO "/>
        <s v="SEPA DIRECT "/>
        <d v="2026-02-02T00:00:00"/>
        <s v="Ri.Ba"/>
        <s v="Cessione crediti"/>
        <n v="45940"/>
        <s v="CREDITI "/>
        <s v="Bonifico BCC"/>
        <s v="RIBA BCC"/>
        <s v="CASSA"/>
        <s v="POP SO 2384X38"/>
        <s v="Sepa  Direct"/>
        <s v="SEPA DIREC "/>
        <s v="SEPA DD CORE"/>
        <s v="Pago pa"/>
        <s v="PAGO PA "/>
        <s v="contanti "/>
        <s v="Domiciliazione bancaria"/>
        <n v="10.42"/>
        <n v="9.27"/>
        <n v="10.6"/>
        <d v="2026-01-10T00:00:00" u="1"/>
        <n v="45978" u="1"/>
        <n v="52000" u="1"/>
        <n v="45981" u="1"/>
      </sharedItems>
    </cacheField>
    <cacheField name="Data_x000a_pagamento" numFmtId="0">
      <sharedItems containsDate="1" containsBlank="1" containsMixedTypes="1" minDate="1899-12-31T00:00:00" maxDate="1899-12-30T00:00:00"/>
    </cacheField>
    <cacheField name="Importo_x000a_pagamento" numFmtId="0">
      <sharedItems containsDate="1" containsBlank="1" containsMixedTypes="1" minDate="1900-01-04T18:50:12" maxDate="1900-01-01T14:01:04"/>
    </cacheField>
    <cacheField name="NOTE" numFmtId="0">
      <sharedItems containsDate="1" containsBlank="1" containsMixedTypes="1" minDate="1900-01-05T19:34:12" maxDate="1900-01-08T01:00:04"/>
    </cacheField>
    <cacheField name="Colonna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d v="2025-10-30T00:00:00"/>
    <x v="0"/>
    <n v="4100"/>
    <x v="0"/>
  </r>
  <r>
    <d v="2025-12-30T00:00:00"/>
    <x v="0"/>
    <n v="4100"/>
    <x v="0"/>
  </r>
  <r>
    <d v="2026-07-30T00:00:00"/>
    <x v="1"/>
    <n v="1390"/>
    <x v="0"/>
  </r>
  <r>
    <d v="2026-07-30T00:00:00"/>
    <x v="2"/>
    <n v="2192"/>
    <x v="0"/>
  </r>
  <r>
    <d v="2025-10-08T00:00:00"/>
    <x v="3"/>
    <n v="49920"/>
    <x v="0"/>
  </r>
  <r>
    <d v="2025-10-06T00:00:00"/>
    <x v="4"/>
    <n v="18720"/>
    <x v="0"/>
  </r>
  <r>
    <d v="2025-10-21T00:00:00"/>
    <x v="5"/>
    <n v="95000"/>
    <x v="1"/>
  </r>
  <r>
    <d v="2026-07-30T00:00:00"/>
    <x v="6"/>
    <n v="602"/>
    <x v="0"/>
  </r>
  <r>
    <d v="2026-07-30T00:00:00"/>
    <x v="7"/>
    <n v="2104.35"/>
    <x v="0"/>
  </r>
  <r>
    <d v="2025-10-10T00:00:00"/>
    <x v="8"/>
    <n v="1923.2"/>
    <x v="0"/>
  </r>
  <r>
    <d v="2025-11-10T00:00:00"/>
    <x v="8"/>
    <n v="1812.04"/>
    <x v="0"/>
  </r>
  <r>
    <d v="2025-10-30T00:00:00"/>
    <x v="9"/>
    <n v="6899.9"/>
    <x v="0"/>
  </r>
  <r>
    <d v="2026-07-30T00:00:00"/>
    <x v="10"/>
    <n v="1282.19"/>
    <x v="0"/>
  </r>
  <r>
    <d v="2026-07-30T00:00:00"/>
    <x v="11"/>
    <n v="2024"/>
    <x v="0"/>
  </r>
  <r>
    <d v="2026-07-30T00:00:00"/>
    <x v="12"/>
    <n v="1275.3333333333333"/>
    <x v="0"/>
  </r>
  <r>
    <d v="2026-07-30T00:00:00"/>
    <x v="12"/>
    <n v="1275.3333333333333"/>
    <x v="0"/>
  </r>
  <r>
    <d v="2026-07-30T00:00:00"/>
    <x v="12"/>
    <n v="1275.3333333333333"/>
    <x v="0"/>
  </r>
  <r>
    <d v="2025-10-10T00:00:00"/>
    <x v="13"/>
    <n v="684.39"/>
    <x v="0"/>
  </r>
  <r>
    <d v="2026-07-30T00:00:00"/>
    <x v="14"/>
    <n v="20000"/>
    <x v="0"/>
  </r>
  <r>
    <d v="2025-10-15T00:00:00"/>
    <x v="15"/>
    <n v="1560"/>
    <x v="0"/>
  </r>
  <r>
    <d v="2025-11-30T00:00:00"/>
    <x v="15"/>
    <n v="1560"/>
    <x v="0"/>
  </r>
  <r>
    <d v="2025-12-30T00:00:00"/>
    <x v="15"/>
    <n v="880"/>
    <x v="0"/>
  </r>
  <r>
    <d v="2025-10-31T00:00:00"/>
    <x v="16"/>
    <n v="40000"/>
    <x v="1"/>
  </r>
  <r>
    <d v="2026-07-30T00:00:00"/>
    <x v="17"/>
    <n v="3981"/>
    <x v="0"/>
  </r>
  <r>
    <d v="2026-07-30T00:00:00"/>
    <x v="18"/>
    <n v="4669.18"/>
    <x v="0"/>
  </r>
  <r>
    <d v="2025-10-10T00:00:00"/>
    <x v="19"/>
    <n v="870"/>
    <x v="0"/>
  </r>
  <r>
    <d v="2026-07-30T00:00:00"/>
    <x v="20"/>
    <n v="1651"/>
    <x v="0"/>
  </r>
  <r>
    <d v="2026-07-30T00:00:00"/>
    <x v="21"/>
    <n v="36.6"/>
    <x v="0"/>
  </r>
  <r>
    <d v="2026-07-30T00:00:00"/>
    <x v="22"/>
    <n v="5703.2833333333328"/>
    <x v="0"/>
  </r>
  <r>
    <d v="2026-07-30T00:00:00"/>
    <x v="22"/>
    <n v="5703.2833333333328"/>
    <x v="0"/>
  </r>
  <r>
    <d v="2026-07-30T00:00:00"/>
    <x v="22"/>
    <n v="5703.2833333333328"/>
    <x v="0"/>
  </r>
  <r>
    <d v="2025-10-10T00:00:00"/>
    <x v="23"/>
    <n v="400"/>
    <x v="0"/>
  </r>
  <r>
    <d v="2025-10-15T00:00:00"/>
    <x v="24"/>
    <n v="2639.48"/>
    <x v="0"/>
  </r>
  <r>
    <d v="2026-07-30T00:00:00"/>
    <x v="25"/>
    <n v="634.4"/>
    <x v="0"/>
  </r>
  <r>
    <d v="2025-10-30T00:00:00"/>
    <x v="26"/>
    <n v="1358.333333333333"/>
    <x v="0"/>
  </r>
  <r>
    <d v="2025-11-30T00:00:00"/>
    <x v="26"/>
    <n v="1358.333333333333"/>
    <x v="0"/>
  </r>
  <r>
    <d v="2025-12-31T00:00:00"/>
    <x v="26"/>
    <n v="1358.333333333333"/>
    <x v="0"/>
  </r>
  <r>
    <d v="2026-01-30T00:00:00"/>
    <x v="26"/>
    <n v="1358.333333333333"/>
    <x v="0"/>
  </r>
  <r>
    <d v="2026-02-28T00:00:00"/>
    <x v="26"/>
    <n v="1358.333333333333"/>
    <x v="0"/>
  </r>
  <r>
    <d v="2026-03-30T00:00:00"/>
    <x v="26"/>
    <n v="1358.333333333333"/>
    <x v="0"/>
  </r>
  <r>
    <d v="2026-07-30T00:00:00"/>
    <x v="27"/>
    <n v="137.69999999999999"/>
    <x v="0"/>
  </r>
  <r>
    <d v="2025-10-10T00:00:00"/>
    <x v="28"/>
    <n v="2522"/>
    <x v="0"/>
  </r>
  <r>
    <d v="2025-11-10T00:00:00"/>
    <x v="28"/>
    <n v="10536.59"/>
    <x v="0"/>
  </r>
  <r>
    <d v="2025-12-10T00:00:00"/>
    <x v="28"/>
    <n v="702.31"/>
    <x v="0"/>
  </r>
  <r>
    <d v="2026-07-30T00:00:00"/>
    <x v="29"/>
    <n v="392.84"/>
    <x v="0"/>
  </r>
  <r>
    <d v="2026-07-30T00:00:00"/>
    <x v="30"/>
    <n v="3914.5"/>
    <x v="0"/>
  </r>
  <r>
    <d v="2026-07-30T00:00:00"/>
    <x v="30"/>
    <n v="3914.5"/>
    <x v="0"/>
  </r>
  <r>
    <d v="2026-07-30T00:00:00"/>
    <x v="30"/>
    <n v="3914.5"/>
    <x v="0"/>
  </r>
  <r>
    <d v="2026-07-30T00:00:00"/>
    <x v="30"/>
    <n v="3914.5"/>
    <x v="0"/>
  </r>
  <r>
    <d v="2026-07-30T00:00:00"/>
    <x v="30"/>
    <n v="3914.5"/>
    <x v="0"/>
  </r>
  <r>
    <d v="2026-07-30T00:00:00"/>
    <x v="30"/>
    <n v="3914.5"/>
    <x v="0"/>
  </r>
  <r>
    <d v="2025-10-10T00:00:00"/>
    <x v="31"/>
    <n v="3349.19"/>
    <x v="0"/>
  </r>
  <r>
    <d v="2025-10-15T00:00:00"/>
    <x v="32"/>
    <n v="700"/>
    <x v="0"/>
  </r>
  <r>
    <d v="2025-10-10T00:00:00"/>
    <x v="33"/>
    <n v="150000"/>
    <x v="1"/>
  </r>
  <r>
    <d v="2025-10-10T00:00:00"/>
    <x v="34"/>
    <n v="240000"/>
    <x v="1"/>
  </r>
  <r>
    <d v="2025-10-30T00:00:00"/>
    <x v="35"/>
    <n v="2276.38"/>
    <x v="0"/>
  </r>
  <r>
    <d v="2025-10-10T00:00:00"/>
    <x v="36"/>
    <n v="16000"/>
    <x v="0"/>
  </r>
  <r>
    <d v="2025-10-30T00:00:00"/>
    <x v="36"/>
    <n v="16000"/>
    <x v="0"/>
  </r>
  <r>
    <d v="2025-11-30T00:00:00"/>
    <x v="36"/>
    <n v="16000"/>
    <x v="0"/>
  </r>
  <r>
    <d v="2025-10-10T00:00:00"/>
    <x v="37"/>
    <n v="3333.3333333333335"/>
    <x v="0"/>
  </r>
  <r>
    <d v="2025-11-30T00:00:00"/>
    <x v="37"/>
    <n v="3333.3333333333335"/>
    <x v="0"/>
  </r>
  <r>
    <d v="2025-12-30T00:00:00"/>
    <x v="37"/>
    <n v="3333.3333333333335"/>
    <x v="0"/>
  </r>
  <r>
    <d v="2026-02-28T00:00:00"/>
    <x v="37"/>
    <n v="3333.3333333333335"/>
    <x v="0"/>
  </r>
  <r>
    <d v="2026-03-30T00:00:00"/>
    <x v="37"/>
    <n v="3333.3333333333335"/>
    <x v="0"/>
  </r>
  <r>
    <d v="2026-04-15T00:00:00"/>
    <x v="37"/>
    <n v="3333.3333333333335"/>
    <x v="0"/>
  </r>
  <r>
    <d v="2025-10-15T00:00:00"/>
    <x v="38"/>
    <n v="3575"/>
    <x v="0"/>
  </r>
  <r>
    <d v="2026-01-30T00:00:00"/>
    <x v="39"/>
    <n v="10000"/>
    <x v="0"/>
  </r>
  <r>
    <d v="2026-02-28T00:00:00"/>
    <x v="39"/>
    <n v="10000"/>
    <x v="0"/>
  </r>
  <r>
    <d v="2026-03-30T00:00:00"/>
    <x v="39"/>
    <n v="10000"/>
    <x v="0"/>
  </r>
  <r>
    <d v="2026-04-15T00:00:00"/>
    <x v="39"/>
    <n v="10000"/>
    <x v="0"/>
  </r>
  <r>
    <d v="2026-05-15T00:00:00"/>
    <x v="39"/>
    <n v="10000"/>
    <x v="0"/>
  </r>
  <r>
    <d v="2026-06-01T00:00:00"/>
    <x v="39"/>
    <n v="10000"/>
    <x v="0"/>
  </r>
  <r>
    <d v="2025-10-30T00:00:00"/>
    <x v="39"/>
    <n v="10000"/>
    <x v="0"/>
  </r>
  <r>
    <d v="2025-11-30T00:00:00"/>
    <x v="39"/>
    <n v="10000"/>
    <x v="0"/>
  </r>
  <r>
    <d v="2025-12-30T00:00:00"/>
    <x v="39"/>
    <n v="10000"/>
    <x v="0"/>
  </r>
  <r>
    <d v="2026-08-30T00:00:00"/>
    <x v="39"/>
    <n v="10000"/>
    <x v="0"/>
  </r>
  <r>
    <d v="2026-07-30T00:00:00"/>
    <x v="40"/>
    <n v="1162"/>
    <x v="0"/>
  </r>
  <r>
    <d v="2025-10-02T00:00:00"/>
    <x v="41"/>
    <n v="1041.2"/>
    <x v="0"/>
  </r>
  <r>
    <d v="2026-07-30T00:00:00"/>
    <x v="42"/>
    <n v="7000"/>
    <x v="0"/>
  </r>
  <r>
    <d v="2025-10-10T00:00:00"/>
    <x v="43"/>
    <n v="662.09"/>
    <x v="0"/>
  </r>
  <r>
    <d v="2026-07-30T00:00:00"/>
    <x v="44"/>
    <n v="2731.58"/>
    <x v="2"/>
  </r>
  <r>
    <d v="2025-10-30T00:00:00"/>
    <x v="45"/>
    <n v="6000"/>
    <x v="0"/>
  </r>
  <r>
    <d v="2025-12-30T00:00:00"/>
    <x v="45"/>
    <n v="6000"/>
    <x v="0"/>
  </r>
  <r>
    <d v="2026-02-28T00:00:00"/>
    <x v="45"/>
    <n v="6000"/>
    <x v="0"/>
  </r>
  <r>
    <d v="2025-10-30T00:00:00"/>
    <x v="46"/>
    <n v="2024"/>
    <x v="0"/>
  </r>
  <r>
    <d v="2025-12-30T00:00:00"/>
    <x v="46"/>
    <n v="2024"/>
    <x v="0"/>
  </r>
  <r>
    <d v="2025-11-30T00:00:00"/>
    <x v="47"/>
    <n v="2409.5500000000002"/>
    <x v="0"/>
  </r>
  <r>
    <d v="2026-07-30T00:00:00"/>
    <x v="48"/>
    <n v="1163.22"/>
    <x v="0"/>
  </r>
  <r>
    <d v="2025-11-30T00:00:00"/>
    <x v="49"/>
    <n v="5000"/>
    <x v="0"/>
  </r>
  <r>
    <d v="2025-12-30T00:00:00"/>
    <x v="49"/>
    <n v="5000"/>
    <x v="0"/>
  </r>
  <r>
    <d v="2026-01-30T00:00:00"/>
    <x v="49"/>
    <n v="5000"/>
    <x v="0"/>
  </r>
  <r>
    <d v="2026-02-28T00:00:00"/>
    <x v="49"/>
    <n v="5000"/>
    <x v="0"/>
  </r>
  <r>
    <d v="2026-03-30T00:00:00"/>
    <x v="49"/>
    <n v="5000"/>
    <x v="0"/>
  </r>
  <r>
    <d v="2026-04-15T00:00:00"/>
    <x v="49"/>
    <n v="5000"/>
    <x v="0"/>
  </r>
  <r>
    <d v="2026-05-01T00:00:00"/>
    <x v="49"/>
    <n v="5000"/>
    <x v="0"/>
  </r>
  <r>
    <d v="2026-06-30T00:00:00"/>
    <x v="49"/>
    <n v="5000"/>
    <x v="0"/>
  </r>
  <r>
    <d v="2025-09-30T00:00:00"/>
    <x v="50"/>
    <n v="3200"/>
    <x v="0"/>
  </r>
  <r>
    <d v="2025-12-30T00:00:00"/>
    <x v="50"/>
    <n v="3200"/>
    <x v="0"/>
  </r>
  <r>
    <d v="2025-10-01T00:00:00"/>
    <x v="51"/>
    <n v="8730"/>
    <x v="0"/>
  </r>
  <r>
    <d v="2025-11-01T00:00:00"/>
    <x v="51"/>
    <n v="8900"/>
    <x v="0"/>
  </r>
  <r>
    <d v="2025-11-30T00:00:00"/>
    <x v="51"/>
    <n v="8500"/>
    <x v="0"/>
  </r>
  <r>
    <d v="2025-12-01T00:00:00"/>
    <x v="51"/>
    <n v="8900"/>
    <x v="0"/>
  </r>
  <r>
    <d v="2025-12-30T00:00:00"/>
    <x v="51"/>
    <n v="8500"/>
    <x v="0"/>
  </r>
  <r>
    <d v="2026-01-01T00:00:00"/>
    <x v="51"/>
    <n v="8900"/>
    <x v="0"/>
  </r>
  <r>
    <d v="2026-01-30T00:00:00"/>
    <x v="51"/>
    <n v="8500"/>
    <x v="0"/>
  </r>
  <r>
    <d v="2026-02-01T00:00:00"/>
    <x v="51"/>
    <n v="8900"/>
    <x v="0"/>
  </r>
  <r>
    <d v="2026-02-28T00:00:00"/>
    <x v="51"/>
    <n v="8500"/>
    <x v="0"/>
  </r>
  <r>
    <d v="2026-03-01T00:00:00"/>
    <x v="51"/>
    <n v="8900"/>
    <x v="0"/>
  </r>
  <r>
    <d v="2026-03-30T00:00:00"/>
    <x v="51"/>
    <n v="8500"/>
    <x v="0"/>
  </r>
  <r>
    <d v="2026-04-06T00:00:00"/>
    <x v="51"/>
    <n v="8900"/>
    <x v="0"/>
  </r>
  <r>
    <d v="2026-04-15T00:00:00"/>
    <x v="51"/>
    <n v="8500"/>
    <x v="0"/>
  </r>
  <r>
    <d v="2026-05-15T00:00:00"/>
    <x v="51"/>
    <n v="8500"/>
    <x v="0"/>
  </r>
  <r>
    <d v="2026-05-01T00:00:00"/>
    <x v="51"/>
    <n v="8500"/>
    <x v="0"/>
  </r>
  <r>
    <d v="2026-06-30T00:00:00"/>
    <x v="51"/>
    <n v="8500"/>
    <x v="0"/>
  </r>
  <r>
    <d v="2025-10-10T00:00:00"/>
    <x v="52"/>
    <n v="560"/>
    <x v="0"/>
  </r>
  <r>
    <d v="2025-11-06T00:00:00"/>
    <x v="52"/>
    <n v="560"/>
    <x v="0"/>
  </r>
  <r>
    <d v="2025-12-06T00:00:00"/>
    <x v="52"/>
    <n v="560"/>
    <x v="0"/>
  </r>
  <r>
    <d v="2026-01-06T00:00:00"/>
    <x v="52"/>
    <n v="560"/>
    <x v="0"/>
  </r>
  <r>
    <d v="2026-02-06T00:00:00"/>
    <x v="52"/>
    <n v="560"/>
    <x v="0"/>
  </r>
  <r>
    <d v="2026-03-06T00:00:00"/>
    <x v="52"/>
    <n v="560"/>
    <x v="0"/>
  </r>
  <r>
    <d v="2026-04-06T00:00:00"/>
    <x v="52"/>
    <n v="560"/>
    <x v="0"/>
  </r>
  <r>
    <d v="2026-05-06T00:00:00"/>
    <x v="52"/>
    <n v="560"/>
    <x v="0"/>
  </r>
  <r>
    <d v="2026-06-01T00:00:00"/>
    <x v="52"/>
    <n v="560"/>
    <x v="0"/>
  </r>
  <r>
    <d v="2025-09-30T00:00:00"/>
    <x v="53"/>
    <n v="502.6"/>
    <x v="0"/>
  </r>
  <r>
    <d v="2025-10-30T00:00:00"/>
    <x v="53"/>
    <n v="502.6"/>
    <x v="0"/>
  </r>
  <r>
    <d v="2025-11-30T00:00:00"/>
    <x v="53"/>
    <n v="502.6"/>
    <x v="0"/>
  </r>
  <r>
    <d v="2025-12-30T00:00:00"/>
    <x v="53"/>
    <n v="502.6"/>
    <x v="0"/>
  </r>
  <r>
    <d v="2026-01-30T00:00:00"/>
    <x v="53"/>
    <n v="502.6"/>
    <x v="0"/>
  </r>
  <r>
    <d v="2026-02-28T00:00:00"/>
    <x v="53"/>
    <n v="502.6"/>
    <x v="0"/>
  </r>
  <r>
    <d v="2026-03-28T00:00:00"/>
    <x v="53"/>
    <n v="502.6"/>
    <x v="0"/>
  </r>
  <r>
    <d v="2026-04-28T00:00:00"/>
    <x v="53"/>
    <n v="502.6"/>
    <x v="0"/>
  </r>
  <r>
    <d v="2026-05-01T00:00:00"/>
    <x v="53"/>
    <n v="502.6"/>
    <x v="0"/>
  </r>
  <r>
    <d v="2026-06-01T00:00:00"/>
    <x v="53"/>
    <n v="502.6"/>
    <x v="0"/>
  </r>
  <r>
    <d v="2025-10-31T00:00:00"/>
    <x v="54"/>
    <n v="50000"/>
    <x v="1"/>
  </r>
  <r>
    <d v="2026-07-30T00:00:00"/>
    <x v="55"/>
    <n v="331.18"/>
    <x v="0"/>
  </r>
  <r>
    <d v="2026-07-30T00:00:00"/>
    <x v="55"/>
    <n v="220.16"/>
    <x v="0"/>
  </r>
  <r>
    <d v="2025-10-30T00:00:00"/>
    <x v="56"/>
    <n v="13125"/>
    <x v="0"/>
  </r>
  <r>
    <d v="2025-11-30T00:00:00"/>
    <x v="56"/>
    <n v="13125"/>
    <x v="0"/>
  </r>
  <r>
    <d v="2025-12-30T00:00:00"/>
    <x v="56"/>
    <n v="13125"/>
    <x v="0"/>
  </r>
  <r>
    <d v="2026-01-30T00:00:00"/>
    <x v="56"/>
    <n v="13125"/>
    <x v="0"/>
  </r>
  <r>
    <d v="2026-02-28T00:00:00"/>
    <x v="56"/>
    <n v="13125"/>
    <x v="0"/>
  </r>
  <r>
    <d v="2026-03-30T00:00:00"/>
    <x v="56"/>
    <n v="13125"/>
    <x v="0"/>
  </r>
  <r>
    <d v="2026-04-15T00:00:00"/>
    <x v="56"/>
    <n v="13125"/>
    <x v="0"/>
  </r>
  <r>
    <d v="2026-05-15T00:00:00"/>
    <x v="56"/>
    <n v="13125"/>
    <x v="0"/>
  </r>
  <r>
    <d v="2025-10-10T00:00:00"/>
    <x v="57"/>
    <n v="7000"/>
    <x v="0"/>
  </r>
  <r>
    <d v="2026-01-30T00:00:00"/>
    <x v="57"/>
    <n v="7000"/>
    <x v="0"/>
  </r>
  <r>
    <d v="2026-03-30T00:00:00"/>
    <x v="57"/>
    <n v="7000"/>
    <x v="0"/>
  </r>
  <r>
    <d v="2026-05-15T00:00:00"/>
    <x v="57"/>
    <n v="7000"/>
    <x v="0"/>
  </r>
  <r>
    <d v="2025-10-10T00:00:00"/>
    <x v="58"/>
    <n v="3206.4"/>
    <x v="0"/>
  </r>
  <r>
    <d v="2025-10-10T00:00:00"/>
    <x v="59"/>
    <n v="3528"/>
    <x v="0"/>
  </r>
  <r>
    <d v="2025-10-10T00:00:00"/>
    <x v="60"/>
    <n v="329"/>
    <x v="0"/>
  </r>
  <r>
    <d v="2025-10-30T00:00:00"/>
    <x v="61"/>
    <n v="11190"/>
    <x v="0"/>
  </r>
  <r>
    <d v="2025-12-30T00:00:00"/>
    <x v="61"/>
    <n v="10000"/>
    <x v="0"/>
  </r>
  <r>
    <d v="2026-02-28T00:00:00"/>
    <x v="61"/>
    <n v="10000"/>
    <x v="0"/>
  </r>
  <r>
    <d v="2025-10-10T00:00:00"/>
    <x v="62"/>
    <n v="366"/>
    <x v="0"/>
  </r>
  <r>
    <d v="2025-10-10T00:00:00"/>
    <x v="63"/>
    <n v="19000"/>
    <x v="0"/>
  </r>
  <r>
    <d v="2025-09-30T00:00:00"/>
    <x v="64"/>
    <n v="25000"/>
    <x v="0"/>
  </r>
  <r>
    <d v="2025-10-30T00:00:00"/>
    <x v="64"/>
    <n v="15000"/>
    <x v="0"/>
  </r>
  <r>
    <d v="2025-11-30T00:00:00"/>
    <x v="64"/>
    <n v="15000"/>
    <x v="0"/>
  </r>
  <r>
    <d v="2025-12-30T00:00:00"/>
    <x v="64"/>
    <n v="10000"/>
    <x v="0"/>
  </r>
  <r>
    <d v="2026-01-30T00:00:00"/>
    <x v="64"/>
    <n v="15000"/>
    <x v="0"/>
  </r>
  <r>
    <d v="2026-02-28T00:00:00"/>
    <x v="64"/>
    <n v="10000"/>
    <x v="0"/>
  </r>
  <r>
    <d v="2025-10-30T00:00:00"/>
    <x v="65"/>
    <n v="5695"/>
    <x v="0"/>
  </r>
  <r>
    <d v="2025-10-10T00:00:00"/>
    <x v="66"/>
    <n v="6000"/>
    <x v="0"/>
  </r>
  <r>
    <d v="2025-10-15T00:00:00"/>
    <x v="67"/>
    <n v="10000"/>
    <x v="0"/>
  </r>
  <r>
    <d v="2025-11-30T00:00:00"/>
    <x v="67"/>
    <n v="10000"/>
    <x v="0"/>
  </r>
  <r>
    <d v="2025-12-15T00:00:00"/>
    <x v="67"/>
    <n v="10000"/>
    <x v="0"/>
  </r>
  <r>
    <d v="2026-01-15T00:00:00"/>
    <x v="67"/>
    <n v="10000"/>
    <x v="0"/>
  </r>
  <r>
    <d v="2026-02-15T00:00:00"/>
    <x v="67"/>
    <n v="10000"/>
    <x v="0"/>
  </r>
  <r>
    <d v="2026-03-15T00:00:00"/>
    <x v="67"/>
    <n v="10000"/>
    <x v="0"/>
  </r>
  <r>
    <d v="2026-04-15T00:00:00"/>
    <x v="67"/>
    <n v="10000"/>
    <x v="0"/>
  </r>
  <r>
    <d v="2026-05-15T00:00:00"/>
    <x v="67"/>
    <n v="10000"/>
    <x v="0"/>
  </r>
  <r>
    <d v="2026-06-01T00:00:00"/>
    <x v="67"/>
    <n v="10000"/>
    <x v="0"/>
  </r>
  <r>
    <d v="2025-10-02T00:00:00"/>
    <x v="68"/>
    <n v="800"/>
    <x v="0"/>
  </r>
  <r>
    <d v="2025-10-15T00:00:00"/>
    <x v="69"/>
    <n v="3045"/>
    <x v="0"/>
  </r>
  <r>
    <d v="2025-11-15T00:00:00"/>
    <x v="69"/>
    <n v="3045"/>
    <x v="0"/>
  </r>
  <r>
    <d v="2025-12-30T00:00:00"/>
    <x v="69"/>
    <n v="3045"/>
    <x v="0"/>
  </r>
  <r>
    <d v="2026-01-30T00:00:00"/>
    <x v="69"/>
    <n v="3045"/>
    <x v="0"/>
  </r>
  <r>
    <d v="2025-10-15T00:00:00"/>
    <x v="70"/>
    <n v="2215.7600000000002"/>
    <x v="0"/>
  </r>
  <r>
    <d v="2025-10-30T00:00:00"/>
    <x v="71"/>
    <n v="21500"/>
    <x v="0"/>
  </r>
  <r>
    <d v="2025-11-30T00:00:00"/>
    <x v="71"/>
    <n v="21500"/>
    <x v="0"/>
  </r>
  <r>
    <d v="2026-02-28T00:00:00"/>
    <x v="71"/>
    <n v="10500"/>
    <x v="0"/>
  </r>
  <r>
    <d v="2026-03-30T00:00:00"/>
    <x v="71"/>
    <n v="10500"/>
    <x v="0"/>
  </r>
  <r>
    <d v="2026-07-30T00:00:00"/>
    <x v="72"/>
    <n v="50000"/>
    <x v="0"/>
  </r>
  <r>
    <d v="2026-07-30T00:00:00"/>
    <x v="73"/>
    <n v="1118.6400000000001"/>
    <x v="0"/>
  </r>
  <r>
    <d v="2025-10-02T00:00:00"/>
    <x v="74"/>
    <n v="250.01"/>
    <x v="0"/>
  </r>
  <r>
    <d v="2025-10-06T00:00:00"/>
    <x v="75"/>
    <n v="19000"/>
    <x v="1"/>
  </r>
  <r>
    <d v="2025-09-30T00:00:00"/>
    <x v="76"/>
    <n v="278.52"/>
    <x v="0"/>
  </r>
  <r>
    <d v="2026-07-30T00:00:00"/>
    <x v="77"/>
    <n v="1236.81"/>
    <x v="0"/>
  </r>
  <r>
    <s v="October 2025"/>
    <x v="78"/>
    <n v="280"/>
    <x v="0"/>
  </r>
  <r>
    <m/>
    <x v="79"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">
  <r>
    <x v="0"/>
    <x v="0"/>
    <x v="0"/>
    <m/>
    <x v="0"/>
    <x v="0"/>
    <x v="0"/>
    <n v="25292.62"/>
    <n v="554.91"/>
    <n v="50.36"/>
    <n v="13096.87"/>
    <n v="3536.56"/>
    <m/>
    <n v="42531.32"/>
    <m/>
    <s v="LEGENDA"/>
    <m/>
  </r>
  <r>
    <x v="1"/>
    <x v="0"/>
    <x v="1"/>
    <n v="-28904"/>
    <x v="0"/>
    <x v="0"/>
    <x v="1"/>
    <m/>
    <m/>
    <m/>
    <m/>
    <m/>
    <m/>
    <m/>
    <m/>
    <s v="X"/>
    <s v="PROVVISORIA"/>
  </r>
  <r>
    <x v="2"/>
    <x v="1"/>
    <x v="2"/>
    <n v="3122.88"/>
    <x v="1"/>
    <x v="1"/>
    <x v="2"/>
    <s v=""/>
    <s v=""/>
    <n v="-3122.88"/>
    <s v=""/>
    <s v=""/>
    <s v=""/>
    <n v="-3122.88"/>
    <m/>
    <s v="X"/>
    <s v="CONFERMATA"/>
  </r>
  <r>
    <x v="2"/>
    <x v="1"/>
    <x v="3"/>
    <n v="502.6"/>
    <x v="1"/>
    <x v="1"/>
    <x v="3"/>
    <s v=""/>
    <n v="-502.6"/>
    <s v=""/>
    <s v=""/>
    <s v=""/>
    <s v=""/>
    <n v="-502.6"/>
    <m/>
    <s v="X"/>
    <s v="BEPPE"/>
  </r>
  <r>
    <x v="2"/>
    <x v="1"/>
    <x v="4"/>
    <n v="278.52"/>
    <x v="1"/>
    <x v="1"/>
    <x v="4"/>
    <s v=""/>
    <s v=""/>
    <s v=""/>
    <n v="-278.52"/>
    <s v=""/>
    <s v=""/>
    <n v="-278.52"/>
    <m/>
    <m/>
    <m/>
  </r>
  <r>
    <x v="2"/>
    <x v="1"/>
    <x v="5"/>
    <n v="25000"/>
    <x v="1"/>
    <x v="1"/>
    <x v="5"/>
    <n v="-25000"/>
    <s v=""/>
    <s v=""/>
    <s v=""/>
    <s v=""/>
    <s v=""/>
    <n v="-25000"/>
    <m/>
    <m/>
    <m/>
  </r>
  <r>
    <x v="3"/>
    <x v="0"/>
    <x v="1"/>
    <m/>
    <x v="0"/>
    <x v="2"/>
    <x v="6"/>
    <s v="USCITE PREVISTE:"/>
    <n v="28904"/>
    <s v="DELTA:"/>
    <n v="-28904"/>
    <s v="RIMANENZA PREVISTA:"/>
    <m/>
    <n v="13627.32"/>
    <m/>
    <m/>
    <m/>
  </r>
  <r>
    <x v="4"/>
    <x v="0"/>
    <x v="6"/>
    <n v="257706.19000000006"/>
    <x v="0"/>
    <x v="0"/>
    <x v="1"/>
    <n v="292.61999999999898"/>
    <n v="52.309999999999945"/>
    <n v="-3072.52"/>
    <n v="12818.35"/>
    <n v="3536.56"/>
    <m/>
    <n v="13627.319999999998"/>
    <s v="DI RIMANENZA EFFETTIVA"/>
    <n v="13627.32"/>
    <m/>
  </r>
  <r>
    <x v="5"/>
    <x v="2"/>
    <x v="7"/>
    <n v="9003.9700000000012"/>
    <x v="1"/>
    <x v="1"/>
    <x v="4"/>
    <s v=""/>
    <s v=""/>
    <s v=""/>
    <n v="-9003.9700000000012"/>
    <s v=""/>
    <s v=""/>
    <n v="-9003.9700000000012"/>
    <m/>
    <m/>
    <m/>
  </r>
  <r>
    <x v="5"/>
    <x v="2"/>
    <x v="3"/>
    <n v="502.6"/>
    <x v="1"/>
    <x v="1"/>
    <x v="3"/>
    <s v=""/>
    <n v="-502.6"/>
    <s v=""/>
    <s v=""/>
    <s v=""/>
    <s v=""/>
    <n v="-502.6"/>
    <m/>
    <s v="X"/>
    <s v="BEPPE"/>
  </r>
  <r>
    <x v="5"/>
    <x v="3"/>
    <x v="8"/>
    <n v="1041.2"/>
    <x v="1"/>
    <x v="1"/>
    <x v="5"/>
    <n v="-1041.2"/>
    <s v=""/>
    <s v=""/>
    <s v=""/>
    <s v=""/>
    <s v=""/>
    <n v="-1041.2"/>
    <m/>
    <m/>
    <m/>
  </r>
  <r>
    <x v="6"/>
    <x v="4"/>
    <x v="9"/>
    <n v="3000"/>
    <x v="2"/>
    <x v="1"/>
    <x v="2"/>
    <s v=""/>
    <s v=""/>
    <n v="3000"/>
    <s v=""/>
    <s v=""/>
    <s v=""/>
    <n v="3000"/>
    <m/>
    <m/>
    <m/>
  </r>
  <r>
    <x v="6"/>
    <x v="4"/>
    <x v="9"/>
    <n v="3000"/>
    <x v="1"/>
    <x v="1"/>
    <x v="7"/>
    <s v=""/>
    <s v=""/>
    <s v=""/>
    <s v=""/>
    <n v="-3000"/>
    <s v=""/>
    <n v="-3000"/>
    <m/>
    <m/>
    <m/>
  </r>
  <r>
    <x v="6"/>
    <x v="4"/>
    <x v="10"/>
    <n v="100"/>
    <x v="2"/>
    <x v="1"/>
    <x v="2"/>
    <s v=""/>
    <s v=""/>
    <n v="100"/>
    <s v=""/>
    <s v=""/>
    <s v=""/>
    <n v="100"/>
    <m/>
    <m/>
    <m/>
  </r>
  <r>
    <x v="6"/>
    <x v="4"/>
    <x v="10"/>
    <n v="100"/>
    <x v="1"/>
    <x v="1"/>
    <x v="4"/>
    <s v=""/>
    <s v=""/>
    <s v=""/>
    <n v="-100"/>
    <s v=""/>
    <s v=""/>
    <n v="-100"/>
    <m/>
    <m/>
    <m/>
  </r>
  <r>
    <x v="5"/>
    <x v="3"/>
    <x v="11"/>
    <n v="800"/>
    <x v="1"/>
    <x v="1"/>
    <x v="4"/>
    <s v=""/>
    <s v=""/>
    <s v=""/>
    <n v="-800"/>
    <s v=""/>
    <s v=""/>
    <n v="-800"/>
    <s v="PRIORI"/>
    <m/>
    <m/>
  </r>
  <r>
    <x v="5"/>
    <x v="5"/>
    <x v="12"/>
    <n v="140.44"/>
    <x v="1"/>
    <x v="1"/>
    <x v="2"/>
    <s v=""/>
    <s v=""/>
    <n v="-140.44"/>
    <s v=""/>
    <s v=""/>
    <s v=""/>
    <n v="-140.44"/>
    <m/>
    <m/>
    <m/>
  </r>
  <r>
    <x v="7"/>
    <x v="6"/>
    <x v="13"/>
    <n v="19000"/>
    <x v="2"/>
    <x v="1"/>
    <x v="4"/>
    <s v=""/>
    <s v=""/>
    <s v=""/>
    <n v="19000"/>
    <s v=""/>
    <s v=""/>
    <n v="19000"/>
    <s v="VERSAMENTO ILARIA"/>
    <m/>
    <m/>
  </r>
  <r>
    <x v="5"/>
    <x v="3"/>
    <x v="14"/>
    <n v="259.05"/>
    <x v="1"/>
    <x v="1"/>
    <x v="5"/>
    <n v="-259.05"/>
    <s v=""/>
    <s v=""/>
    <s v=""/>
    <s v=""/>
    <s v=""/>
    <n v="-259.05"/>
    <m/>
    <m/>
    <m/>
  </r>
  <r>
    <x v="5"/>
    <x v="7"/>
    <x v="15"/>
    <n v="18720"/>
    <x v="1"/>
    <x v="1"/>
    <x v="4"/>
    <s v=""/>
    <s v=""/>
    <s v=""/>
    <n v="-18720"/>
    <s v=""/>
    <s v=""/>
    <n v="-18720"/>
    <m/>
    <m/>
    <m/>
  </r>
  <r>
    <x v="5"/>
    <x v="8"/>
    <x v="16"/>
    <n v="49920"/>
    <x v="1"/>
    <x v="1"/>
    <x v="5"/>
    <n v="-49920"/>
    <s v=""/>
    <s v=""/>
    <s v=""/>
    <s v=""/>
    <s v=""/>
    <n v="-49920"/>
    <m/>
    <m/>
    <m/>
  </r>
  <r>
    <x v="5"/>
    <x v="6"/>
    <x v="17"/>
    <n v="620.88"/>
    <x v="1"/>
    <x v="1"/>
    <x v="5"/>
    <n v="-620.88"/>
    <s v=""/>
    <s v=""/>
    <s v=""/>
    <s v=""/>
    <s v=""/>
    <n v="-620.88"/>
    <s v="RID"/>
    <m/>
    <m/>
  </r>
  <r>
    <x v="5"/>
    <x v="6"/>
    <x v="17"/>
    <n v="662.09"/>
    <x v="1"/>
    <x v="1"/>
    <x v="5"/>
    <n v="-662.09"/>
    <s v=""/>
    <s v=""/>
    <s v=""/>
    <s v=""/>
    <s v=""/>
    <n v="-662.09"/>
    <s v="RID"/>
    <m/>
    <m/>
  </r>
  <r>
    <x v="5"/>
    <x v="6"/>
    <x v="18"/>
    <n v="558.05999999999995"/>
    <x v="1"/>
    <x v="1"/>
    <x v="5"/>
    <n v="-558.05999999999995"/>
    <s v=""/>
    <s v=""/>
    <s v=""/>
    <s v=""/>
    <s v=""/>
    <n v="-558.05999999999995"/>
    <m/>
    <m/>
    <m/>
  </r>
  <r>
    <x v="5"/>
    <x v="8"/>
    <x v="19"/>
    <n v="364"/>
    <x v="1"/>
    <x v="1"/>
    <x v="7"/>
    <s v=""/>
    <s v=""/>
    <s v=""/>
    <s v=""/>
    <n v="-364"/>
    <s v=""/>
    <n v="-364"/>
    <m/>
    <m/>
    <m/>
  </r>
  <r>
    <x v="5"/>
    <x v="8"/>
    <x v="20"/>
    <n v="147975"/>
    <x v="2"/>
    <x v="1"/>
    <x v="7"/>
    <s v=""/>
    <s v=""/>
    <s v=""/>
    <s v=""/>
    <n v="147975"/>
    <s v=""/>
    <n v="147975"/>
    <m/>
    <m/>
    <m/>
  </r>
  <r>
    <x v="6"/>
    <x v="6"/>
    <x v="21"/>
    <n v="2250"/>
    <x v="2"/>
    <x v="1"/>
    <x v="5"/>
    <n v="2250"/>
    <s v=""/>
    <s v=""/>
    <s v=""/>
    <s v=""/>
    <s v=""/>
    <n v="2250"/>
    <m/>
    <m/>
    <m/>
  </r>
  <r>
    <x v="6"/>
    <x v="6"/>
    <x v="21"/>
    <n v="2250"/>
    <x v="1"/>
    <x v="1"/>
    <x v="4"/>
    <s v=""/>
    <s v=""/>
    <s v=""/>
    <n v="-2250"/>
    <s v=""/>
    <s v=""/>
    <n v="-2250"/>
    <m/>
    <m/>
    <m/>
  </r>
  <r>
    <x v="6"/>
    <x v="4"/>
    <x v="22"/>
    <n v="100000"/>
    <x v="1"/>
    <x v="1"/>
    <x v="7"/>
    <s v=""/>
    <s v=""/>
    <s v=""/>
    <s v=""/>
    <n v="-100000"/>
    <s v=""/>
    <n v="-100000"/>
    <m/>
    <m/>
    <m/>
  </r>
  <r>
    <x v="6"/>
    <x v="4"/>
    <x v="22"/>
    <n v="100000"/>
    <x v="2"/>
    <x v="1"/>
    <x v="5"/>
    <n v="100000"/>
    <s v=""/>
    <s v=""/>
    <s v=""/>
    <s v=""/>
    <s v=""/>
    <n v="100000"/>
    <m/>
    <m/>
    <m/>
  </r>
  <r>
    <x v="6"/>
    <x v="4"/>
    <x v="9"/>
    <n v="1000"/>
    <x v="1"/>
    <x v="1"/>
    <x v="7"/>
    <s v=""/>
    <s v=""/>
    <s v=""/>
    <s v=""/>
    <n v="-1000"/>
    <s v=""/>
    <n v="-1000"/>
    <m/>
    <m/>
    <m/>
  </r>
  <r>
    <x v="6"/>
    <x v="4"/>
    <x v="9"/>
    <n v="1000"/>
    <x v="2"/>
    <x v="1"/>
    <x v="2"/>
    <s v=""/>
    <s v=""/>
    <n v="1000"/>
    <s v=""/>
    <s v=""/>
    <s v=""/>
    <n v="1000"/>
    <m/>
    <m/>
    <m/>
  </r>
  <r>
    <x v="6"/>
    <x v="3"/>
    <x v="23"/>
    <n v="500"/>
    <x v="1"/>
    <x v="1"/>
    <x v="4"/>
    <s v=""/>
    <s v=""/>
    <s v=""/>
    <n v="-500"/>
    <s v=""/>
    <s v=""/>
    <n v="-500"/>
    <m/>
    <m/>
    <m/>
  </r>
  <r>
    <x v="6"/>
    <x v="4"/>
    <x v="23"/>
    <n v="500"/>
    <x v="2"/>
    <x v="1"/>
    <x v="3"/>
    <s v=""/>
    <n v="500"/>
    <s v=""/>
    <s v=""/>
    <s v=""/>
    <s v=""/>
    <n v="500"/>
    <m/>
    <m/>
    <m/>
  </r>
  <r>
    <x v="5"/>
    <x v="9"/>
    <x v="24"/>
    <n v="260"/>
    <x v="1"/>
    <x v="1"/>
    <x v="2"/>
    <s v=""/>
    <s v=""/>
    <n v="-260"/>
    <s v=""/>
    <s v=""/>
    <s v=""/>
    <n v="-260"/>
    <m/>
    <m/>
    <m/>
  </r>
  <r>
    <x v="5"/>
    <x v="9"/>
    <x v="11"/>
    <n v="8120"/>
    <x v="1"/>
    <x v="1"/>
    <x v="5"/>
    <n v="-8120"/>
    <s v=""/>
    <s v=""/>
    <s v=""/>
    <s v=""/>
    <s v=""/>
    <n v="-8120"/>
    <s v="Bonifico + assegno 5120 del 13/10"/>
    <m/>
    <m/>
  </r>
  <r>
    <x v="5"/>
    <x v="9"/>
    <x v="5"/>
    <n v="366"/>
    <x v="1"/>
    <x v="1"/>
    <x v="5"/>
    <n v="-366"/>
    <s v=""/>
    <s v=""/>
    <s v=""/>
    <s v=""/>
    <s v=""/>
    <n v="-366"/>
    <s v="RIBA"/>
    <m/>
    <m/>
  </r>
  <r>
    <x v="5"/>
    <x v="9"/>
    <x v="25"/>
    <n v="2522"/>
    <x v="1"/>
    <x v="1"/>
    <x v="5"/>
    <n v="-2522"/>
    <s v=""/>
    <s v=""/>
    <s v=""/>
    <s v=""/>
    <s v=""/>
    <n v="-2522"/>
    <s v="CAMBIALE"/>
    <m/>
    <m/>
  </r>
  <r>
    <x v="5"/>
    <x v="9"/>
    <x v="26"/>
    <n v="3300"/>
    <x v="1"/>
    <x v="1"/>
    <x v="5"/>
    <n v="-3300"/>
    <s v=""/>
    <s v=""/>
    <s v=""/>
    <s v=""/>
    <s v=""/>
    <n v="-3300"/>
    <m/>
    <m/>
    <m/>
  </r>
  <r>
    <x v="5"/>
    <x v="9"/>
    <x v="27"/>
    <n v="4100"/>
    <x v="1"/>
    <x v="1"/>
    <x v="5"/>
    <n v="-4100"/>
    <s v=""/>
    <s v=""/>
    <s v=""/>
    <s v=""/>
    <s v=""/>
    <n v="-4100"/>
    <m/>
    <m/>
    <m/>
  </r>
  <r>
    <x v="7"/>
    <x v="10"/>
    <x v="13"/>
    <n v="19000"/>
    <x v="1"/>
    <x v="1"/>
    <x v="4"/>
    <s v=""/>
    <s v=""/>
    <s v=""/>
    <n v="-19000"/>
    <s v=""/>
    <s v=""/>
    <n v="-19000"/>
    <s v="RIMBORSO VERSAMENTO"/>
    <m/>
    <m/>
  </r>
  <r>
    <x v="5"/>
    <x v="11"/>
    <x v="28"/>
    <n v="4731.1499999999996"/>
    <x v="2"/>
    <x v="1"/>
    <x v="4"/>
    <s v=""/>
    <s v=""/>
    <s v=""/>
    <n v="4731.1499999999996"/>
    <s v=""/>
    <s v=""/>
    <n v="4731.1499999999996"/>
    <m/>
    <m/>
    <m/>
  </r>
  <r>
    <x v="5"/>
    <x v="11"/>
    <x v="29"/>
    <n v="5000"/>
    <x v="1"/>
    <x v="1"/>
    <x v="7"/>
    <s v=""/>
    <s v=""/>
    <s v=""/>
    <s v=""/>
    <n v="-5000"/>
    <s v=""/>
    <n v="-5000"/>
    <m/>
    <m/>
    <m/>
  </r>
  <r>
    <x v="5"/>
    <x v="6"/>
    <x v="30"/>
    <n v="4000"/>
    <x v="1"/>
    <x v="1"/>
    <x v="5"/>
    <n v="-4000"/>
    <s v=""/>
    <s v=""/>
    <s v=""/>
    <s v=""/>
    <s v=""/>
    <n v="-4000"/>
    <m/>
    <m/>
    <m/>
  </r>
  <r>
    <x v="5"/>
    <x v="6"/>
    <x v="31"/>
    <n v="246725"/>
    <x v="2"/>
    <x v="1"/>
    <x v="4"/>
    <s v=""/>
    <s v=""/>
    <s v=""/>
    <n v="246725"/>
    <s v=""/>
    <s v=""/>
    <n v="246725"/>
    <m/>
    <m/>
    <m/>
  </r>
  <r>
    <x v="5"/>
    <x v="12"/>
    <x v="29"/>
    <n v="5000"/>
    <x v="1"/>
    <x v="1"/>
    <x v="7"/>
    <s v=""/>
    <s v=""/>
    <s v=""/>
    <s v=""/>
    <n v="-5000"/>
    <s v=""/>
    <n v="-5000"/>
    <m/>
    <m/>
    <m/>
  </r>
  <r>
    <x v="5"/>
    <x v="13"/>
    <x v="32"/>
    <n v="295.8"/>
    <x v="1"/>
    <x v="1"/>
    <x v="5"/>
    <n v="-295.8"/>
    <s v=""/>
    <s v=""/>
    <s v=""/>
    <s v=""/>
    <s v=""/>
    <n v="-295.8"/>
    <m/>
    <m/>
    <m/>
  </r>
  <r>
    <x v="5"/>
    <x v="12"/>
    <x v="33"/>
    <n v="701.77"/>
    <x v="1"/>
    <x v="1"/>
    <x v="5"/>
    <n v="-701.77"/>
    <s v=""/>
    <s v=""/>
    <s v=""/>
    <s v=""/>
    <s v=""/>
    <n v="-701.77"/>
    <m/>
    <m/>
    <m/>
  </r>
  <r>
    <x v="5"/>
    <x v="14"/>
    <x v="34"/>
    <n v="10000"/>
    <x v="1"/>
    <x v="1"/>
    <x v="5"/>
    <n v="-10000"/>
    <s v=""/>
    <s v=""/>
    <s v=""/>
    <s v=""/>
    <s v=""/>
    <n v="-10000"/>
    <m/>
    <m/>
    <m/>
  </r>
  <r>
    <x v="5"/>
    <x v="12"/>
    <x v="28"/>
    <n v="4731.1499999999996"/>
    <x v="2"/>
    <x v="1"/>
    <x v="5"/>
    <n v="4731.1499999999996"/>
    <s v=""/>
    <s v=""/>
    <s v=""/>
    <s v=""/>
    <s v=""/>
    <n v="4731.1499999999996"/>
    <m/>
    <m/>
    <m/>
  </r>
  <r>
    <x v="6"/>
    <x v="14"/>
    <x v="22"/>
    <n v="15000"/>
    <x v="2"/>
    <x v="1"/>
    <x v="5"/>
    <n v="15000"/>
    <s v=""/>
    <s v=""/>
    <s v=""/>
    <s v=""/>
    <s v=""/>
    <n v="15000"/>
    <m/>
    <m/>
    <m/>
  </r>
  <r>
    <x v="6"/>
    <x v="14"/>
    <x v="22"/>
    <n v="15000"/>
    <x v="1"/>
    <x v="1"/>
    <x v="7"/>
    <s v=""/>
    <s v=""/>
    <s v=""/>
    <s v=""/>
    <n v="-15000"/>
    <s v=""/>
    <n v="-15000"/>
    <m/>
    <m/>
    <m/>
  </r>
  <r>
    <x v="5"/>
    <x v="14"/>
    <x v="35"/>
    <n v="7000"/>
    <x v="1"/>
    <x v="1"/>
    <x v="4"/>
    <s v=""/>
    <s v=""/>
    <s v=""/>
    <n v="-7000"/>
    <s v=""/>
    <s v=""/>
    <n v="-7000"/>
    <m/>
    <m/>
    <m/>
  </r>
  <r>
    <x v="5"/>
    <x v="14"/>
    <x v="36"/>
    <n v="4500"/>
    <x v="1"/>
    <x v="1"/>
    <x v="4"/>
    <s v=""/>
    <s v=""/>
    <s v=""/>
    <n v="-4500"/>
    <s v=""/>
    <s v=""/>
    <n v="-4500"/>
    <m/>
    <m/>
    <m/>
  </r>
  <r>
    <x v="5"/>
    <x v="15"/>
    <x v="37"/>
    <n v="1100"/>
    <x v="1"/>
    <x v="1"/>
    <x v="4"/>
    <s v=""/>
    <s v=""/>
    <s v=""/>
    <n v="-1100"/>
    <s v=""/>
    <s v=""/>
    <n v="-1100"/>
    <m/>
    <m/>
    <m/>
  </r>
  <r>
    <x v="5"/>
    <x v="14"/>
    <x v="38"/>
    <n v="13000"/>
    <x v="1"/>
    <x v="1"/>
    <x v="4"/>
    <s v=""/>
    <s v=""/>
    <s v=""/>
    <n v="-13000"/>
    <s v=""/>
    <s v=""/>
    <n v="-13000"/>
    <m/>
    <m/>
    <m/>
  </r>
  <r>
    <x v="5"/>
    <x v="14"/>
    <x v="39"/>
    <n v="1560"/>
    <x v="1"/>
    <x v="1"/>
    <x v="4"/>
    <s v=""/>
    <s v=""/>
    <s v=""/>
    <n v="-1560"/>
    <s v=""/>
    <s v=""/>
    <n v="-1560"/>
    <m/>
    <m/>
    <m/>
  </r>
  <r>
    <x v="5"/>
    <x v="14"/>
    <x v="40"/>
    <n v="3045"/>
    <x v="1"/>
    <x v="1"/>
    <x v="4"/>
    <s v=""/>
    <s v=""/>
    <s v=""/>
    <n v="-3045"/>
    <s v=""/>
    <s v=""/>
    <n v="-3045"/>
    <m/>
    <m/>
    <m/>
  </r>
  <r>
    <x v="5"/>
    <x v="14"/>
    <x v="41"/>
    <n v="870"/>
    <x v="1"/>
    <x v="1"/>
    <x v="4"/>
    <s v=""/>
    <s v=""/>
    <s v=""/>
    <n v="-870"/>
    <s v=""/>
    <s v=""/>
    <n v="-870"/>
    <m/>
    <m/>
    <m/>
  </r>
  <r>
    <x v="5"/>
    <x v="14"/>
    <x v="42"/>
    <n v="811.3"/>
    <x v="1"/>
    <x v="1"/>
    <x v="4"/>
    <s v=""/>
    <s v=""/>
    <s v=""/>
    <n v="-811.3"/>
    <s v=""/>
    <s v=""/>
    <n v="-811.3"/>
    <m/>
    <m/>
    <m/>
  </r>
  <r>
    <x v="5"/>
    <x v="14"/>
    <x v="43"/>
    <n v="2210"/>
    <x v="1"/>
    <x v="1"/>
    <x v="4"/>
    <s v=""/>
    <s v=""/>
    <s v=""/>
    <n v="-2210"/>
    <s v=""/>
    <s v=""/>
    <n v="-2210"/>
    <m/>
    <m/>
    <m/>
  </r>
  <r>
    <x v="5"/>
    <x v="14"/>
    <x v="44"/>
    <n v="2065.71"/>
    <x v="1"/>
    <x v="1"/>
    <x v="4"/>
    <s v=""/>
    <s v=""/>
    <s v=""/>
    <n v="-2065.71"/>
    <s v=""/>
    <s v=""/>
    <n v="-2065.71"/>
    <m/>
    <m/>
    <m/>
  </r>
  <r>
    <x v="5"/>
    <x v="11"/>
    <x v="45"/>
    <n v="16000"/>
    <x v="1"/>
    <x v="1"/>
    <x v="5"/>
    <n v="-16000"/>
    <s v=""/>
    <s v=""/>
    <s v=""/>
    <s v=""/>
    <s v=""/>
    <n v="-16000"/>
    <m/>
    <m/>
    <m/>
  </r>
  <r>
    <x v="5"/>
    <x v="11"/>
    <x v="46"/>
    <n v="9000"/>
    <x v="1"/>
    <x v="1"/>
    <x v="5"/>
    <n v="-9000"/>
    <s v=""/>
    <s v=""/>
    <s v=""/>
    <s v=""/>
    <s v=""/>
    <n v="-9000"/>
    <s v="restituzione conferimento"/>
    <m/>
    <m/>
  </r>
  <r>
    <x v="5"/>
    <x v="14"/>
    <x v="47"/>
    <n v="329"/>
    <x v="1"/>
    <x v="1"/>
    <x v="4"/>
    <s v=""/>
    <s v=""/>
    <s v=""/>
    <n v="-329"/>
    <s v=""/>
    <s v=""/>
    <n v="-329"/>
    <m/>
    <m/>
    <m/>
  </r>
  <r>
    <x v="5"/>
    <x v="14"/>
    <x v="48"/>
    <n v="1162"/>
    <x v="1"/>
    <x v="1"/>
    <x v="4"/>
    <s v=""/>
    <s v=""/>
    <s v=""/>
    <n v="-1162"/>
    <s v=""/>
    <s v=""/>
    <n v="-1162"/>
    <m/>
    <m/>
    <m/>
  </r>
  <r>
    <x v="5"/>
    <x v="14"/>
    <x v="49"/>
    <n v="6000"/>
    <x v="1"/>
    <x v="1"/>
    <x v="4"/>
    <s v=""/>
    <s v=""/>
    <s v=""/>
    <n v="-6000"/>
    <s v=""/>
    <s v=""/>
    <n v="-6000"/>
    <s v="con pagamento ricezione ft 22 / CONDOMINIO SERENA"/>
    <m/>
    <m/>
  </r>
  <r>
    <x v="5"/>
    <x v="11"/>
    <x v="50"/>
    <n v="2000"/>
    <x v="1"/>
    <x v="1"/>
    <x v="4"/>
    <s v=""/>
    <s v=""/>
    <s v=""/>
    <n v="-2000"/>
    <s v=""/>
    <s v=""/>
    <n v="-2000"/>
    <m/>
    <m/>
    <m/>
  </r>
  <r>
    <x v="5"/>
    <x v="11"/>
    <x v="51"/>
    <n v="2458.96"/>
    <x v="1"/>
    <x v="1"/>
    <x v="4"/>
    <s v=""/>
    <s v=""/>
    <s v=""/>
    <n v="-2458.96"/>
    <s v=""/>
    <s v=""/>
    <n v="-2458.96"/>
    <m/>
    <m/>
    <m/>
  </r>
  <r>
    <x v="5"/>
    <x v="11"/>
    <x v="52"/>
    <n v="582"/>
    <x v="1"/>
    <x v="1"/>
    <x v="4"/>
    <s v=""/>
    <s v=""/>
    <s v=""/>
    <n v="-582"/>
    <s v=""/>
    <s v=""/>
    <n v="-582"/>
    <s v="Assicurazione Bergamo, Via Ghislandi"/>
    <m/>
    <m/>
  </r>
  <r>
    <x v="5"/>
    <x v="14"/>
    <x v="53"/>
    <n v="3206.4"/>
    <x v="1"/>
    <x v="1"/>
    <x v="4"/>
    <s v=""/>
    <s v=""/>
    <s v=""/>
    <n v="-3206.4"/>
    <s v=""/>
    <s v=""/>
    <n v="-3206.4"/>
    <s v="PROFORMA"/>
    <m/>
    <m/>
  </r>
  <r>
    <x v="5"/>
    <x v="16"/>
    <x v="54"/>
    <n v="2409.5500000000002"/>
    <x v="1"/>
    <x v="1"/>
    <x v="4"/>
    <s v=""/>
    <s v=""/>
    <s v=""/>
    <n v="-2409.5500000000002"/>
    <s v=""/>
    <s v=""/>
    <n v="-2409.5500000000002"/>
    <m/>
    <m/>
    <m/>
  </r>
  <r>
    <x v="5"/>
    <x v="16"/>
    <x v="55"/>
    <n v="2215.7600000000002"/>
    <x v="1"/>
    <x v="1"/>
    <x v="4"/>
    <s v=""/>
    <s v=""/>
    <s v=""/>
    <n v="-2215.7600000000002"/>
    <s v=""/>
    <s v=""/>
    <n v="-2215.7600000000002"/>
    <m/>
    <m/>
    <m/>
  </r>
  <r>
    <x v="5"/>
    <x v="16"/>
    <x v="56"/>
    <n v="1070.6400000000001"/>
    <x v="1"/>
    <x v="1"/>
    <x v="4"/>
    <s v=""/>
    <s v=""/>
    <s v=""/>
    <n v="-1070.6400000000001"/>
    <s v=""/>
    <s v=""/>
    <n v="-1070.6400000000001"/>
    <s v="decreto ingiuntivo"/>
    <m/>
    <m/>
  </r>
  <r>
    <x v="5"/>
    <x v="16"/>
    <x v="57"/>
    <n v="3395"/>
    <x v="1"/>
    <x v="1"/>
    <x v="4"/>
    <s v=""/>
    <s v=""/>
    <s v=""/>
    <n v="-3395"/>
    <s v=""/>
    <s v=""/>
    <n v="-3395"/>
    <m/>
    <m/>
    <m/>
  </r>
  <r>
    <x v="5"/>
    <x v="16"/>
    <x v="11"/>
    <n v="2221"/>
    <x v="1"/>
    <x v="1"/>
    <x v="4"/>
    <s v=""/>
    <s v=""/>
    <s v=""/>
    <n v="-2221"/>
    <s v=""/>
    <s v=""/>
    <n v="-2221"/>
    <s v="DONATI"/>
    <m/>
    <m/>
  </r>
  <r>
    <x v="5"/>
    <x v="16"/>
    <x v="11"/>
    <n v="3000"/>
    <x v="1"/>
    <x v="1"/>
    <x v="4"/>
    <s v=""/>
    <s v=""/>
    <s v=""/>
    <n v="-3000"/>
    <s v=""/>
    <s v=""/>
    <n v="-3000"/>
    <s v="LANFRANCHI"/>
    <m/>
    <m/>
  </r>
  <r>
    <x v="5"/>
    <x v="16"/>
    <x v="11"/>
    <n v="1400"/>
    <x v="1"/>
    <x v="1"/>
    <x v="4"/>
    <s v=""/>
    <s v=""/>
    <s v=""/>
    <n v="-1400"/>
    <s v=""/>
    <s v=""/>
    <n v="-1400"/>
    <s v="RODIGARI"/>
    <m/>
    <m/>
  </r>
  <r>
    <x v="5"/>
    <x v="16"/>
    <x v="11"/>
    <n v="1084"/>
    <x v="1"/>
    <x v="1"/>
    <x v="4"/>
    <s v=""/>
    <s v=""/>
    <s v=""/>
    <n v="-1084"/>
    <s v=""/>
    <s v=""/>
    <n v="-1084"/>
    <s v="BACIS"/>
    <m/>
    <m/>
  </r>
  <r>
    <x v="5"/>
    <x v="11"/>
    <x v="58"/>
    <n v="299"/>
    <x v="1"/>
    <x v="1"/>
    <x v="5"/>
    <n v="-299"/>
    <s v=""/>
    <s v=""/>
    <s v=""/>
    <s v=""/>
    <s v=""/>
    <n v="-299"/>
    <m/>
    <m/>
    <m/>
  </r>
  <r>
    <x v="5"/>
    <x v="16"/>
    <x v="59"/>
    <n v="284.89999999999998"/>
    <x v="1"/>
    <x v="1"/>
    <x v="5"/>
    <n v="-284.89999999999998"/>
    <s v=""/>
    <s v=""/>
    <s v=""/>
    <s v=""/>
    <s v=""/>
    <n v="-284.89999999999998"/>
    <m/>
    <m/>
    <m/>
  </r>
  <r>
    <x v="5"/>
    <x v="16"/>
    <x v="60"/>
    <n v="2500"/>
    <x v="1"/>
    <x v="1"/>
    <x v="5"/>
    <n v="-2500"/>
    <s v=""/>
    <s v=""/>
    <s v=""/>
    <s v=""/>
    <s v=""/>
    <n v="-2500"/>
    <m/>
    <m/>
    <m/>
  </r>
  <r>
    <x v="5"/>
    <x v="13"/>
    <x v="61"/>
    <n v="1923.2"/>
    <x v="1"/>
    <x v="1"/>
    <x v="5"/>
    <n v="-1923.2"/>
    <s v=""/>
    <s v=""/>
    <s v=""/>
    <s v=""/>
    <s v=""/>
    <n v="-1923.2"/>
    <s v="ASSEGNO"/>
    <m/>
    <m/>
  </r>
  <r>
    <x v="5"/>
    <x v="13"/>
    <x v="62"/>
    <n v="474.24"/>
    <x v="1"/>
    <x v="1"/>
    <x v="5"/>
    <n v="-474.24"/>
    <s v=""/>
    <s v=""/>
    <s v=""/>
    <s v=""/>
    <s v=""/>
    <n v="-474.24"/>
    <s v="aggiornato al 21/10"/>
    <m/>
    <m/>
  </r>
  <r>
    <x v="5"/>
    <x v="13"/>
    <x v="62"/>
    <n v="21.92"/>
    <x v="1"/>
    <x v="1"/>
    <x v="2"/>
    <s v=""/>
    <s v=""/>
    <n v="-21.92"/>
    <s v=""/>
    <s v=""/>
    <s v=""/>
    <n v="-21.92"/>
    <s v="aggiornato al 21/10"/>
    <m/>
    <m/>
  </r>
  <r>
    <x v="5"/>
    <x v="13"/>
    <x v="62"/>
    <n v="71.78"/>
    <x v="1"/>
    <x v="1"/>
    <x v="4"/>
    <s v=""/>
    <s v=""/>
    <s v=""/>
    <n v="-71.78"/>
    <s v=""/>
    <s v=""/>
    <n v="-71.78"/>
    <s v="aggiornato al 21/10"/>
    <m/>
    <m/>
  </r>
  <r>
    <x v="5"/>
    <x v="13"/>
    <x v="62"/>
    <n v="215.91"/>
    <x v="1"/>
    <x v="1"/>
    <x v="7"/>
    <s v=""/>
    <s v=""/>
    <s v=""/>
    <s v=""/>
    <n v="-215.91"/>
    <s v=""/>
    <n v="-215.91"/>
    <s v="aggiornato al 21/10"/>
    <m/>
    <m/>
  </r>
  <r>
    <x v="5"/>
    <x v="13"/>
    <x v="62"/>
    <n v="49.42"/>
    <x v="1"/>
    <x v="1"/>
    <x v="3"/>
    <s v=""/>
    <n v="-49.42"/>
    <s v=""/>
    <s v=""/>
    <s v=""/>
    <s v=""/>
    <n v="-49.42"/>
    <s v="aggiornato al 21/10"/>
    <m/>
    <m/>
  </r>
  <r>
    <x v="5"/>
    <x v="17"/>
    <x v="63"/>
    <n v="2110"/>
    <x v="1"/>
    <x v="1"/>
    <x v="5"/>
    <n v="-2110"/>
    <s v=""/>
    <s v=""/>
    <s v=""/>
    <s v=""/>
    <s v=""/>
    <n v="-2110"/>
    <m/>
    <m/>
    <m/>
  </r>
  <r>
    <x v="5"/>
    <x v="13"/>
    <x v="24"/>
    <n v="200"/>
    <x v="1"/>
    <x v="1"/>
    <x v="2"/>
    <s v=""/>
    <s v=""/>
    <n v="-200"/>
    <s v=""/>
    <s v=""/>
    <s v=""/>
    <n v="-200"/>
    <m/>
    <m/>
    <m/>
  </r>
  <r>
    <x v="5"/>
    <x v="17"/>
    <x v="64"/>
    <n v="2690"/>
    <x v="1"/>
    <x v="1"/>
    <x v="5"/>
    <n v="-2690"/>
    <s v=""/>
    <s v=""/>
    <s v=""/>
    <s v=""/>
    <s v=""/>
    <n v="-2690"/>
    <s v="C:\Users\Ufficio\Downloads\Polizza RC ditta 47878304.pdf"/>
    <m/>
    <m/>
  </r>
  <r>
    <x v="6"/>
    <x v="18"/>
    <x v="65"/>
    <n v="4600"/>
    <x v="2"/>
    <x v="1"/>
    <x v="2"/>
    <s v=""/>
    <s v=""/>
    <n v="4600"/>
    <s v=""/>
    <s v=""/>
    <s v=""/>
    <n v="4600"/>
    <m/>
    <m/>
    <m/>
  </r>
  <r>
    <x v="6"/>
    <x v="18"/>
    <x v="65"/>
    <n v="4600"/>
    <x v="1"/>
    <x v="1"/>
    <x v="5"/>
    <n v="-4600"/>
    <s v=""/>
    <s v=""/>
    <s v=""/>
    <s v=""/>
    <s v=""/>
    <n v="-4600"/>
    <m/>
    <m/>
    <m/>
  </r>
  <r>
    <x v="5"/>
    <x v="17"/>
    <x v="28"/>
    <n v="4732"/>
    <x v="2"/>
    <x v="1"/>
    <x v="5"/>
    <n v="4732"/>
    <s v=""/>
    <s v=""/>
    <s v=""/>
    <s v=""/>
    <s v=""/>
    <n v="4732"/>
    <m/>
    <m/>
    <m/>
  </r>
  <r>
    <x v="5"/>
    <x v="16"/>
    <x v="66"/>
    <n v="78000"/>
    <x v="2"/>
    <x v="1"/>
    <x v="5"/>
    <n v="78000"/>
    <s v=""/>
    <s v=""/>
    <s v=""/>
    <s v=""/>
    <s v=""/>
    <n v="78000"/>
    <m/>
    <m/>
    <m/>
  </r>
  <r>
    <x v="5"/>
    <x v="16"/>
    <x v="67"/>
    <n v="42220"/>
    <x v="2"/>
    <x v="1"/>
    <x v="5"/>
    <n v="42220"/>
    <s v=""/>
    <s v=""/>
    <s v=""/>
    <s v=""/>
    <s v=""/>
    <n v="42220"/>
    <m/>
    <m/>
    <m/>
  </r>
  <r>
    <x v="5"/>
    <x v="16"/>
    <x v="68"/>
    <n v="1989"/>
    <x v="1"/>
    <x v="1"/>
    <x v="2"/>
    <s v=""/>
    <s v=""/>
    <n v="-1989"/>
    <s v=""/>
    <s v=""/>
    <s v=""/>
    <n v="-1989"/>
    <m/>
    <m/>
    <m/>
  </r>
  <r>
    <x v="5"/>
    <x v="16"/>
    <x v="69"/>
    <n v="2850"/>
    <x v="1"/>
    <x v="1"/>
    <x v="2"/>
    <s v=""/>
    <s v=""/>
    <n v="-2850"/>
    <s v=""/>
    <s v=""/>
    <s v=""/>
    <n v="-2850"/>
    <m/>
    <m/>
    <m/>
  </r>
  <r>
    <x v="6"/>
    <x v="19"/>
    <x v="9"/>
    <n v="5000"/>
    <x v="2"/>
    <x v="1"/>
    <x v="2"/>
    <s v=""/>
    <s v=""/>
    <n v="5000"/>
    <s v=""/>
    <s v=""/>
    <s v=""/>
    <n v="5000"/>
    <m/>
    <m/>
    <m/>
  </r>
  <r>
    <x v="6"/>
    <x v="19"/>
    <x v="9"/>
    <n v="5000"/>
    <x v="1"/>
    <x v="1"/>
    <x v="7"/>
    <s v=""/>
    <s v=""/>
    <s v=""/>
    <s v=""/>
    <n v="-5000"/>
    <s v=""/>
    <n v="-5000"/>
    <m/>
    <m/>
    <m/>
  </r>
  <r>
    <x v="5"/>
    <x v="18"/>
    <x v="70"/>
    <n v="690.14"/>
    <x v="1"/>
    <x v="1"/>
    <x v="2"/>
    <s v=""/>
    <s v=""/>
    <n v="-690.14"/>
    <s v=""/>
    <s v=""/>
    <s v=""/>
    <n v="-690.14"/>
    <m/>
    <m/>
    <m/>
  </r>
  <r>
    <x v="5"/>
    <x v="16"/>
    <x v="29"/>
    <n v="10000"/>
    <x v="1"/>
    <x v="1"/>
    <x v="7"/>
    <s v=""/>
    <s v=""/>
    <s v=""/>
    <s v=""/>
    <n v="-10000"/>
    <s v=""/>
    <n v="-10000"/>
    <m/>
    <m/>
    <m/>
  </r>
  <r>
    <x v="5"/>
    <x v="16"/>
    <x v="33"/>
    <n v="98.48"/>
    <x v="1"/>
    <x v="1"/>
    <x v="7"/>
    <s v=""/>
    <s v=""/>
    <s v=""/>
    <s v=""/>
    <n v="-98.48"/>
    <s v=""/>
    <n v="-98.48"/>
    <m/>
    <m/>
    <m/>
  </r>
  <r>
    <x v="5"/>
    <x v="18"/>
    <x v="57"/>
    <n v="2300"/>
    <x v="1"/>
    <x v="1"/>
    <x v="7"/>
    <s v=""/>
    <s v=""/>
    <s v=""/>
    <s v=""/>
    <n v="-2300"/>
    <s v=""/>
    <n v="-2300"/>
    <m/>
    <m/>
    <m/>
  </r>
  <r>
    <x v="5"/>
    <x v="18"/>
    <x v="71"/>
    <n v="604.53"/>
    <x v="1"/>
    <x v="1"/>
    <x v="5"/>
    <n v="-604.53"/>
    <s v=""/>
    <s v=""/>
    <s v=""/>
    <s v=""/>
    <s v=""/>
    <n v="-604.53"/>
    <m/>
    <m/>
    <m/>
  </r>
  <r>
    <x v="5"/>
    <x v="18"/>
    <x v="72"/>
    <n v="2000"/>
    <x v="1"/>
    <x v="1"/>
    <x v="4"/>
    <s v=""/>
    <s v=""/>
    <s v=""/>
    <n v="-2000"/>
    <s v=""/>
    <s v=""/>
    <n v="-2000"/>
    <s v="contabile da mandare"/>
    <m/>
    <m/>
  </r>
  <r>
    <x v="5"/>
    <x v="18"/>
    <x v="73"/>
    <n v="1236.81"/>
    <x v="1"/>
    <x v="1"/>
    <x v="4"/>
    <s v=""/>
    <s v=""/>
    <s v=""/>
    <n v="-1236.81"/>
    <s v=""/>
    <m/>
    <n v="-1236.81"/>
    <s v="contabile da mandare"/>
    <m/>
    <m/>
  </r>
  <r>
    <x v="5"/>
    <x v="18"/>
    <x v="74"/>
    <n v="4200"/>
    <x v="1"/>
    <x v="1"/>
    <x v="4"/>
    <s v=""/>
    <s v=""/>
    <s v=""/>
    <n v="-4200"/>
    <s v=""/>
    <s v=""/>
    <n v="-4200"/>
    <s v="contabile da mandare"/>
    <m/>
    <m/>
  </r>
  <r>
    <x v="5"/>
    <x v="18"/>
    <x v="75"/>
    <n v="400"/>
    <x v="1"/>
    <x v="1"/>
    <x v="4"/>
    <s v=""/>
    <s v=""/>
    <s v=""/>
    <n v="-400"/>
    <s v=""/>
    <s v=""/>
    <n v="-400"/>
    <s v="contabile da mandare"/>
    <m/>
    <m/>
  </r>
  <r>
    <x v="6"/>
    <x v="18"/>
    <x v="76"/>
    <n v="550"/>
    <x v="2"/>
    <x v="1"/>
    <x v="3"/>
    <s v=""/>
    <n v="550"/>
    <s v=""/>
    <s v=""/>
    <s v=""/>
    <s v=""/>
    <n v="550"/>
    <m/>
    <m/>
    <m/>
  </r>
  <r>
    <x v="6"/>
    <x v="18"/>
    <x v="76"/>
    <n v="550"/>
    <x v="1"/>
    <x v="1"/>
    <x v="4"/>
    <s v=""/>
    <s v=""/>
    <s v=""/>
    <n v="-550"/>
    <s v=""/>
    <s v=""/>
    <n v="-550"/>
    <m/>
    <m/>
    <m/>
  </r>
  <r>
    <x v="5"/>
    <x v="18"/>
    <x v="28"/>
    <n v="4731.1499999999996"/>
    <x v="2"/>
    <x v="1"/>
    <x v="5"/>
    <n v="4731.1499999999996"/>
    <s v=""/>
    <s v=""/>
    <s v=""/>
    <s v=""/>
    <s v=""/>
    <n v="4731.1499999999996"/>
    <m/>
    <m/>
    <m/>
  </r>
  <r>
    <x v="5"/>
    <x v="20"/>
    <x v="77"/>
    <n v="210.49"/>
    <x v="1"/>
    <x v="1"/>
    <x v="5"/>
    <n v="-210.49"/>
    <s v=""/>
    <s v=""/>
    <s v=""/>
    <s v=""/>
    <s v=""/>
    <n v="-210.49"/>
    <m/>
    <m/>
    <m/>
  </r>
  <r>
    <x v="5"/>
    <x v="20"/>
    <x v="78"/>
    <n v="4397.03"/>
    <x v="1"/>
    <x v="1"/>
    <x v="5"/>
    <n v="-4397.03"/>
    <s v=""/>
    <s v=""/>
    <s v=""/>
    <s v=""/>
    <s v=""/>
    <s v="non ancora confermato"/>
    <m/>
    <m/>
    <m/>
  </r>
  <r>
    <x v="5"/>
    <x v="20"/>
    <x v="70"/>
    <n v="4041.96"/>
    <x v="1"/>
    <x v="1"/>
    <x v="2"/>
    <s v=""/>
    <s v=""/>
    <n v="-4041.96"/>
    <s v=""/>
    <s v=""/>
    <s v=""/>
    <s v="non ancora confermato"/>
    <m/>
    <m/>
    <m/>
  </r>
  <r>
    <x v="5"/>
    <x v="21"/>
    <x v="79"/>
    <n v="24535.1"/>
    <x v="2"/>
    <x v="1"/>
    <x v="7"/>
    <s v=""/>
    <s v=""/>
    <s v=""/>
    <s v=""/>
    <n v="24535.1"/>
    <s v=""/>
    <n v="24535.1"/>
    <s v="2431.40 DI RITENUTA DI ACCONTO"/>
    <m/>
    <m/>
  </r>
  <r>
    <x v="5"/>
    <x v="21"/>
    <x v="19"/>
    <n v="3075.74"/>
    <x v="1"/>
    <x v="1"/>
    <x v="4"/>
    <s v=""/>
    <s v=""/>
    <s v=""/>
    <n v="-3075.74"/>
    <s v=""/>
    <s v=""/>
    <n v="-3075.74"/>
    <m/>
    <m/>
    <m/>
  </r>
  <r>
    <x v="5"/>
    <x v="21"/>
    <x v="11"/>
    <n v="460"/>
    <x v="1"/>
    <x v="1"/>
    <x v="4"/>
    <s v=""/>
    <s v=""/>
    <s v=""/>
    <n v="-460"/>
    <s v=""/>
    <s v=""/>
    <n v="-460"/>
    <s v="RODIGARI"/>
    <m/>
    <m/>
  </r>
  <r>
    <x v="5"/>
    <x v="21"/>
    <x v="80"/>
    <n v="36.6"/>
    <x v="1"/>
    <x v="1"/>
    <x v="5"/>
    <n v="-36.6"/>
    <s v=""/>
    <s v=""/>
    <s v=""/>
    <s v=""/>
    <m/>
    <n v="-36.6"/>
    <m/>
    <m/>
    <m/>
  </r>
  <r>
    <x v="5"/>
    <x v="21"/>
    <x v="81"/>
    <n v="30.19"/>
    <x v="1"/>
    <x v="1"/>
    <x v="5"/>
    <n v="-30.19"/>
    <s v=""/>
    <s v=""/>
    <s v=""/>
    <s v=""/>
    <m/>
    <n v="-30.19"/>
    <s v="Codice avviso: 300202000058421541."/>
    <m/>
    <m/>
  </r>
  <r>
    <x v="5"/>
    <x v="15"/>
    <x v="5"/>
    <n v="13000"/>
    <x v="1"/>
    <x v="1"/>
    <x v="5"/>
    <n v="-13000"/>
    <s v=""/>
    <s v=""/>
    <s v=""/>
    <s v=""/>
    <s v=""/>
    <n v="-13000"/>
    <m/>
    <m/>
    <m/>
  </r>
  <r>
    <x v="5"/>
    <x v="15"/>
    <x v="3"/>
    <n v="502.42"/>
    <x v="1"/>
    <x v="1"/>
    <x v="3"/>
    <s v=""/>
    <n v="-502.42"/>
    <s v=""/>
    <s v=""/>
    <s v=""/>
    <s v=""/>
    <n v="-502.42"/>
    <m/>
    <m/>
    <m/>
  </r>
  <r>
    <x v="5"/>
    <x v="15"/>
    <x v="41"/>
    <n v="580"/>
    <x v="1"/>
    <x v="1"/>
    <x v="4"/>
    <s v=""/>
    <s v=""/>
    <s v=""/>
    <n v="-580"/>
    <s v=""/>
    <s v=""/>
    <n v="-580"/>
    <s v="saldo cessione del quinto priori"/>
    <m/>
    <m/>
  </r>
  <r>
    <x v="5"/>
    <x v="15"/>
    <x v="82"/>
    <n v="1000"/>
    <x v="1"/>
    <x v="1"/>
    <x v="4"/>
    <s v=""/>
    <s v=""/>
    <s v=""/>
    <n v="-1000"/>
    <s v=""/>
    <s v=""/>
    <n v="-1000"/>
    <m/>
    <m/>
    <m/>
  </r>
  <r>
    <x v="5"/>
    <x v="15"/>
    <x v="4"/>
    <n v="176.42"/>
    <x v="1"/>
    <x v="1"/>
    <x v="4"/>
    <s v=""/>
    <s v=""/>
    <s v=""/>
    <n v="-176.42"/>
    <s v=""/>
    <s v=""/>
    <n v="-176.42"/>
    <m/>
    <m/>
    <m/>
  </r>
  <r>
    <x v="5"/>
    <x v="15"/>
    <x v="83"/>
    <n v="16000"/>
    <x v="1"/>
    <x v="1"/>
    <x v="5"/>
    <n v="-16000"/>
    <s v=""/>
    <s v=""/>
    <s v=""/>
    <s v=""/>
    <s v=""/>
    <n v="-16000"/>
    <s v="Vs assegno n.0014283786"/>
    <m/>
    <m/>
  </r>
  <r>
    <x v="3"/>
    <x v="0"/>
    <x v="1"/>
    <m/>
    <x v="0"/>
    <x v="2"/>
    <x v="8"/>
    <s v="USCITE PREVISTE:"/>
    <n v="451674.36000000004"/>
    <s v="DELTA:"/>
    <n v="257706.19"/>
    <m/>
    <s v="RIMANENZA PREVISTA:"/>
    <n v="271333.51000000007"/>
    <m/>
    <m/>
    <m/>
  </r>
  <r>
    <x v="8"/>
    <x v="0"/>
    <x v="1"/>
    <n v="-184263.03"/>
    <x v="0"/>
    <x v="0"/>
    <x v="1"/>
    <n v="91329.889999999985"/>
    <n v="47.869999999999948"/>
    <n v="434.01999999999953"/>
    <n v="150453.46000000002"/>
    <n v="29068.269999999997"/>
    <n v="0"/>
    <n v="271333.51"/>
    <s v="DI RIMANENZA EFFETTIVA"/>
    <n v="271333.51"/>
    <m/>
  </r>
  <r>
    <x v="9"/>
    <x v="22"/>
    <x v="7"/>
    <n v="8741.92"/>
    <x v="1"/>
    <x v="1"/>
    <x v="4"/>
    <s v=""/>
    <s v=""/>
    <s v=""/>
    <n v="-8741.92"/>
    <s v=""/>
    <m/>
    <n v="-8741.92"/>
    <m/>
    <m/>
    <m/>
  </r>
  <r>
    <x v="9"/>
    <x v="22"/>
    <x v="36"/>
    <n v="4500"/>
    <x v="1"/>
    <x v="1"/>
    <x v="4"/>
    <s v=""/>
    <s v=""/>
    <s v=""/>
    <n v="-4500"/>
    <s v=""/>
    <m/>
    <n v="-4500"/>
    <m/>
    <m/>
    <m/>
  </r>
  <r>
    <x v="9"/>
    <x v="22"/>
    <x v="43"/>
    <n v="2024"/>
    <x v="1"/>
    <x v="1"/>
    <x v="4"/>
    <s v=""/>
    <s v=""/>
    <s v=""/>
    <n v="-2024"/>
    <s v=""/>
    <m/>
    <n v="-2024"/>
    <m/>
    <m/>
    <m/>
  </r>
  <r>
    <x v="9"/>
    <x v="22"/>
    <x v="50"/>
    <n v="2000"/>
    <x v="1"/>
    <x v="1"/>
    <x v="4"/>
    <s v=""/>
    <s v=""/>
    <s v=""/>
    <n v="-2000"/>
    <s v=""/>
    <m/>
    <n v="-2000"/>
    <m/>
    <m/>
    <m/>
  </r>
  <r>
    <x v="9"/>
    <x v="22"/>
    <x v="49"/>
    <n v="4000"/>
    <x v="1"/>
    <x v="1"/>
    <x v="7"/>
    <s v=""/>
    <s v=""/>
    <s v=""/>
    <s v=""/>
    <n v="-4000"/>
    <m/>
    <n v="-4000"/>
    <m/>
    <m/>
    <m/>
  </r>
  <r>
    <x v="9"/>
    <x v="23"/>
    <x v="24"/>
    <n v="230"/>
    <x v="1"/>
    <x v="1"/>
    <x v="2"/>
    <s v=""/>
    <s v=""/>
    <n v="-230"/>
    <s v=""/>
    <s v=""/>
    <s v=""/>
    <n v="-230"/>
    <m/>
    <m/>
    <m/>
  </r>
  <r>
    <x v="9"/>
    <x v="24"/>
    <x v="14"/>
    <n v="196.26"/>
    <x v="1"/>
    <x v="1"/>
    <x v="5"/>
    <n v="-196.26"/>
    <s v=""/>
    <s v=""/>
    <s v=""/>
    <s v=""/>
    <m/>
    <n v="-196.26"/>
    <m/>
    <m/>
    <m/>
  </r>
  <r>
    <x v="9"/>
    <x v="23"/>
    <x v="81"/>
    <n v="8.33"/>
    <x v="1"/>
    <x v="1"/>
    <x v="5"/>
    <n v="-8.33"/>
    <s v=""/>
    <s v=""/>
    <s v=""/>
    <s v=""/>
    <m/>
    <n v="-8.33"/>
    <s v="Codice avviso: 397000000112597392."/>
    <m/>
    <m/>
  </r>
  <r>
    <x v="9"/>
    <x v="23"/>
    <x v="58"/>
    <n v="208"/>
    <x v="1"/>
    <x v="1"/>
    <x v="5"/>
    <n v="-208"/>
    <s v=""/>
    <s v=""/>
    <s v=""/>
    <s v=""/>
    <m/>
    <n v="-208"/>
    <m/>
    <m/>
    <m/>
  </r>
  <r>
    <x v="9"/>
    <x v="23"/>
    <x v="81"/>
    <n v="16"/>
    <x v="1"/>
    <x v="1"/>
    <x v="5"/>
    <n v="-16"/>
    <s v=""/>
    <s v=""/>
    <s v=""/>
    <s v=""/>
    <m/>
    <n v="-16"/>
    <s v="Codice avviso: 397000000112597804."/>
    <m/>
    <m/>
  </r>
  <r>
    <x v="9"/>
    <x v="25"/>
    <x v="84"/>
    <n v="200"/>
    <x v="1"/>
    <x v="1"/>
    <x v="4"/>
    <s v=""/>
    <s v=""/>
    <s v=""/>
    <n v="-200"/>
    <s v=""/>
    <m/>
    <n v="-200"/>
    <s v="provini + pasto"/>
    <m/>
    <m/>
  </r>
  <r>
    <x v="9"/>
    <x v="26"/>
    <x v="17"/>
    <n v="328.43"/>
    <x v="1"/>
    <x v="1"/>
    <x v="5"/>
    <n v="-328.43"/>
    <s v=""/>
    <s v=""/>
    <s v=""/>
    <s v=""/>
    <m/>
    <n v="-328.43"/>
    <s v="RID"/>
    <m/>
    <m/>
  </r>
  <r>
    <x v="9"/>
    <x v="27"/>
    <x v="85"/>
    <n v="1000"/>
    <x v="1"/>
    <x v="1"/>
    <x v="5"/>
    <n v="-1000"/>
    <s v=""/>
    <s v=""/>
    <s v=""/>
    <s v=""/>
    <m/>
    <n v="-1000"/>
    <m/>
    <m/>
    <m/>
  </r>
  <r>
    <x v="9"/>
    <x v="27"/>
    <x v="35"/>
    <n v="11000"/>
    <x v="1"/>
    <x v="1"/>
    <x v="5"/>
    <n v="-11000"/>
    <s v=""/>
    <s v=""/>
    <s v=""/>
    <s v=""/>
    <m/>
    <n v="-11000"/>
    <m/>
    <m/>
    <m/>
  </r>
  <r>
    <x v="9"/>
    <x v="28"/>
    <x v="38"/>
    <n v="13000"/>
    <x v="1"/>
    <x v="1"/>
    <x v="5"/>
    <n v="-13000"/>
    <s v=""/>
    <s v=""/>
    <s v=""/>
    <s v=""/>
    <m/>
    <n v="-13000"/>
    <m/>
    <m/>
    <m/>
  </r>
  <r>
    <x v="9"/>
    <x v="28"/>
    <x v="86"/>
    <n v="10000"/>
    <x v="1"/>
    <x v="1"/>
    <x v="7"/>
    <s v=""/>
    <s v=""/>
    <s v=""/>
    <s v=""/>
    <n v="-10000"/>
    <m/>
    <n v="-10000"/>
    <s v="Rit. Bonifici 937.70"/>
    <m/>
    <m/>
  </r>
  <r>
    <x v="9"/>
    <x v="28"/>
    <x v="29"/>
    <n v="9462.2999999999993"/>
    <x v="2"/>
    <x v="1"/>
    <x v="5"/>
    <n v="9462.2999999999993"/>
    <s v=""/>
    <s v=""/>
    <s v=""/>
    <s v=""/>
    <m/>
    <n v="9462.2999999999993"/>
    <s v="Rit. Bonifici 937.70"/>
    <m/>
    <m/>
  </r>
  <r>
    <x v="9"/>
    <x v="28"/>
    <x v="61"/>
    <n v="567.29999999999995"/>
    <x v="1"/>
    <x v="1"/>
    <x v="5"/>
    <n v="-567.29999999999995"/>
    <s v=""/>
    <s v=""/>
    <s v=""/>
    <s v=""/>
    <m/>
    <n v="-567.29999999999995"/>
    <s v="RIBA 10/11"/>
    <m/>
    <m/>
  </r>
  <r>
    <x v="9"/>
    <x v="28"/>
    <x v="37"/>
    <n v="331.46"/>
    <x v="1"/>
    <x v="1"/>
    <x v="5"/>
    <n v="-331.46"/>
    <s v=""/>
    <s v=""/>
    <s v=""/>
    <s v=""/>
    <m/>
    <n v="-331.46"/>
    <s v="RIBA 10/11"/>
    <m/>
    <m/>
  </r>
  <r>
    <x v="9"/>
    <x v="28"/>
    <x v="37"/>
    <n v="844.92"/>
    <x v="1"/>
    <x v="1"/>
    <x v="4"/>
    <s v=""/>
    <s v=""/>
    <s v=""/>
    <n v="-844.92"/>
    <s v=""/>
    <m/>
    <n v="-844.92"/>
    <m/>
    <m/>
    <m/>
  </r>
  <r>
    <x v="9"/>
    <x v="28"/>
    <x v="87"/>
    <n v="634.4"/>
    <x v="1"/>
    <x v="1"/>
    <x v="5"/>
    <n v="-634.4"/>
    <s v=""/>
    <s v=""/>
    <s v=""/>
    <s v=""/>
    <m/>
    <n v="-634.4"/>
    <m/>
    <m/>
    <m/>
  </r>
  <r>
    <x v="9"/>
    <x v="28"/>
    <x v="25"/>
    <n v="10536.59"/>
    <x v="1"/>
    <x v="1"/>
    <x v="5"/>
    <n v="-10536.59"/>
    <s v=""/>
    <s v=""/>
    <s v=""/>
    <s v=""/>
    <m/>
    <n v="-10536.59"/>
    <s v="CAMBIALE"/>
    <m/>
    <m/>
  </r>
  <r>
    <x v="9"/>
    <x v="28"/>
    <x v="88"/>
    <n v="27.94"/>
    <x v="1"/>
    <x v="1"/>
    <x v="5"/>
    <n v="-27.94"/>
    <s v=""/>
    <s v=""/>
    <s v=""/>
    <s v=""/>
    <m/>
    <n v="-27.94"/>
    <m/>
    <m/>
    <m/>
  </r>
  <r>
    <x v="9"/>
    <x v="29"/>
    <x v="89"/>
    <n v="6540.63"/>
    <x v="1"/>
    <x v="1"/>
    <x v="7"/>
    <s v=""/>
    <s v=""/>
    <s v=""/>
    <s v=""/>
    <n v="-6540.63"/>
    <m/>
    <n v="-6540.63"/>
    <m/>
    <m/>
    <m/>
  </r>
  <r>
    <x v="9"/>
    <x v="30"/>
    <x v="40"/>
    <n v="3045"/>
    <x v="1"/>
    <x v="1"/>
    <x v="4"/>
    <s v=""/>
    <s v=""/>
    <s v=""/>
    <n v="-3045"/>
    <s v=""/>
    <m/>
    <n v="-3045"/>
    <m/>
    <m/>
    <m/>
  </r>
  <r>
    <x v="9"/>
    <x v="30"/>
    <x v="39"/>
    <n v="1560"/>
    <x v="1"/>
    <x v="1"/>
    <x v="4"/>
    <s v=""/>
    <s v=""/>
    <s v=""/>
    <n v="-1560"/>
    <s v=""/>
    <m/>
    <n v="-1560"/>
    <m/>
    <m/>
    <m/>
  </r>
  <r>
    <x v="9"/>
    <x v="30"/>
    <x v="26"/>
    <n v="3000"/>
    <x v="1"/>
    <x v="1"/>
    <x v="4"/>
    <s v=""/>
    <s v=""/>
    <s v=""/>
    <n v="-3000"/>
    <s v=""/>
    <m/>
    <n v="-3000"/>
    <m/>
    <m/>
    <m/>
  </r>
  <r>
    <x v="9"/>
    <x v="28"/>
    <x v="62"/>
    <n v="127.3"/>
    <x v="1"/>
    <x v="1"/>
    <x v="5"/>
    <n v="-127.3"/>
    <s v=""/>
    <s v=""/>
    <s v=""/>
    <s v=""/>
    <s v=""/>
    <n v="-127.3"/>
    <s v="aggiornato al 21/10"/>
    <m/>
    <m/>
  </r>
  <r>
    <x v="9"/>
    <x v="28"/>
    <x v="62"/>
    <n v="94.01"/>
    <x v="1"/>
    <x v="1"/>
    <x v="2"/>
    <s v=""/>
    <s v=""/>
    <n v="-94.01"/>
    <s v=""/>
    <s v=""/>
    <s v=""/>
    <n v="-94.01"/>
    <s v="aggiornato al 21/10"/>
    <m/>
    <m/>
  </r>
  <r>
    <x v="9"/>
    <x v="28"/>
    <x v="62"/>
    <n v="31.04"/>
    <x v="1"/>
    <x v="1"/>
    <x v="4"/>
    <s v=""/>
    <s v=""/>
    <s v=""/>
    <n v="-31.04"/>
    <s v=""/>
    <s v=""/>
    <n v="-31.04"/>
    <s v="aggiornato al 21/10"/>
    <m/>
    <m/>
  </r>
  <r>
    <x v="9"/>
    <x v="28"/>
    <x v="62"/>
    <n v="3"/>
    <x v="1"/>
    <x v="1"/>
    <x v="7"/>
    <s v=""/>
    <s v=""/>
    <s v=""/>
    <s v=""/>
    <n v="-3"/>
    <s v=""/>
    <n v="-3"/>
    <s v="aggiornato al 21/10"/>
    <m/>
    <m/>
  </r>
  <r>
    <x v="9"/>
    <x v="28"/>
    <x v="62"/>
    <n v="9"/>
    <x v="1"/>
    <x v="1"/>
    <x v="3"/>
    <s v=""/>
    <n v="-9"/>
    <s v=""/>
    <s v=""/>
    <s v=""/>
    <s v=""/>
    <n v="-9"/>
    <s v="aggiornato al 21/10"/>
    <m/>
    <m/>
  </r>
  <r>
    <x v="9"/>
    <x v="31"/>
    <x v="90"/>
    <n v="482"/>
    <x v="1"/>
    <x v="1"/>
    <x v="4"/>
    <s v=""/>
    <s v=""/>
    <s v=""/>
    <n v="-482"/>
    <s v=""/>
    <s v=""/>
    <n v="-482"/>
    <m/>
    <m/>
    <m/>
  </r>
  <r>
    <x v="9"/>
    <x v="31"/>
    <x v="11"/>
    <n v="4500"/>
    <x v="1"/>
    <x v="1"/>
    <x v="4"/>
    <s v=""/>
    <s v=""/>
    <s v=""/>
    <n v="-4500"/>
    <s v=""/>
    <s v=""/>
    <n v="-4500"/>
    <s v="GHILARDINI ILARIA"/>
    <m/>
    <m/>
  </r>
  <r>
    <x v="9"/>
    <x v="31"/>
    <x v="91"/>
    <n v="168"/>
    <x v="1"/>
    <x v="1"/>
    <x v="4"/>
    <s v=""/>
    <s v=""/>
    <s v=""/>
    <n v="-168"/>
    <s v=""/>
    <s v=""/>
    <n v="-168"/>
    <s v=" CCP nr.000000008003"/>
    <m/>
    <m/>
  </r>
  <r>
    <x v="9"/>
    <x v="32"/>
    <x v="86"/>
    <n v="10000.08"/>
    <x v="1"/>
    <x v="1"/>
    <x v="4"/>
    <s v=""/>
    <s v=""/>
    <s v=""/>
    <n v="-10000.08"/>
    <s v=""/>
    <s v=""/>
    <n v="-10000.08"/>
    <m/>
    <m/>
    <m/>
  </r>
  <r>
    <x v="9"/>
    <x v="33"/>
    <x v="86"/>
    <n v="10000"/>
    <x v="1"/>
    <x v="1"/>
    <x v="4"/>
    <s v=""/>
    <s v=""/>
    <s v=""/>
    <n v="-10000"/>
    <s v=""/>
    <s v=""/>
    <n v="-10000"/>
    <m/>
    <m/>
    <m/>
  </r>
  <r>
    <x v="9"/>
    <x v="33"/>
    <x v="92"/>
    <n v="260"/>
    <x v="1"/>
    <x v="1"/>
    <x v="4"/>
    <s v=""/>
    <s v=""/>
    <s v=""/>
    <n v="-260"/>
    <s v=""/>
    <s v=""/>
    <n v="-260"/>
    <m/>
    <m/>
    <m/>
  </r>
  <r>
    <x v="9"/>
    <x v="32"/>
    <x v="93"/>
    <n v="2936.46"/>
    <x v="1"/>
    <x v="1"/>
    <x v="5"/>
    <n v="-2936.46"/>
    <s v=""/>
    <s v=""/>
    <s v=""/>
    <s v=""/>
    <s v=""/>
    <n v="-2936.46"/>
    <m/>
    <m/>
    <m/>
  </r>
  <r>
    <x v="9"/>
    <x v="34"/>
    <x v="29"/>
    <n v="9462.2999999999993"/>
    <x v="2"/>
    <x v="1"/>
    <x v="5"/>
    <n v="9462.2999999999993"/>
    <s v=""/>
    <s v=""/>
    <s v=""/>
    <s v=""/>
    <m/>
    <n v="9462.2999999999993"/>
    <s v="Rit. Bonifici 937.70"/>
    <m/>
    <m/>
  </r>
  <r>
    <x v="9"/>
    <x v="35"/>
    <x v="94"/>
    <n v="3500"/>
    <x v="1"/>
    <x v="0"/>
    <x v="4"/>
    <s v=""/>
    <s v=""/>
    <s v=""/>
    <s v=""/>
    <s v=""/>
    <m/>
    <s v="non ancora confermato"/>
    <m/>
    <m/>
    <m/>
  </r>
  <r>
    <x v="9"/>
    <x v="33"/>
    <x v="29"/>
    <n v="9462.2999999999993"/>
    <x v="2"/>
    <x v="1"/>
    <x v="5"/>
    <n v="9462.2999999999993"/>
    <s v=""/>
    <s v=""/>
    <s v=""/>
    <s v=""/>
    <m/>
    <n v="9462.2999999999993"/>
    <s v="Rit. Bonifici 937.70"/>
    <m/>
    <m/>
  </r>
  <r>
    <x v="9"/>
    <x v="33"/>
    <x v="11"/>
    <n v="830"/>
    <x v="1"/>
    <x v="1"/>
    <x v="5"/>
    <n v="-830"/>
    <s v=""/>
    <s v=""/>
    <s v=""/>
    <s v=""/>
    <m/>
    <n v="-830"/>
    <s v="saldo cedolini 2025 PRORI"/>
    <m/>
    <m/>
  </r>
  <r>
    <x v="9"/>
    <x v="36"/>
    <x v="11"/>
    <n v="9773"/>
    <x v="1"/>
    <x v="1"/>
    <x v="5"/>
    <n v="-9773"/>
    <s v=""/>
    <s v=""/>
    <s v=""/>
    <s v=""/>
    <m/>
    <n v="-9773"/>
    <s v="Rodifari, Alberto, Simona, Kri"/>
    <m/>
    <m/>
  </r>
  <r>
    <x v="9"/>
    <x v="37"/>
    <x v="81"/>
    <n v="16"/>
    <x v="1"/>
    <x v="1"/>
    <x v="5"/>
    <n v="-16"/>
    <s v=""/>
    <s v=""/>
    <s v=""/>
    <s v=""/>
    <m/>
    <n v="-16"/>
    <s v="Codice avviso: 397000000113063713."/>
    <m/>
    <m/>
  </r>
  <r>
    <x v="9"/>
    <x v="37"/>
    <x v="95"/>
    <n v="28259.47"/>
    <x v="2"/>
    <x v="1"/>
    <x v="7"/>
    <s v=""/>
    <s v=""/>
    <s v=""/>
    <s v=""/>
    <n v="28259.47"/>
    <m/>
    <n v="28259.47"/>
    <s v="RITENUTA DI 2800.49"/>
    <m/>
    <m/>
  </r>
  <r>
    <x v="9"/>
    <x v="37"/>
    <x v="96"/>
    <n v="2837"/>
    <x v="1"/>
    <x v="1"/>
    <x v="7"/>
    <s v=""/>
    <s v=""/>
    <s v=""/>
    <s v=""/>
    <n v="-2837"/>
    <m/>
    <n v="-2837"/>
    <m/>
    <m/>
    <m/>
  </r>
  <r>
    <x v="9"/>
    <x v="38"/>
    <x v="17"/>
    <n v="758.4"/>
    <x v="1"/>
    <x v="1"/>
    <x v="5"/>
    <n v="-758.4"/>
    <s v=""/>
    <s v=""/>
    <s v=""/>
    <s v=""/>
    <m/>
    <n v="-758.4"/>
    <s v="RID"/>
    <m/>
    <m/>
  </r>
  <r>
    <x v="9"/>
    <x v="39"/>
    <x v="97"/>
    <n v="187.31"/>
    <x v="1"/>
    <x v="1"/>
    <x v="5"/>
    <n v="-187.31"/>
    <s v=""/>
    <s v=""/>
    <s v=""/>
    <s v=""/>
    <m/>
    <n v="-187.31"/>
    <s v="RIBA 30/11"/>
    <m/>
    <m/>
  </r>
  <r>
    <x v="9"/>
    <x v="37"/>
    <x v="98"/>
    <n v="2726.63"/>
    <x v="1"/>
    <x v="1"/>
    <x v="5"/>
    <n v="-2726.63"/>
    <s v=""/>
    <s v=""/>
    <s v=""/>
    <s v=""/>
    <m/>
    <n v="-2726.63"/>
    <s v="f24 agenzia delle entrate"/>
    <m/>
    <m/>
  </r>
  <r>
    <x v="9"/>
    <x v="37"/>
    <x v="99"/>
    <n v="219.6"/>
    <x v="1"/>
    <x v="1"/>
    <x v="5"/>
    <n v="-219.6"/>
    <s v=""/>
    <s v=""/>
    <s v=""/>
    <s v=""/>
    <m/>
    <n v="-219.6"/>
    <m/>
    <m/>
    <m/>
  </r>
  <r>
    <x v="9"/>
    <x v="37"/>
    <x v="100"/>
    <n v="2192"/>
    <x v="1"/>
    <x v="1"/>
    <x v="5"/>
    <n v="-2192"/>
    <s v=""/>
    <s v=""/>
    <s v=""/>
    <s v=""/>
    <m/>
    <n v="-2192"/>
    <m/>
    <m/>
    <m/>
  </r>
  <r>
    <x v="6"/>
    <x v="40"/>
    <x v="101"/>
    <n v="550"/>
    <x v="1"/>
    <x v="1"/>
    <x v="5"/>
    <n v="-550"/>
    <s v=""/>
    <s v=""/>
    <s v=""/>
    <s v=""/>
    <s v=""/>
    <n v="-550"/>
    <m/>
    <m/>
    <m/>
  </r>
  <r>
    <x v="6"/>
    <x v="40"/>
    <x v="101"/>
    <n v="550"/>
    <x v="2"/>
    <x v="1"/>
    <x v="3"/>
    <s v=""/>
    <n v="550"/>
    <s v=""/>
    <s v=""/>
    <s v=""/>
    <s v=""/>
    <n v="550"/>
    <m/>
    <m/>
    <m/>
  </r>
  <r>
    <x v="9"/>
    <x v="40"/>
    <x v="81"/>
    <n v="176.5"/>
    <x v="1"/>
    <x v="1"/>
    <x v="5"/>
    <n v="-176.5"/>
    <s v=""/>
    <s v=""/>
    <s v=""/>
    <s v=""/>
    <s v=""/>
    <n v="-176.5"/>
    <s v="Codice avviso: 300720000004905520."/>
    <m/>
    <m/>
  </r>
  <r>
    <x v="9"/>
    <x v="40"/>
    <x v="81"/>
    <n v="5.27"/>
    <x v="1"/>
    <x v="1"/>
    <x v="5"/>
    <n v="-5.27"/>
    <s v=""/>
    <s v=""/>
    <s v=""/>
    <s v=""/>
    <s v=""/>
    <n v="-5.27"/>
    <s v="Codice avviso: 300010000267983562."/>
    <m/>
    <m/>
  </r>
  <r>
    <x v="9"/>
    <x v="40"/>
    <x v="81"/>
    <n v="698.1"/>
    <x v="1"/>
    <x v="1"/>
    <x v="5"/>
    <n v="-698.1"/>
    <s v=""/>
    <s v=""/>
    <s v=""/>
    <s v=""/>
    <s v=""/>
    <n v="-698.1"/>
    <s v="Codice avviso: 326259100070161319."/>
    <m/>
    <m/>
  </r>
  <r>
    <x v="9"/>
    <x v="29"/>
    <x v="102"/>
    <n v="11190"/>
    <x v="1"/>
    <x v="0"/>
    <x v="4"/>
    <s v=""/>
    <s v=""/>
    <s v=""/>
    <s v=""/>
    <s v=""/>
    <m/>
    <s v="non ancora confermato"/>
    <m/>
    <m/>
    <m/>
  </r>
  <r>
    <x v="9"/>
    <x v="41"/>
    <x v="71"/>
    <n v="1592.63"/>
    <x v="1"/>
    <x v="1"/>
    <x v="5"/>
    <n v="-1592.63"/>
    <s v=""/>
    <s v=""/>
    <s v=""/>
    <s v=""/>
    <s v=""/>
    <n v="-1592.63"/>
    <m/>
    <m/>
    <m/>
  </r>
  <r>
    <x v="9"/>
    <x v="41"/>
    <x v="29"/>
    <n v="9462.2999999999993"/>
    <x v="2"/>
    <x v="1"/>
    <x v="5"/>
    <n v="9462.2999999999993"/>
    <s v=""/>
    <s v=""/>
    <s v=""/>
    <s v=""/>
    <m/>
    <n v="9462.2999999999993"/>
    <s v="Rit. Bonifici 937.70"/>
    <m/>
    <m/>
  </r>
  <r>
    <x v="9"/>
    <x v="41"/>
    <x v="103"/>
    <n v="1830"/>
    <x v="2"/>
    <x v="1"/>
    <x v="5"/>
    <n v="1830"/>
    <s v=""/>
    <s v=""/>
    <s v=""/>
    <s v=""/>
    <m/>
    <n v="1830"/>
    <m/>
    <m/>
    <m/>
  </r>
  <r>
    <x v="9"/>
    <x v="41"/>
    <x v="104"/>
    <n v="892.25"/>
    <x v="1"/>
    <x v="1"/>
    <x v="5"/>
    <n v="-892.25"/>
    <s v=""/>
    <s v=""/>
    <s v=""/>
    <s v=""/>
    <m/>
    <n v="-892.25"/>
    <s v="Targa GD763GG contratto 101865639"/>
    <m/>
    <m/>
  </r>
  <r>
    <x v="9"/>
    <x v="42"/>
    <x v="46"/>
    <n v="20000"/>
    <x v="1"/>
    <x v="1"/>
    <x v="5"/>
    <n v="-20000"/>
    <s v=""/>
    <s v=""/>
    <s v=""/>
    <s v=""/>
    <s v=""/>
    <n v="-20000"/>
    <m/>
    <m/>
    <m/>
  </r>
  <r>
    <x v="9"/>
    <x v="43"/>
    <x v="81"/>
    <n v="870"/>
    <x v="1"/>
    <x v="1"/>
    <x v="5"/>
    <n v="-870"/>
    <s v=""/>
    <s v=""/>
    <s v=""/>
    <s v=""/>
    <m/>
    <n v="-870"/>
    <s v="PAGOPA da i DEL 26.11.25 17:28Id.Tran.=99330996655-30048724568 899177"/>
    <m/>
    <m/>
  </r>
  <r>
    <x v="9"/>
    <x v="43"/>
    <x v="77"/>
    <n v="377.55"/>
    <x v="1"/>
    <x v="1"/>
    <x v="5"/>
    <n v="-377.55"/>
    <s v=""/>
    <s v=""/>
    <s v=""/>
    <s v=""/>
    <m/>
    <n v="-377.55"/>
    <m/>
    <m/>
    <m/>
  </r>
  <r>
    <x v="9"/>
    <x v="43"/>
    <x v="104"/>
    <n v="214.46"/>
    <x v="2"/>
    <x v="1"/>
    <x v="5"/>
    <n v="214.46"/>
    <s v=""/>
    <s v=""/>
    <s v=""/>
    <s v=""/>
    <m/>
    <n v="214.46"/>
    <s v="*2025-11-28*GENERTEL S.P.A. 2025112600501378220006 RIMP0001 RIMBORSO POL. 101556154 CON SCAD. 05.11.EDILVERTOVA SRL"/>
    <m/>
    <m/>
  </r>
  <r>
    <x v="9"/>
    <x v="44"/>
    <x v="34"/>
    <n v="10000"/>
    <x v="1"/>
    <x v="1"/>
    <x v="5"/>
    <n v="-10000"/>
    <s v=""/>
    <s v=""/>
    <s v=""/>
    <s v=""/>
    <m/>
    <n v="-10000"/>
    <m/>
    <m/>
    <m/>
  </r>
  <r>
    <x v="9"/>
    <x v="42"/>
    <x v="105"/>
    <n v="10000"/>
    <x v="1"/>
    <x v="1"/>
    <x v="7"/>
    <s v=""/>
    <s v=""/>
    <s v=""/>
    <s v=""/>
    <n v="-10000"/>
    <m/>
    <n v="-10000"/>
    <m/>
    <m/>
    <m/>
  </r>
  <r>
    <x v="9"/>
    <x v="39"/>
    <x v="83"/>
    <n v="16000"/>
    <x v="1"/>
    <x v="1"/>
    <x v="5"/>
    <n v="-16000"/>
    <s v=""/>
    <s v=""/>
    <s v=""/>
    <s v=""/>
    <m/>
    <n v="-16000"/>
    <m/>
    <m/>
    <m/>
  </r>
  <r>
    <x v="9"/>
    <x v="29"/>
    <x v="51"/>
    <n v="1423"/>
    <x v="1"/>
    <x v="1"/>
    <x v="5"/>
    <n v="-1423"/>
    <s v=""/>
    <s v=""/>
    <s v=""/>
    <s v=""/>
    <m/>
    <n v="-1423"/>
    <s v="bonifico fuori piano di rientro mensilità settembre-ottobre"/>
    <m/>
    <m/>
  </r>
  <r>
    <x v="9"/>
    <x v="44"/>
    <x v="106"/>
    <n v="406.94"/>
    <x v="1"/>
    <x v="1"/>
    <x v="5"/>
    <n v="-406.94"/>
    <s v=""/>
    <s v=""/>
    <s v=""/>
    <s v=""/>
    <m/>
    <n v="-406.94"/>
    <m/>
    <m/>
    <m/>
  </r>
  <r>
    <x v="9"/>
    <x v="33"/>
    <x v="107"/>
    <n v="13000"/>
    <x v="1"/>
    <x v="1"/>
    <x v="4"/>
    <s v=""/>
    <s v=""/>
    <s v=""/>
    <n v="-13000"/>
    <s v=""/>
    <m/>
    <n v="-13000"/>
    <m/>
    <m/>
    <m/>
  </r>
  <r>
    <x v="9"/>
    <x v="33"/>
    <x v="108"/>
    <n v="2787"/>
    <x v="1"/>
    <x v="1"/>
    <x v="4"/>
    <s v=""/>
    <s v=""/>
    <s v=""/>
    <n v="-2787"/>
    <s v=""/>
    <m/>
    <n v="-2787"/>
    <m/>
    <m/>
    <m/>
  </r>
  <r>
    <x v="9"/>
    <x v="39"/>
    <x v="4"/>
    <n v="175.22"/>
    <x v="1"/>
    <x v="1"/>
    <x v="4"/>
    <s v=""/>
    <s v=""/>
    <s v=""/>
    <n v="-175.22"/>
    <s v=""/>
    <m/>
    <n v="-175.22"/>
    <m/>
    <m/>
    <m/>
  </r>
  <r>
    <x v="9"/>
    <x v="39"/>
    <x v="5"/>
    <n v="12000"/>
    <x v="1"/>
    <x v="1"/>
    <x v="5"/>
    <n v="-12000"/>
    <s v=""/>
    <s v=""/>
    <s v=""/>
    <s v=""/>
    <m/>
    <n v="-12000"/>
    <s v="PAGATO IL PRIMO DI DICEMBRE"/>
    <m/>
    <m/>
  </r>
  <r>
    <x v="9"/>
    <x v="29"/>
    <x v="109"/>
    <n v="5000"/>
    <x v="1"/>
    <x v="0"/>
    <x v="5"/>
    <s v=""/>
    <s v=""/>
    <s v=""/>
    <s v=""/>
    <s v=""/>
    <m/>
    <s v="non ancora confermato"/>
    <m/>
    <m/>
    <m/>
  </r>
  <r>
    <x v="9"/>
    <x v="38"/>
    <x v="110"/>
    <n v="1995"/>
    <x v="2"/>
    <x v="1"/>
    <x v="5"/>
    <n v="1995"/>
    <s v=""/>
    <s v=""/>
    <s v=""/>
    <s v=""/>
    <m/>
    <n v="1995"/>
    <m/>
    <m/>
    <m/>
  </r>
  <r>
    <x v="9"/>
    <x v="38"/>
    <x v="111"/>
    <n v="110"/>
    <x v="1"/>
    <x v="1"/>
    <x v="2"/>
    <s v=""/>
    <s v=""/>
    <n v="-110"/>
    <s v=""/>
    <s v=""/>
    <m/>
    <n v="-110"/>
    <m/>
    <m/>
    <m/>
  </r>
  <r>
    <x v="9"/>
    <x v="38"/>
    <x v="24"/>
    <n v="300"/>
    <x v="1"/>
    <x v="1"/>
    <x v="2"/>
    <s v=""/>
    <s v=""/>
    <n v="-300"/>
    <s v=""/>
    <s v=""/>
    <m/>
    <n v="-300"/>
    <m/>
    <m/>
    <m/>
  </r>
  <r>
    <x v="6"/>
    <x v="44"/>
    <x v="112"/>
    <n v="2000"/>
    <x v="1"/>
    <x v="1"/>
    <x v="7"/>
    <s v=""/>
    <s v=""/>
    <s v=""/>
    <s v=""/>
    <n v="-2000"/>
    <m/>
    <n v="-2000"/>
    <m/>
    <m/>
    <m/>
  </r>
  <r>
    <x v="6"/>
    <x v="44"/>
    <x v="112"/>
    <n v="2000"/>
    <x v="2"/>
    <x v="1"/>
    <x v="2"/>
    <s v=""/>
    <s v=""/>
    <n v="2000"/>
    <s v=""/>
    <s v=""/>
    <m/>
    <n v="2000"/>
    <m/>
    <m/>
    <m/>
  </r>
  <r>
    <x v="9"/>
    <x v="44"/>
    <x v="49"/>
    <n v="10000"/>
    <x v="1"/>
    <x v="1"/>
    <x v="7"/>
    <s v=""/>
    <s v=""/>
    <s v=""/>
    <s v=""/>
    <n v="-10000"/>
    <m/>
    <n v="-10000"/>
    <m/>
    <m/>
    <m/>
  </r>
  <r>
    <x v="9"/>
    <x v="39"/>
    <x v="3"/>
    <n v="502.6"/>
    <x v="1"/>
    <x v="1"/>
    <x v="3"/>
    <s v=""/>
    <n v="-502.6"/>
    <s v=""/>
    <s v=""/>
    <s v=""/>
    <m/>
    <n v="-502.6"/>
    <m/>
    <m/>
    <m/>
  </r>
  <r>
    <x v="9"/>
    <x v="39"/>
    <x v="62"/>
    <n v="63.71"/>
    <x v="1"/>
    <x v="1"/>
    <x v="3"/>
    <s v=""/>
    <n v="-63.71"/>
    <s v=""/>
    <s v=""/>
    <s v=""/>
    <s v=""/>
    <n v="-63.71"/>
    <d v="2025-12-01T00:00:00"/>
    <m/>
    <m/>
  </r>
  <r>
    <x v="9"/>
    <x v="39"/>
    <x v="62"/>
    <n v="0"/>
    <x v="1"/>
    <x v="1"/>
    <x v="2"/>
    <s v=""/>
    <s v=""/>
    <n v="0"/>
    <s v=""/>
    <s v=""/>
    <s v=""/>
    <n v="0"/>
    <d v="2025-12-01T00:00:00"/>
    <m/>
    <m/>
  </r>
  <r>
    <x v="9"/>
    <x v="39"/>
    <x v="62"/>
    <n v="20.53"/>
    <x v="1"/>
    <x v="1"/>
    <x v="4"/>
    <s v=""/>
    <s v=""/>
    <s v=""/>
    <n v="-20.53"/>
    <s v=""/>
    <s v=""/>
    <n v="-20.53"/>
    <d v="2025-12-01T00:00:00"/>
    <m/>
    <m/>
  </r>
  <r>
    <x v="9"/>
    <x v="39"/>
    <x v="62"/>
    <n v="104.35000000000002"/>
    <x v="1"/>
    <x v="1"/>
    <x v="5"/>
    <n v="-104.35000000000002"/>
    <s v=""/>
    <s v=""/>
    <s v=""/>
    <s v=""/>
    <s v=""/>
    <n v="-104.35000000000002"/>
    <d v="2025-12-01T00:00:00"/>
    <m/>
    <m/>
  </r>
  <r>
    <x v="9"/>
    <x v="39"/>
    <x v="113"/>
    <n v="523.5"/>
    <x v="1"/>
    <x v="1"/>
    <x v="5"/>
    <n v="-523.5"/>
    <s v=""/>
    <s v=""/>
    <s v=""/>
    <s v=""/>
    <s v=""/>
    <n v="-523.5"/>
    <s v="mercedes"/>
    <m/>
    <m/>
  </r>
  <r>
    <x v="3"/>
    <x v="0"/>
    <x v="1"/>
    <m/>
    <x v="0"/>
    <x v="2"/>
    <x v="9"/>
    <s v="USCITE PREVISTE:"/>
    <n v="256961.16"/>
    <s v="DELTA:"/>
    <n v="-184263.03"/>
    <s v="RIMANENZA PREVISTA:"/>
    <m/>
    <n v="87070.48000000001"/>
    <m/>
    <m/>
    <m/>
  </r>
  <r>
    <x v="10"/>
    <x v="0"/>
    <x v="1"/>
    <n v="64253.349999999977"/>
    <x v="0"/>
    <x v="0"/>
    <x v="1"/>
    <n v="9977.0500000000047"/>
    <n v="22.559999999999867"/>
    <n v="1700.0099999999995"/>
    <n v="83113.75"/>
    <n v="11947.11"/>
    <n v="0"/>
    <n v="106760.48000000001"/>
    <s v="DI RIMANENZA EFFETTIVA"/>
    <n v="87070.48000000001"/>
    <m/>
  </r>
  <r>
    <x v="11"/>
    <x v="45"/>
    <x v="7"/>
    <n v="8737.18"/>
    <x v="1"/>
    <x v="1"/>
    <x v="4"/>
    <s v=""/>
    <s v=""/>
    <s v=""/>
    <n v="-8737.18"/>
    <s v=""/>
    <m/>
    <n v="-8737.18"/>
    <m/>
    <m/>
    <m/>
  </r>
  <r>
    <x v="11"/>
    <x v="46"/>
    <x v="7"/>
    <n v="8371.52"/>
    <x v="1"/>
    <x v="1"/>
    <x v="4"/>
    <s v=""/>
    <s v=""/>
    <s v=""/>
    <n v="-8371.52"/>
    <s v=""/>
    <m/>
    <n v="-8371.52"/>
    <m/>
    <m/>
    <m/>
  </r>
  <r>
    <x v="11"/>
    <x v="47"/>
    <x v="40"/>
    <n v="3000"/>
    <x v="1"/>
    <x v="1"/>
    <x v="4"/>
    <s v=""/>
    <s v=""/>
    <s v=""/>
    <n v="-3000"/>
    <s v=""/>
    <m/>
    <n v="-3000"/>
    <m/>
    <m/>
    <m/>
  </r>
  <r>
    <x v="11"/>
    <x v="47"/>
    <x v="114"/>
    <n v="4045"/>
    <x v="2"/>
    <x v="1"/>
    <x v="5"/>
    <n v="4045"/>
    <s v=""/>
    <s v=""/>
    <s v=""/>
    <s v=""/>
    <s v=""/>
    <n v="4045"/>
    <s v="889.80 euro tolti di gru (bonifico con riserva di ripetizione)"/>
    <m/>
    <m/>
  </r>
  <r>
    <x v="11"/>
    <x v="47"/>
    <x v="115"/>
    <n v="4045"/>
    <x v="2"/>
    <x v="1"/>
    <x v="5"/>
    <n v="4045"/>
    <s v=""/>
    <s v=""/>
    <s v=""/>
    <s v=""/>
    <s v=""/>
    <n v="4045"/>
    <s v="889.80 euro tolti di gru (bonifico con riserva di ripetizione)"/>
    <m/>
    <m/>
  </r>
  <r>
    <x v="11"/>
    <x v="47"/>
    <x v="105"/>
    <n v="10000"/>
    <x v="1"/>
    <x v="1"/>
    <x v="4"/>
    <s v=""/>
    <s v=""/>
    <s v=""/>
    <n v="-10000"/>
    <s v=""/>
    <s v=""/>
    <n v="-10000"/>
    <s v="Rit. Bonifici 937.70"/>
    <m/>
    <m/>
  </r>
  <r>
    <x v="11"/>
    <x v="47"/>
    <x v="29"/>
    <n v="9462.2999999999993"/>
    <x v="2"/>
    <x v="1"/>
    <x v="5"/>
    <n v="9462.2999999999993"/>
    <s v=""/>
    <s v=""/>
    <s v=""/>
    <s v=""/>
    <s v=""/>
    <n v="9462.2999999999993"/>
    <s v="Rit. Bonifici 937.70"/>
    <m/>
    <m/>
  </r>
  <r>
    <x v="11"/>
    <x v="47"/>
    <x v="51"/>
    <n v="1140"/>
    <x v="1"/>
    <x v="1"/>
    <x v="2"/>
    <s v=""/>
    <s v=""/>
    <n v="-1140"/>
    <s v=""/>
    <s v=""/>
    <s v=""/>
    <n v="-1140"/>
    <m/>
    <m/>
    <m/>
  </r>
  <r>
    <x v="11"/>
    <x v="47"/>
    <x v="62"/>
    <n v="8.2200000000000006"/>
    <x v="1"/>
    <x v="1"/>
    <x v="2"/>
    <s v=""/>
    <s v=""/>
    <n v="-8.2200000000000006"/>
    <s v=""/>
    <s v=""/>
    <s v=""/>
    <n v="-8.2200000000000006"/>
    <d v="2025-12-01T00:00:00"/>
    <m/>
    <m/>
  </r>
  <r>
    <x v="11"/>
    <x v="47"/>
    <x v="62"/>
    <n v="11.54"/>
    <x v="1"/>
    <x v="1"/>
    <x v="7"/>
    <s v=""/>
    <s v=""/>
    <s v=""/>
    <s v=""/>
    <n v="-11.54"/>
    <s v=""/>
    <n v="-11.54"/>
    <d v="2025-12-01T00:00:00"/>
    <m/>
    <m/>
  </r>
  <r>
    <x v="11"/>
    <x v="48"/>
    <x v="11"/>
    <n v="4500"/>
    <x v="1"/>
    <x v="1"/>
    <x v="5"/>
    <n v="-4500"/>
    <s v=""/>
    <s v=""/>
    <s v=""/>
    <s v=""/>
    <s v=""/>
    <n v="-4500"/>
    <s v="GHILARDINI ILARIA"/>
    <m/>
    <m/>
  </r>
  <r>
    <x v="11"/>
    <x v="49"/>
    <x v="89"/>
    <n v="6540.53"/>
    <x v="1"/>
    <x v="1"/>
    <x v="7"/>
    <s v=""/>
    <s v=""/>
    <s v=""/>
    <s v=""/>
    <n v="-6540.53"/>
    <s v=""/>
    <n v="-6540.53"/>
    <m/>
    <m/>
    <m/>
  </r>
  <r>
    <x v="11"/>
    <x v="50"/>
    <x v="17"/>
    <n v="415.6"/>
    <x v="1"/>
    <x v="1"/>
    <x v="5"/>
    <n v="-415.6"/>
    <s v=""/>
    <s v=""/>
    <s v=""/>
    <s v=""/>
    <s v=""/>
    <n v="-415.6"/>
    <s v="RID"/>
    <m/>
    <m/>
  </r>
  <r>
    <x v="11"/>
    <x v="51"/>
    <x v="116"/>
    <n v="2598.6"/>
    <x v="1"/>
    <x v="1"/>
    <x v="5"/>
    <n v="-2598.6"/>
    <s v=""/>
    <s v=""/>
    <s v=""/>
    <s v=""/>
    <m/>
    <n v="-2598.6"/>
    <m/>
    <m/>
    <m/>
  </r>
  <r>
    <x v="11"/>
    <x v="52"/>
    <x v="88"/>
    <n v="27.94"/>
    <x v="1"/>
    <x v="1"/>
    <x v="5"/>
    <n v="-27.94"/>
    <s v=""/>
    <s v=""/>
    <s v=""/>
    <s v=""/>
    <m/>
    <n v="-27.94"/>
    <m/>
    <m/>
    <m/>
  </r>
  <r>
    <x v="11"/>
    <x v="51"/>
    <x v="117"/>
    <n v="1067.5"/>
    <x v="1"/>
    <x v="1"/>
    <x v="5"/>
    <n v="-1067.5"/>
    <s v=""/>
    <s v=""/>
    <s v=""/>
    <s v=""/>
    <m/>
    <n v="-1067.5"/>
    <m/>
    <m/>
    <m/>
  </r>
  <r>
    <x v="11"/>
    <x v="53"/>
    <x v="11"/>
    <n v="5391"/>
    <x v="1"/>
    <x v="1"/>
    <x v="4"/>
    <s v=""/>
    <s v=""/>
    <s v=""/>
    <n v="-5391"/>
    <s v=""/>
    <s v=""/>
    <n v="-5391"/>
    <s v="SALDO PARTITE APERTE KRI (PER PENSIONE) + FT ILARIA + STIPENDI DIPENDENTI"/>
    <m/>
    <m/>
  </r>
  <r>
    <x v="11"/>
    <x v="51"/>
    <x v="61"/>
    <n v="13.42"/>
    <x v="1"/>
    <x v="1"/>
    <x v="5"/>
    <n v="-13.42"/>
    <s v=""/>
    <s v=""/>
    <s v=""/>
    <s v=""/>
    <s v=""/>
    <n v="-13.42"/>
    <s v="RIBA DEL 10/12: A CREDITO SICCOME GIA PAGATA CON ASSEGNO DEL 10/12"/>
    <m/>
    <m/>
  </r>
  <r>
    <x v="11"/>
    <x v="52"/>
    <x v="62"/>
    <n v="0.1"/>
    <x v="1"/>
    <x v="1"/>
    <x v="7"/>
    <s v=""/>
    <s v=""/>
    <s v=""/>
    <s v=""/>
    <n v="-0.1"/>
    <s v=""/>
    <n v="-0.1"/>
    <m/>
    <m/>
    <m/>
  </r>
  <r>
    <x v="11"/>
    <x v="52"/>
    <x v="62"/>
    <n v="7"/>
    <x v="1"/>
    <x v="1"/>
    <x v="2"/>
    <s v=""/>
    <s v=""/>
    <n v="-7"/>
    <s v=""/>
    <s v=""/>
    <s v=""/>
    <n v="-7"/>
    <n v="45992"/>
    <m/>
    <m/>
  </r>
  <r>
    <x v="11"/>
    <x v="52"/>
    <x v="62"/>
    <n v="340.55"/>
    <x v="1"/>
    <x v="1"/>
    <x v="5"/>
    <n v="-340.55"/>
    <s v=""/>
    <s v=""/>
    <s v=""/>
    <s v=""/>
    <s v=""/>
    <n v="-340.55"/>
    <n v="45992"/>
    <m/>
    <m/>
  </r>
  <r>
    <x v="11"/>
    <x v="54"/>
    <x v="11"/>
    <n v="2500"/>
    <x v="1"/>
    <x v="1"/>
    <x v="5"/>
    <n v="-2500"/>
    <s v=""/>
    <s v=""/>
    <s v=""/>
    <s v=""/>
    <m/>
    <n v="-2500"/>
    <s v="TFR GIOVANNI"/>
    <m/>
    <m/>
  </r>
  <r>
    <x v="11"/>
    <x v="51"/>
    <x v="61"/>
    <n v="1258.1600000000001"/>
    <x v="1"/>
    <x v="1"/>
    <x v="5"/>
    <n v="-1258.1600000000001"/>
    <s v=""/>
    <s v=""/>
    <s v=""/>
    <s v=""/>
    <s v=""/>
    <n v="-1258.1600000000001"/>
    <s v="ASSEGNO"/>
    <m/>
    <m/>
  </r>
  <r>
    <x v="11"/>
    <x v="52"/>
    <x v="118"/>
    <n v="114.68"/>
    <x v="1"/>
    <x v="1"/>
    <x v="4"/>
    <s v=""/>
    <s v=""/>
    <s v=""/>
    <n v="-114.68"/>
    <s v=""/>
    <m/>
    <n v="-114.68"/>
    <m/>
    <m/>
    <m/>
  </r>
  <r>
    <x v="11"/>
    <x v="52"/>
    <x v="11"/>
    <n v="10900"/>
    <x v="1"/>
    <x v="1"/>
    <x v="4"/>
    <s v=""/>
    <s v=""/>
    <s v=""/>
    <n v="-10900"/>
    <s v=""/>
    <m/>
    <n v="-10900"/>
    <s v="FT 2 - RINALDI KRISTIAN"/>
    <m/>
    <m/>
  </r>
  <r>
    <x v="11"/>
    <x v="52"/>
    <x v="119"/>
    <n v="112.07"/>
    <x v="1"/>
    <x v="1"/>
    <x v="4"/>
    <s v=""/>
    <s v=""/>
    <s v=""/>
    <n v="-112.07"/>
    <s v=""/>
    <m/>
    <n v="-112.07"/>
    <m/>
    <m/>
    <m/>
  </r>
  <r>
    <x v="11"/>
    <x v="53"/>
    <x v="113"/>
    <n v="523.5"/>
    <x v="1"/>
    <x v="1"/>
    <x v="5"/>
    <n v="-523.5"/>
    <s v=""/>
    <s v=""/>
    <s v=""/>
    <s v=""/>
    <m/>
    <n v="-523.5"/>
    <s v="mercedes"/>
    <m/>
    <m/>
  </r>
  <r>
    <x v="11"/>
    <x v="53"/>
    <x v="81"/>
    <n v="35"/>
    <x v="1"/>
    <x v="1"/>
    <x v="5"/>
    <n v="-35"/>
    <s v=""/>
    <s v=""/>
    <s v=""/>
    <s v=""/>
    <m/>
    <n v="-35"/>
    <s v="PAGOPA da i DEL 15.12.25 17:2100012400150255379. multa garda del 03/12/2025"/>
    <m/>
    <m/>
  </r>
  <r>
    <x v="11"/>
    <x v="53"/>
    <x v="120"/>
    <n v="1858.75"/>
    <x v="1"/>
    <x v="1"/>
    <x v="7"/>
    <s v=""/>
    <s v=""/>
    <s v=""/>
    <s v=""/>
    <n v="-1858.75"/>
    <m/>
    <n v="-1858.75"/>
    <m/>
    <m/>
    <m/>
  </r>
  <r>
    <x v="11"/>
    <x v="53"/>
    <x v="121"/>
    <n v="1013.77"/>
    <x v="1"/>
    <x v="1"/>
    <x v="4"/>
    <s v=""/>
    <s v=""/>
    <s v=""/>
    <n v="-1013.77"/>
    <s v=""/>
    <m/>
    <n v="-1013.77"/>
    <m/>
    <m/>
    <m/>
  </r>
  <r>
    <x v="11"/>
    <x v="53"/>
    <x v="93"/>
    <n v="3285.84"/>
    <x v="1"/>
    <x v="1"/>
    <x v="4"/>
    <s v=""/>
    <s v=""/>
    <s v=""/>
    <n v="-3285.84"/>
    <s v=""/>
    <m/>
    <n v="-3285.84"/>
    <s v="CONTRIBUTI DIPENDENTI"/>
    <m/>
    <m/>
  </r>
  <r>
    <x v="11"/>
    <x v="53"/>
    <x v="107"/>
    <n v="13000"/>
    <x v="1"/>
    <x v="1"/>
    <x v="4"/>
    <s v=""/>
    <s v=""/>
    <s v=""/>
    <n v="-13000"/>
    <s v=""/>
    <m/>
    <n v="-13000"/>
    <m/>
    <m/>
    <m/>
  </r>
  <r>
    <x v="11"/>
    <x v="52"/>
    <x v="62"/>
    <n v="13.8"/>
    <x v="1"/>
    <x v="1"/>
    <x v="4"/>
    <s v=""/>
    <s v=""/>
    <s v=""/>
    <n v="-13.8"/>
    <s v=""/>
    <m/>
    <n v="-13.8"/>
    <n v="19175.39"/>
    <m/>
    <m/>
  </r>
  <r>
    <x v="11"/>
    <x v="52"/>
    <x v="62"/>
    <n v="-334.04999999999018"/>
    <x v="1"/>
    <x v="1"/>
    <x v="5"/>
    <n v="334.04999999999018"/>
    <s v=""/>
    <s v=""/>
    <s v=""/>
    <s v=""/>
    <m/>
    <n v="334.04999999999018"/>
    <n v="14583.88"/>
    <m/>
    <m/>
  </r>
  <r>
    <x v="11"/>
    <x v="52"/>
    <x v="62"/>
    <n v="0"/>
    <x v="1"/>
    <x v="1"/>
    <x v="2"/>
    <s v=""/>
    <s v=""/>
    <n v="0"/>
    <s v=""/>
    <s v=""/>
    <m/>
    <n v="0"/>
    <n v="544.79"/>
    <m/>
    <m/>
  </r>
  <r>
    <x v="11"/>
    <x v="52"/>
    <x v="62"/>
    <n v="0.8"/>
    <x v="1"/>
    <x v="1"/>
    <x v="7"/>
    <s v=""/>
    <s v=""/>
    <s v=""/>
    <s v=""/>
    <n v="-0.8"/>
    <m/>
    <n v="-0.8"/>
    <n v="5394.94"/>
    <m/>
    <m/>
  </r>
  <r>
    <x v="11"/>
    <x v="52"/>
    <x v="62"/>
    <n v="-1.3145040611561853E-13"/>
    <x v="1"/>
    <x v="1"/>
    <x v="3"/>
    <s v=""/>
    <n v="1.3145040611561853E-13"/>
    <s v=""/>
    <s v=""/>
    <s v=""/>
    <m/>
    <n v="1.3145040611561853E-13"/>
    <n v="22.56"/>
    <m/>
    <m/>
  </r>
  <r>
    <x v="11"/>
    <x v="55"/>
    <x v="122"/>
    <n v="458"/>
    <x v="1"/>
    <x v="1"/>
    <x v="5"/>
    <n v="-458"/>
    <s v=""/>
    <s v=""/>
    <s v=""/>
    <s v=""/>
    <m/>
    <n v="-458"/>
    <m/>
    <m/>
    <m/>
  </r>
  <r>
    <x v="11"/>
    <x v="56"/>
    <x v="29"/>
    <n v="9462.2999999999993"/>
    <x v="2"/>
    <x v="1"/>
    <x v="5"/>
    <n v="9462.2999999999993"/>
    <s v=""/>
    <s v=""/>
    <s v=""/>
    <s v=""/>
    <m/>
    <n v="9462.2999999999993"/>
    <m/>
    <m/>
    <m/>
  </r>
  <r>
    <x v="11"/>
    <x v="55"/>
    <x v="24"/>
    <n v="200"/>
    <x v="1"/>
    <x v="1"/>
    <x v="2"/>
    <s v=""/>
    <s v=""/>
    <n v="-200"/>
    <s v=""/>
    <s v=""/>
    <m/>
    <n v="-200"/>
    <m/>
    <m/>
    <m/>
  </r>
  <r>
    <x v="11"/>
    <x v="57"/>
    <x v="17"/>
    <n v="764.62"/>
    <x v="1"/>
    <x v="1"/>
    <x v="5"/>
    <n v="-764.62"/>
    <s v=""/>
    <s v=""/>
    <s v=""/>
    <s v=""/>
    <m/>
    <n v="-764.62"/>
    <m/>
    <m/>
    <m/>
  </r>
  <r>
    <x v="11"/>
    <x v="57"/>
    <x v="123"/>
    <n v="45491.8"/>
    <x v="2"/>
    <x v="1"/>
    <x v="7"/>
    <s v=""/>
    <s v=""/>
    <s v=""/>
    <s v=""/>
    <n v="45491.8"/>
    <m/>
    <n v="45491.8"/>
    <m/>
    <m/>
    <m/>
  </r>
  <r>
    <x v="6"/>
    <x v="58"/>
    <x v="9"/>
    <n v="3500"/>
    <x v="1"/>
    <x v="1"/>
    <x v="7"/>
    <s v=""/>
    <s v=""/>
    <s v=""/>
    <s v=""/>
    <n v="-3500"/>
    <m/>
    <n v="-3500"/>
    <m/>
    <m/>
    <m/>
  </r>
  <r>
    <x v="6"/>
    <x v="58"/>
    <x v="9"/>
    <n v="3500"/>
    <x v="2"/>
    <x v="1"/>
    <x v="2"/>
    <s v=""/>
    <s v=""/>
    <n v="3500"/>
    <s v=""/>
    <s v=""/>
    <m/>
    <n v="3500"/>
    <m/>
    <m/>
    <m/>
  </r>
  <r>
    <x v="6"/>
    <x v="58"/>
    <x v="124"/>
    <n v="550"/>
    <x v="1"/>
    <x v="1"/>
    <x v="7"/>
    <s v=""/>
    <s v=""/>
    <s v=""/>
    <s v=""/>
    <n v="-550"/>
    <m/>
    <n v="-550"/>
    <m/>
    <m/>
    <m/>
  </r>
  <r>
    <x v="6"/>
    <x v="58"/>
    <x v="124"/>
    <n v="550"/>
    <x v="2"/>
    <x v="1"/>
    <x v="3"/>
    <s v=""/>
    <n v="550"/>
    <s v=""/>
    <s v=""/>
    <s v=""/>
    <m/>
    <n v="550"/>
    <m/>
    <m/>
    <m/>
  </r>
  <r>
    <x v="6"/>
    <x v="58"/>
    <x v="125"/>
    <n v="10000"/>
    <x v="1"/>
    <x v="1"/>
    <x v="7"/>
    <s v=""/>
    <s v=""/>
    <s v=""/>
    <s v=""/>
    <n v="-10000"/>
    <m/>
    <n v="-10000"/>
    <m/>
    <m/>
    <m/>
  </r>
  <r>
    <x v="6"/>
    <x v="58"/>
    <x v="125"/>
    <n v="10000"/>
    <x v="2"/>
    <x v="1"/>
    <x v="4"/>
    <s v=""/>
    <s v=""/>
    <s v=""/>
    <n v="10000"/>
    <s v=""/>
    <m/>
    <n v="10000"/>
    <m/>
    <m/>
    <m/>
  </r>
  <r>
    <x v="11"/>
    <x v="57"/>
    <x v="105"/>
    <n v="10000"/>
    <x v="1"/>
    <x v="1"/>
    <x v="4"/>
    <s v=""/>
    <s v=""/>
    <s v=""/>
    <n v="-10000"/>
    <s v=""/>
    <m/>
    <n v="-10000"/>
    <m/>
    <m/>
    <m/>
  </r>
  <r>
    <x v="11"/>
    <x v="57"/>
    <x v="51"/>
    <n v="1218.06"/>
    <x v="1"/>
    <x v="1"/>
    <x v="7"/>
    <s v=""/>
    <s v=""/>
    <s v=""/>
    <s v=""/>
    <n v="-1218.06"/>
    <m/>
    <m/>
    <s v="CONTRIBUTI DI NOVEMBRE"/>
    <m/>
    <m/>
  </r>
  <r>
    <x v="11"/>
    <x v="46"/>
    <x v="3"/>
    <n v="502.41"/>
    <x v="1"/>
    <x v="1"/>
    <x v="3"/>
    <s v=""/>
    <n v="-502.41"/>
    <s v=""/>
    <s v=""/>
    <s v=""/>
    <s v=""/>
    <n v="-502.41"/>
    <m/>
    <m/>
    <m/>
  </r>
  <r>
    <x v="11"/>
    <x v="46"/>
    <x v="5"/>
    <n v="8000"/>
    <x v="1"/>
    <x v="0"/>
    <x v="5"/>
    <s v=""/>
    <s v=""/>
    <s v=""/>
    <s v=""/>
    <s v=""/>
    <s v=""/>
    <s v="non ancora confermato"/>
    <m/>
    <m/>
    <m/>
  </r>
  <r>
    <x v="11"/>
    <x v="59"/>
    <x v="126"/>
    <n v="668.56"/>
    <x v="1"/>
    <x v="1"/>
    <x v="5"/>
    <n v="-668.56"/>
    <s v=""/>
    <s v=""/>
    <s v=""/>
    <s v=""/>
    <s v=""/>
    <n v="-668.56"/>
    <m/>
    <m/>
    <m/>
  </r>
  <r>
    <x v="11"/>
    <x v="60"/>
    <x v="71"/>
    <n v="1922.3"/>
    <x v="1"/>
    <x v="1"/>
    <x v="5"/>
    <n v="-1922.3"/>
    <s v=""/>
    <s v=""/>
    <s v=""/>
    <s v=""/>
    <s v=""/>
    <n v="-1922.3"/>
    <m/>
    <m/>
    <m/>
  </r>
  <r>
    <x v="11"/>
    <x v="60"/>
    <x v="127"/>
    <n v="441.89"/>
    <x v="1"/>
    <x v="1"/>
    <x v="5"/>
    <n v="-441.89"/>
    <s v=""/>
    <s v=""/>
    <s v=""/>
    <s v=""/>
    <s v=""/>
    <n v="-441.89"/>
    <m/>
    <m/>
    <m/>
  </r>
  <r>
    <x v="11"/>
    <x v="61"/>
    <x v="81"/>
    <n v="60.9"/>
    <x v="1"/>
    <x v="1"/>
    <x v="5"/>
    <n v="-60.9"/>
    <s v=""/>
    <s v=""/>
    <s v=""/>
    <s v=""/>
    <s v=""/>
    <n v="-60.9"/>
    <s v="Pagamento preavviso numero 900219616-C/2025 Codice avviso: 304780000014631388."/>
    <m/>
    <m/>
  </r>
  <r>
    <x v="11"/>
    <x v="61"/>
    <x v="128"/>
    <n v="815.94"/>
    <x v="1"/>
    <x v="1"/>
    <x v="5"/>
    <n v="-815.94"/>
    <s v=""/>
    <s v=""/>
    <s v=""/>
    <s v=""/>
    <s v=""/>
    <n v="-815.94"/>
    <s v="RID SU BCC"/>
    <m/>
    <m/>
  </r>
  <r>
    <x v="11"/>
    <x v="62"/>
    <x v="129"/>
    <n v="227.51"/>
    <x v="1"/>
    <x v="1"/>
    <x v="5"/>
    <n v="-227.51"/>
    <s v=""/>
    <s v=""/>
    <s v=""/>
    <s v=""/>
    <s v=""/>
    <n v="-227.51"/>
    <m/>
    <m/>
    <m/>
  </r>
  <r>
    <x v="11"/>
    <x v="62"/>
    <x v="130"/>
    <n v="81"/>
    <x v="1"/>
    <x v="1"/>
    <x v="5"/>
    <n v="-81"/>
    <s v=""/>
    <s v=""/>
    <s v=""/>
    <s v=""/>
    <s v=""/>
    <n v="-81"/>
    <m/>
    <m/>
    <m/>
  </r>
  <r>
    <x v="11"/>
    <x v="46"/>
    <x v="131"/>
    <n v="3364.5499999999997"/>
    <x v="2"/>
    <x v="1"/>
    <x v="7"/>
    <s v=""/>
    <s v=""/>
    <s v=""/>
    <s v=""/>
    <n v="3364.5499999999997"/>
    <m/>
    <n v="3364.5499999999997"/>
    <m/>
    <m/>
    <m/>
  </r>
  <r>
    <x v="11"/>
    <x v="46"/>
    <x v="132"/>
    <n v="38463.829999999994"/>
    <x v="2"/>
    <x v="1"/>
    <x v="7"/>
    <s v=""/>
    <s v=""/>
    <s v=""/>
    <s v=""/>
    <n v="38463.829999999994"/>
    <m/>
    <n v="38463.829999999994"/>
    <m/>
    <m/>
    <m/>
  </r>
  <r>
    <x v="11"/>
    <x v="63"/>
    <x v="46"/>
    <n v="20000"/>
    <x v="2"/>
    <x v="3"/>
    <x v="3"/>
    <s v=""/>
    <s v=""/>
    <s v=""/>
    <s v=""/>
    <s v=""/>
    <s v=""/>
    <s v="non ancora confermato"/>
    <m/>
    <m/>
    <m/>
  </r>
  <r>
    <x v="11"/>
    <x v="62"/>
    <x v="133"/>
    <n v="43000"/>
    <x v="2"/>
    <x v="3"/>
    <x v="10"/>
    <s v=""/>
    <s v=""/>
    <s v=""/>
    <s v=""/>
    <s v=""/>
    <s v=""/>
    <s v="non ancora confermato"/>
    <m/>
    <m/>
    <m/>
  </r>
  <r>
    <x v="11"/>
    <x v="62"/>
    <x v="63"/>
    <n v="13000"/>
    <x v="2"/>
    <x v="3"/>
    <x v="10"/>
    <s v=""/>
    <s v=""/>
    <s v=""/>
    <s v=""/>
    <s v=""/>
    <s v=""/>
    <s v="non ancora confermato"/>
    <s v="Contanti atti finale (-2000 gia dati ai dipendenti)"/>
    <m/>
    <m/>
  </r>
  <r>
    <x v="11"/>
    <x v="54"/>
    <x v="49"/>
    <n v="10000"/>
    <x v="1"/>
    <x v="1"/>
    <x v="7"/>
    <s v=""/>
    <s v=""/>
    <s v=""/>
    <s v=""/>
    <n v="-10000"/>
    <m/>
    <n v="-10000"/>
    <s v="con pagamento ricezione ft 22 / CONDOMINIO SERENA"/>
    <m/>
    <m/>
  </r>
  <r>
    <x v="11"/>
    <x v="46"/>
    <x v="2"/>
    <n v="3127.22"/>
    <x v="1"/>
    <x v="1"/>
    <x v="2"/>
    <s v=""/>
    <s v=""/>
    <n v="-3127.22"/>
    <s v=""/>
    <s v=""/>
    <m/>
    <n v="-3127.22"/>
    <m/>
    <m/>
    <m/>
  </r>
  <r>
    <x v="11"/>
    <x v="60"/>
    <x v="51"/>
    <n v="1140"/>
    <x v="1"/>
    <x v="1"/>
    <x v="2"/>
    <s v=""/>
    <s v=""/>
    <n v="-1140"/>
    <s v=""/>
    <s v=""/>
    <m/>
    <m/>
    <m/>
    <m/>
    <m/>
  </r>
  <r>
    <x v="3"/>
    <x v="0"/>
    <x v="1"/>
    <m/>
    <x v="0"/>
    <x v="2"/>
    <x v="11"/>
    <s v="USCITE PREVISTE:"/>
    <n v="140131.43000000002"/>
    <s v="DELTA:"/>
    <n v="64253.349999999977"/>
    <s v="RIMANENZA PREVISTA:"/>
    <m/>
    <n v="171013.83"/>
    <m/>
    <m/>
    <m/>
  </r>
  <r>
    <x v="12"/>
    <x v="0"/>
    <x v="1"/>
    <n v="-203028.41666666669"/>
    <x v="0"/>
    <x v="0"/>
    <x v="1"/>
    <n v="18604.710000000003"/>
    <n v="70.14999999999992"/>
    <n v="-422.43000000000029"/>
    <n v="19173.890000000007"/>
    <n v="65587.510000000009"/>
    <n v="0"/>
    <n v="103013.83000000002"/>
    <s v="DI RIMANENZA EFFETTIVA"/>
    <n v="151323.82999999999"/>
    <m/>
  </r>
  <r>
    <x v="6"/>
    <x v="64"/>
    <x v="65"/>
    <n v="3000"/>
    <x v="1"/>
    <x v="1"/>
    <x v="5"/>
    <n v="-3000"/>
    <s v=""/>
    <s v=""/>
    <s v=""/>
    <s v=""/>
    <m/>
    <n v="-3000"/>
    <m/>
    <m/>
    <m/>
  </r>
  <r>
    <x v="6"/>
    <x v="64"/>
    <x v="65"/>
    <n v="3000"/>
    <x v="2"/>
    <x v="1"/>
    <x v="2"/>
    <s v=""/>
    <s v=""/>
    <n v="3000"/>
    <s v=""/>
    <s v=""/>
    <m/>
    <n v="3000"/>
    <m/>
    <m/>
    <m/>
  </r>
  <r>
    <x v="13"/>
    <x v="65"/>
    <x v="4"/>
    <n v="237.22"/>
    <x v="1"/>
    <x v="1"/>
    <x v="4"/>
    <s v=""/>
    <s v=""/>
    <s v=""/>
    <n v="-237.22"/>
    <s v=""/>
    <m/>
    <n v="-237.22"/>
    <m/>
    <m/>
    <m/>
  </r>
  <r>
    <x v="13"/>
    <x v="64"/>
    <x v="62"/>
    <n v="940.35"/>
    <x v="1"/>
    <x v="1"/>
    <x v="5"/>
    <n v="-940.35"/>
    <s v=""/>
    <s v=""/>
    <s v=""/>
    <s v=""/>
    <m/>
    <n v="-940.35"/>
    <s v="SALDO 14083.40"/>
    <m/>
    <m/>
  </r>
  <r>
    <x v="13"/>
    <x v="64"/>
    <x v="62"/>
    <n v="9"/>
    <x v="1"/>
    <x v="1"/>
    <x v="3"/>
    <s v=""/>
    <n v="-9"/>
    <s v=""/>
    <s v=""/>
    <s v=""/>
    <m/>
    <n v="-9"/>
    <s v="SALDO 61.15"/>
    <m/>
    <m/>
  </r>
  <r>
    <x v="13"/>
    <x v="66"/>
    <x v="17"/>
    <n v="560.03"/>
    <x v="1"/>
    <x v="1"/>
    <x v="5"/>
    <n v="-560.03"/>
    <s v=""/>
    <s v=""/>
    <s v=""/>
    <s v=""/>
    <m/>
    <n v="-560.03"/>
    <m/>
    <m/>
    <m/>
  </r>
  <r>
    <x v="13"/>
    <x v="67"/>
    <x v="7"/>
    <n v="8737.18"/>
    <x v="1"/>
    <x v="1"/>
    <x v="4"/>
    <s v=""/>
    <s v=""/>
    <s v=""/>
    <n v="-8737.18"/>
    <s v=""/>
    <m/>
    <n v="-8737.18"/>
    <m/>
    <m/>
    <m/>
  </r>
  <r>
    <x v="13"/>
    <x v="67"/>
    <x v="7"/>
    <n v="7598.19"/>
    <x v="1"/>
    <x v="1"/>
    <x v="4"/>
    <s v=""/>
    <s v=""/>
    <s v=""/>
    <n v="-7598.19"/>
    <s v=""/>
    <m/>
    <n v="-7598.19"/>
    <m/>
    <m/>
    <m/>
  </r>
  <r>
    <x v="13"/>
    <x v="68"/>
    <x v="32"/>
    <n v="5155.1099999999997"/>
    <x v="1"/>
    <x v="1"/>
    <x v="4"/>
    <s v=""/>
    <s v=""/>
    <s v=""/>
    <n v="-5155.1099999999997"/>
    <s v=""/>
    <m/>
    <n v="-5155.1099999999997"/>
    <s v="ASSEGNOD EL 07/01"/>
    <m/>
    <m/>
  </r>
  <r>
    <x v="13"/>
    <x v="69"/>
    <x v="81"/>
    <n v="29.4"/>
    <x v="1"/>
    <x v="1"/>
    <x v="5"/>
    <n v="-29.4"/>
    <s v=""/>
    <s v=""/>
    <s v=""/>
    <s v=""/>
    <m/>
    <n v="-29.4"/>
    <s v=" P/50710/G/2026 Codice avviso: 304011000000521469."/>
    <m/>
    <m/>
  </r>
  <r>
    <x v="13"/>
    <x v="70"/>
    <x v="51"/>
    <n v="1644.77"/>
    <x v="1"/>
    <x v="1"/>
    <x v="5"/>
    <n v="-1644.77"/>
    <s v=""/>
    <s v=""/>
    <s v=""/>
    <s v=""/>
    <m/>
    <n v="-1644.77"/>
    <s v="LINK ESTRATTO CONTO"/>
    <m/>
    <m/>
  </r>
  <r>
    <x v="13"/>
    <x v="64"/>
    <x v="62"/>
    <n v="-7.4499999999999975"/>
    <x v="1"/>
    <x v="1"/>
    <x v="2"/>
    <s v=""/>
    <s v=""/>
    <n v="7.4499999999999975"/>
    <s v=""/>
    <s v=""/>
    <m/>
    <n v="7.4499999999999975"/>
    <s v="SALDO 2593.51"/>
    <m/>
    <m/>
  </r>
  <r>
    <x v="13"/>
    <x v="70"/>
    <x v="62"/>
    <n v="23.68"/>
    <x v="1"/>
    <x v="1"/>
    <x v="5"/>
    <n v="-23.68"/>
    <s v=""/>
    <s v=""/>
    <s v=""/>
    <s v=""/>
    <m/>
    <n v="-23.68"/>
    <s v="SALDO 14083.40"/>
    <m/>
    <m/>
  </r>
  <r>
    <x v="13"/>
    <x v="64"/>
    <x v="62"/>
    <n v="115.41"/>
    <x v="1"/>
    <x v="1"/>
    <x v="7"/>
    <s v=""/>
    <s v=""/>
    <s v=""/>
    <s v=""/>
    <n v="-115.41"/>
    <m/>
    <n v="-115.41"/>
    <s v="SALDO 65584.37"/>
    <m/>
    <m/>
  </r>
  <r>
    <x v="13"/>
    <x v="70"/>
    <x v="89"/>
    <n v="6540.63"/>
    <x v="1"/>
    <x v="1"/>
    <x v="7"/>
    <s v=""/>
    <s v=""/>
    <s v=""/>
    <s v=""/>
    <n v="-6540.63"/>
    <m/>
    <n v="-6540.63"/>
    <m/>
    <m/>
    <m/>
  </r>
  <r>
    <x v="13"/>
    <x v="69"/>
    <x v="11"/>
    <n v="6222"/>
    <x v="1"/>
    <x v="1"/>
    <x v="7"/>
    <s v=""/>
    <s v=""/>
    <s v=""/>
    <s v=""/>
    <n v="-6222"/>
    <m/>
    <n v="-6222"/>
    <s v="FABRIZIO+ALBERTO+SIMONA"/>
    <m/>
    <m/>
  </r>
  <r>
    <x v="13"/>
    <x v="69"/>
    <x v="134"/>
    <n v="2500"/>
    <x v="1"/>
    <x v="3"/>
    <x v="7"/>
    <s v=""/>
    <s v=""/>
    <s v=""/>
    <s v=""/>
    <s v=""/>
    <s v=""/>
    <s v="non ancora confermato"/>
    <m/>
    <m/>
    <m/>
  </r>
  <r>
    <x v="13"/>
    <x v="69"/>
    <x v="107"/>
    <n v="13000"/>
    <x v="1"/>
    <x v="1"/>
    <x v="7"/>
    <s v=""/>
    <s v=""/>
    <s v=""/>
    <s v=""/>
    <n v="-13000"/>
    <m/>
    <n v="-13000"/>
    <m/>
    <m/>
    <m/>
  </r>
  <r>
    <x v="13"/>
    <x v="71"/>
    <x v="25"/>
    <n v="3068"/>
    <x v="1"/>
    <x v="1"/>
    <x v="5"/>
    <n v="-3068"/>
    <s v=""/>
    <s v=""/>
    <s v=""/>
    <s v=""/>
    <m/>
    <n v="-3068"/>
    <s v="CAMBIALE"/>
    <m/>
    <m/>
  </r>
  <r>
    <x v="13"/>
    <x v="71"/>
    <x v="135"/>
    <n v="189.1"/>
    <x v="1"/>
    <x v="1"/>
    <x v="5"/>
    <n v="-189.1"/>
    <s v=""/>
    <s v=""/>
    <s v=""/>
    <s v=""/>
    <m/>
    <n v="-189.1"/>
    <s v="emissione fattura 30/11"/>
    <m/>
    <m/>
  </r>
  <r>
    <x v="13"/>
    <x v="71"/>
    <x v="136"/>
    <n v="552.73"/>
    <x v="1"/>
    <x v="1"/>
    <x v="5"/>
    <n v="-552.73"/>
    <s v=""/>
    <s v=""/>
    <s v=""/>
    <s v=""/>
    <m/>
    <n v="-552.73"/>
    <m/>
    <m/>
    <m/>
  </r>
  <r>
    <x v="13"/>
    <x v="71"/>
    <x v="113"/>
    <n v="523.5"/>
    <x v="1"/>
    <x v="1"/>
    <x v="5"/>
    <n v="-523.5"/>
    <s v=""/>
    <s v=""/>
    <s v=""/>
    <s v=""/>
    <m/>
    <n v="-523.5"/>
    <s v="mercedes"/>
    <m/>
    <m/>
  </r>
  <r>
    <x v="13"/>
    <x v="72"/>
    <x v="41"/>
    <n v="2709"/>
    <x v="1"/>
    <x v="1"/>
    <x v="5"/>
    <n v="-2709"/>
    <s v=""/>
    <s v=""/>
    <s v=""/>
    <s v=""/>
    <m/>
    <n v="-2709"/>
    <s v="Finanziamento n. 253841"/>
    <m/>
    <m/>
  </r>
  <r>
    <x v="13"/>
    <x v="73"/>
    <x v="88"/>
    <n v="56.33"/>
    <x v="1"/>
    <x v="1"/>
    <x v="5"/>
    <n v="-56.33"/>
    <s v=""/>
    <s v=""/>
    <s v=""/>
    <s v=""/>
    <m/>
    <n v="-56.33"/>
    <s v="SEPA 13-01"/>
    <m/>
    <m/>
  </r>
  <r>
    <x v="6"/>
    <x v="58"/>
    <x v="137"/>
    <n v="3000"/>
    <x v="2"/>
    <x v="1"/>
    <x v="4"/>
    <s v=""/>
    <s v=""/>
    <s v=""/>
    <n v="3000"/>
    <s v=""/>
    <m/>
    <n v="3000"/>
    <m/>
    <m/>
    <m/>
  </r>
  <r>
    <x v="6"/>
    <x v="58"/>
    <x v="137"/>
    <n v="3000"/>
    <x v="1"/>
    <x v="1"/>
    <x v="7"/>
    <s v=""/>
    <s v=""/>
    <s v=""/>
    <s v=""/>
    <n v="-3000"/>
    <m/>
    <n v="-3000"/>
    <m/>
    <m/>
    <m/>
  </r>
  <r>
    <x v="13"/>
    <x v="74"/>
    <x v="62"/>
    <n v="25.199999999999996"/>
    <x v="1"/>
    <x v="1"/>
    <x v="3"/>
    <s v=""/>
    <n v="-25.199999999999996"/>
    <s v=""/>
    <s v=""/>
    <s v=""/>
    <m/>
    <n v="-25.199999999999996"/>
    <s v="SALDO 5277.63"/>
    <m/>
    <m/>
  </r>
  <r>
    <x v="13"/>
    <x v="74"/>
    <x v="62"/>
    <n v="6.51"/>
    <x v="1"/>
    <x v="1"/>
    <x v="5"/>
    <n v="-6.51"/>
    <s v=""/>
    <s v=""/>
    <s v=""/>
    <s v=""/>
    <m/>
    <n v="-6.51"/>
    <s v="SALDO 35.75"/>
    <m/>
    <m/>
  </r>
  <r>
    <x v="13"/>
    <x v="74"/>
    <x v="62"/>
    <n v="225.23"/>
    <x v="1"/>
    <x v="1"/>
    <x v="4"/>
    <s v=""/>
    <s v=""/>
    <s v=""/>
    <n v="-225.23"/>
    <s v=""/>
    <m/>
    <n v="-225.23"/>
    <m/>
    <m/>
    <m/>
  </r>
  <r>
    <x v="13"/>
    <x v="74"/>
    <x v="62"/>
    <n v="2"/>
    <x v="1"/>
    <x v="1"/>
    <x v="2"/>
    <s v=""/>
    <s v=""/>
    <n v="-2"/>
    <s v=""/>
    <s v=""/>
    <m/>
    <n v="-2"/>
    <s v="SALDO 2583.02"/>
    <m/>
    <m/>
  </r>
  <r>
    <x v="13"/>
    <x v="74"/>
    <x v="62"/>
    <n v="2"/>
    <x v="1"/>
    <x v="1"/>
    <x v="12"/>
    <m/>
    <m/>
    <m/>
    <m/>
    <m/>
    <m/>
    <m/>
    <m/>
    <m/>
    <m/>
  </r>
  <r>
    <x v="13"/>
    <x v="75"/>
    <x v="138"/>
    <n v="1312.43"/>
    <x v="2"/>
    <x v="1"/>
    <x v="5"/>
    <n v="1312.43"/>
    <s v=""/>
    <s v=""/>
    <s v=""/>
    <s v=""/>
    <s v=""/>
    <n v="1312.43"/>
    <s v="SALDO FATTURE UNIACQUE"/>
    <m/>
    <m/>
  </r>
  <r>
    <x v="13"/>
    <x v="76"/>
    <x v="14"/>
    <n v="51.4"/>
    <x v="1"/>
    <x v="1"/>
    <x v="5"/>
    <n v="-51.4"/>
    <s v=""/>
    <s v=""/>
    <s v=""/>
    <s v=""/>
    <s v=""/>
    <n v="-51.4"/>
    <s v="071-2725543"/>
    <m/>
    <m/>
  </r>
  <r>
    <x v="13"/>
    <x v="75"/>
    <x v="139"/>
    <n v="410"/>
    <x v="1"/>
    <x v="1"/>
    <x v="5"/>
    <n v="-410"/>
    <s v=""/>
    <s v=""/>
    <s v=""/>
    <s v=""/>
    <s v=""/>
    <n v="-410"/>
    <m/>
    <m/>
    <m/>
  </r>
  <r>
    <x v="13"/>
    <x v="77"/>
    <x v="140"/>
    <n v="2000"/>
    <x v="1"/>
    <x v="3"/>
    <x v="7"/>
    <s v=""/>
    <s v=""/>
    <s v=""/>
    <s v=""/>
    <s v=""/>
    <s v=""/>
    <s v="non ancora confermato"/>
    <m/>
    <m/>
    <m/>
  </r>
  <r>
    <x v="13"/>
    <x v="78"/>
    <x v="51"/>
    <n v="1140"/>
    <x v="1"/>
    <x v="1"/>
    <x v="2"/>
    <s v=""/>
    <s v=""/>
    <n v="-1140"/>
    <s v=""/>
    <s v=""/>
    <m/>
    <n v="-1140"/>
    <m/>
    <m/>
    <m/>
  </r>
  <r>
    <x v="13"/>
    <x v="75"/>
    <x v="72"/>
    <n v="1999.9999999999998"/>
    <x v="1"/>
    <x v="1"/>
    <x v="5"/>
    <n v="-1999.9999999999998"/>
    <s v=""/>
    <s v=""/>
    <s v=""/>
    <s v=""/>
    <m/>
    <n v="-1999.9999999999998"/>
    <m/>
    <m/>
    <m/>
  </r>
  <r>
    <x v="13"/>
    <x v="75"/>
    <x v="81"/>
    <n v="353.3"/>
    <x v="1"/>
    <x v="1"/>
    <x v="5"/>
    <n v="-353.3"/>
    <s v=""/>
    <s v=""/>
    <s v=""/>
    <s v=""/>
    <m/>
    <n v="-353.3"/>
    <s v="CA_000030489277_FATTURA_0000202510492636 Codice avviso: 300101021300568143."/>
    <m/>
    <m/>
  </r>
  <r>
    <x v="13"/>
    <x v="75"/>
    <x v="81"/>
    <n v="752.58"/>
    <x v="1"/>
    <x v="1"/>
    <x v="5"/>
    <n v="-752.58"/>
    <s v=""/>
    <s v=""/>
    <s v=""/>
    <s v=""/>
    <m/>
    <n v="-752.58"/>
    <s v="CA_000030489277_FATTURA_0000202510892147 Codice avviso: 300101021355837336."/>
    <m/>
    <m/>
  </r>
  <r>
    <x v="13"/>
    <x v="75"/>
    <x v="81"/>
    <n v="223.98"/>
    <x v="1"/>
    <x v="1"/>
    <x v="5"/>
    <n v="-223.98"/>
    <s v=""/>
    <s v=""/>
    <s v=""/>
    <s v=""/>
    <m/>
    <n v="-223.98"/>
    <s v="CA_000030489277_FATTURA_0000202511152268 Codice avviso: 300101021390825249."/>
    <m/>
    <m/>
  </r>
  <r>
    <x v="13"/>
    <x v="75"/>
    <x v="141"/>
    <n v="5843.75"/>
    <x v="2"/>
    <x v="1"/>
    <x v="5"/>
    <n v="5843.75"/>
    <s v=""/>
    <s v=""/>
    <s v=""/>
    <s v=""/>
    <m/>
    <n v="5843.75"/>
    <m/>
    <m/>
    <m/>
  </r>
  <r>
    <x v="13"/>
    <x v="75"/>
    <x v="14"/>
    <n v="57.78"/>
    <x v="1"/>
    <x v="1"/>
    <x v="5"/>
    <n v="-57.78"/>
    <s v=""/>
    <s v=""/>
    <s v=""/>
    <s v=""/>
    <m/>
    <n v="-57.78"/>
    <s v="071-2625707-1"/>
    <m/>
    <m/>
  </r>
  <r>
    <x v="13"/>
    <x v="75"/>
    <x v="17"/>
    <n v="741.56"/>
    <x v="1"/>
    <x v="1"/>
    <x v="5"/>
    <n v="-741.56"/>
    <s v=""/>
    <s v=""/>
    <s v=""/>
    <s v=""/>
    <m/>
    <n v="-741.56"/>
    <m/>
    <m/>
    <m/>
  </r>
  <r>
    <x v="13"/>
    <x v="79"/>
    <x v="81"/>
    <n v="16"/>
    <x v="1"/>
    <x v="1"/>
    <x v="4"/>
    <s v=""/>
    <s v=""/>
    <s v=""/>
    <n v="-16"/>
    <s v=""/>
    <m/>
    <n v="-16"/>
    <s v="Pagamento Pubblica Amministrazione BA0KM0X00GHV20VB52 CAMERA DI COMMERCIO MILANO-MONZA-BRIANZA-LODI"/>
    <m/>
    <m/>
  </r>
  <r>
    <x v="13"/>
    <x v="79"/>
    <x v="71"/>
    <n v="1852.64"/>
    <x v="1"/>
    <x v="1"/>
    <x v="5"/>
    <n v="-1852.64"/>
    <s v=""/>
    <s v=""/>
    <s v=""/>
    <s v=""/>
    <m/>
    <n v="-1852.64"/>
    <m/>
    <m/>
    <m/>
  </r>
  <r>
    <x v="13"/>
    <x v="79"/>
    <x v="127"/>
    <n v="159.61000000000001"/>
    <x v="1"/>
    <x v="1"/>
    <x v="5"/>
    <n v="-159.61000000000001"/>
    <s v=""/>
    <s v=""/>
    <s v=""/>
    <s v=""/>
    <m/>
    <n v="-159.61000000000001"/>
    <m/>
    <m/>
    <m/>
  </r>
  <r>
    <x v="13"/>
    <x v="74"/>
    <x v="24"/>
    <n v="200"/>
    <x v="1"/>
    <x v="1"/>
    <x v="2"/>
    <s v=""/>
    <s v=""/>
    <n v="-200"/>
    <s v=""/>
    <s v=""/>
    <m/>
    <n v="-200"/>
    <m/>
    <m/>
    <m/>
  </r>
  <r>
    <x v="13"/>
    <x v="75"/>
    <x v="142"/>
    <n v="1183"/>
    <x v="1"/>
    <x v="1"/>
    <x v="2"/>
    <s v=""/>
    <s v=""/>
    <n v="-1183"/>
    <s v=""/>
    <s v=""/>
    <m/>
    <n v="-1183"/>
    <s v="SALUTEPIUBENESS POLIZZA 60010030146507"/>
    <m/>
    <m/>
  </r>
  <r>
    <x v="13"/>
    <x v="75"/>
    <x v="143"/>
    <n v="29.62"/>
    <x v="1"/>
    <x v="1"/>
    <x v="2"/>
    <s v=""/>
    <s v=""/>
    <n v="-29.62"/>
    <s v=""/>
    <s v=""/>
    <m/>
    <n v="-29.62"/>
    <s v="AGENZIA ENTRATE PAG.TO TELEMATICO - DATA INCASSO 19/01/2026 2026-01-19-22.33.01.070422000601"/>
    <m/>
    <m/>
  </r>
  <r>
    <x v="13"/>
    <x v="76"/>
    <x v="144"/>
    <n v="5955.05"/>
    <x v="1"/>
    <x v="1"/>
    <x v="7"/>
    <s v=""/>
    <s v=""/>
    <s v=""/>
    <s v=""/>
    <n v="-5955.05"/>
    <m/>
    <n v="-5955.05"/>
    <m/>
    <m/>
    <m/>
  </r>
  <r>
    <x v="13"/>
    <x v="80"/>
    <x v="11"/>
    <n v="2500"/>
    <x v="1"/>
    <x v="1"/>
    <x v="7"/>
    <s v=""/>
    <s v=""/>
    <s v=""/>
    <s v=""/>
    <n v="-2500"/>
    <m/>
    <n v="-2500"/>
    <s v="GHILARDINI ILARIA"/>
    <m/>
    <m/>
  </r>
  <r>
    <x v="13"/>
    <x v="80"/>
    <x v="51"/>
    <n v="1053.32"/>
    <x v="1"/>
    <x v="1"/>
    <x v="7"/>
    <s v=""/>
    <s v=""/>
    <s v=""/>
    <s v=""/>
    <n v="-1053.32"/>
    <m/>
    <n v="-1053.32"/>
    <m/>
    <m/>
    <m/>
  </r>
  <r>
    <x v="13"/>
    <x v="80"/>
    <x v="39"/>
    <n v="882.08"/>
    <x v="1"/>
    <x v="1"/>
    <x v="7"/>
    <s v=""/>
    <s v=""/>
    <s v=""/>
    <s v=""/>
    <n v="-882.08"/>
    <m/>
    <n v="-882.08"/>
    <m/>
    <m/>
    <m/>
  </r>
  <r>
    <x v="13"/>
    <x v="81"/>
    <x v="26"/>
    <n v="2162"/>
    <x v="1"/>
    <x v="1"/>
    <x v="7"/>
    <s v=""/>
    <s v=""/>
    <s v=""/>
    <s v=""/>
    <n v="-2162"/>
    <m/>
    <n v="-2162"/>
    <s v="Rilievo rampa via Ghislandi Bergamo"/>
    <m/>
    <m/>
  </r>
  <r>
    <x v="13"/>
    <x v="81"/>
    <x v="43"/>
    <n v="679.82"/>
    <x v="1"/>
    <x v="1"/>
    <x v="7"/>
    <s v=""/>
    <s v=""/>
    <s v=""/>
    <s v=""/>
    <n v="-679.82"/>
    <m/>
    <n v="-679.82"/>
    <m/>
    <m/>
    <m/>
  </r>
  <r>
    <x v="13"/>
    <x v="82"/>
    <x v="85"/>
    <n v="1072.1300000000001"/>
    <x v="1"/>
    <x v="1"/>
    <x v="5"/>
    <n v="-1072.1300000000001"/>
    <s v=""/>
    <s v=""/>
    <s v=""/>
    <s v=""/>
    <m/>
    <n v="-1072.1300000000001"/>
    <m/>
    <m/>
    <m/>
  </r>
  <r>
    <x v="13"/>
    <x v="82"/>
    <x v="24"/>
    <n v="200"/>
    <x v="1"/>
    <x v="1"/>
    <x v="2"/>
    <s v=""/>
    <s v=""/>
    <n v="-200"/>
    <s v=""/>
    <s v=""/>
    <m/>
    <n v="-200"/>
    <m/>
    <m/>
    <m/>
  </r>
  <r>
    <x v="6"/>
    <x v="83"/>
    <x v="125"/>
    <n v="15000"/>
    <x v="1"/>
    <x v="1"/>
    <x v="7"/>
    <s v=""/>
    <s v=""/>
    <s v=""/>
    <s v=""/>
    <n v="-15000"/>
    <m/>
    <n v="-15000"/>
    <m/>
    <m/>
    <m/>
  </r>
  <r>
    <x v="6"/>
    <x v="83"/>
    <x v="125"/>
    <n v="15000"/>
    <x v="2"/>
    <x v="1"/>
    <x v="4"/>
    <s v=""/>
    <s v=""/>
    <s v=""/>
    <n v="15000"/>
    <s v=""/>
    <m/>
    <n v="15000"/>
    <m/>
    <m/>
    <m/>
  </r>
  <r>
    <x v="6"/>
    <x v="83"/>
    <x v="125"/>
    <n v="1000"/>
    <x v="1"/>
    <x v="1"/>
    <x v="7"/>
    <s v=""/>
    <s v=""/>
    <s v=""/>
    <s v=""/>
    <n v="-1000"/>
    <m/>
    <n v="-1000"/>
    <m/>
    <m/>
    <m/>
  </r>
  <r>
    <x v="6"/>
    <x v="83"/>
    <x v="125"/>
    <n v="1000"/>
    <x v="2"/>
    <x v="1"/>
    <x v="4"/>
    <s v=""/>
    <s v=""/>
    <s v=""/>
    <n v="1000"/>
    <s v=""/>
    <m/>
    <n v="1000"/>
    <m/>
    <m/>
    <m/>
  </r>
  <r>
    <x v="6"/>
    <x v="83"/>
    <x v="145"/>
    <n v="1200"/>
    <x v="1"/>
    <x v="1"/>
    <x v="5"/>
    <n v="-1200"/>
    <s v=""/>
    <s v=""/>
    <s v=""/>
    <s v=""/>
    <m/>
    <n v="-1200"/>
    <m/>
    <m/>
    <m/>
  </r>
  <r>
    <x v="6"/>
    <x v="83"/>
    <x v="145"/>
    <n v="1200"/>
    <x v="2"/>
    <x v="1"/>
    <x v="4"/>
    <s v=""/>
    <s v=""/>
    <s v=""/>
    <n v="1200"/>
    <s v=""/>
    <m/>
    <n v="1200"/>
    <m/>
    <m/>
    <m/>
  </r>
  <r>
    <x v="6"/>
    <x v="83"/>
    <x v="65"/>
    <n v="300"/>
    <x v="1"/>
    <x v="1"/>
    <x v="5"/>
    <n v="-300"/>
    <s v=""/>
    <s v=""/>
    <s v=""/>
    <s v=""/>
    <m/>
    <n v="-300"/>
    <m/>
    <m/>
    <m/>
  </r>
  <r>
    <x v="6"/>
    <x v="83"/>
    <x v="65"/>
    <n v="300"/>
    <x v="2"/>
    <x v="1"/>
    <x v="2"/>
    <s v=""/>
    <s v=""/>
    <n v="300"/>
    <s v=""/>
    <s v=""/>
    <m/>
    <n v="300"/>
    <m/>
    <m/>
    <m/>
  </r>
  <r>
    <x v="6"/>
    <x v="83"/>
    <x v="101"/>
    <n v="200"/>
    <x v="1"/>
    <x v="1"/>
    <x v="5"/>
    <n v="-200"/>
    <s v=""/>
    <s v=""/>
    <s v=""/>
    <s v=""/>
    <m/>
    <n v="-200"/>
    <m/>
    <m/>
    <m/>
  </r>
  <r>
    <x v="6"/>
    <x v="83"/>
    <x v="101"/>
    <n v="200"/>
    <x v="2"/>
    <x v="1"/>
    <x v="3"/>
    <s v=""/>
    <n v="200"/>
    <s v=""/>
    <s v=""/>
    <s v=""/>
    <m/>
    <n v="200"/>
    <m/>
    <m/>
    <m/>
  </r>
  <r>
    <x v="6"/>
    <x v="77"/>
    <x v="101"/>
    <n v="300"/>
    <x v="1"/>
    <x v="1"/>
    <x v="5"/>
    <n v="-300"/>
    <s v=""/>
    <s v=""/>
    <s v=""/>
    <s v=""/>
    <m/>
    <n v="-300"/>
    <m/>
    <m/>
    <m/>
  </r>
  <r>
    <x v="6"/>
    <x v="77"/>
    <x v="101"/>
    <n v="300"/>
    <x v="2"/>
    <x v="1"/>
    <x v="3"/>
    <s v=""/>
    <n v="300"/>
    <s v=""/>
    <s v=""/>
    <s v=""/>
    <m/>
    <n v="300"/>
    <m/>
    <m/>
    <m/>
  </r>
  <r>
    <x v="14"/>
    <x v="77"/>
    <x v="4"/>
    <n v="293.89999999999998"/>
    <x v="1"/>
    <x v="1"/>
    <x v="4"/>
    <s v=""/>
    <s v=""/>
    <s v=""/>
    <n v="-293.89999999999998"/>
    <s v=""/>
    <m/>
    <n v="-293.89999999999998"/>
    <m/>
    <m/>
    <m/>
  </r>
  <r>
    <x v="13"/>
    <x v="84"/>
    <x v="38"/>
    <n v="13166.666666666666"/>
    <x v="1"/>
    <x v="3"/>
    <x v="4"/>
    <s v=""/>
    <s v=""/>
    <s v=""/>
    <s v=""/>
    <s v=""/>
    <m/>
    <s v="non ancora confermato"/>
    <m/>
    <m/>
    <m/>
  </r>
  <r>
    <x v="13"/>
    <x v="85"/>
    <x v="53"/>
    <n v="2323.04"/>
    <x v="1"/>
    <x v="0"/>
    <x v="4"/>
    <s v=""/>
    <s v=""/>
    <s v=""/>
    <s v=""/>
    <s v=""/>
    <s v=""/>
    <s v="non ancora confermato"/>
    <s v="PROFORMA"/>
    <m/>
    <m/>
  </r>
  <r>
    <x v="13"/>
    <x v="84"/>
    <x v="34"/>
    <n v="10000"/>
    <x v="1"/>
    <x v="3"/>
    <x v="5"/>
    <s v=""/>
    <s v=""/>
    <s v=""/>
    <s v=""/>
    <s v=""/>
    <m/>
    <s v="non ancora confermato"/>
    <m/>
    <m/>
    <m/>
  </r>
  <r>
    <x v="13"/>
    <x v="84"/>
    <x v="40"/>
    <n v="3090"/>
    <x v="1"/>
    <x v="0"/>
    <x v="4"/>
    <s v=""/>
    <s v=""/>
    <s v=""/>
    <s v=""/>
    <s v=""/>
    <m/>
    <s v="non ancora confermato"/>
    <m/>
    <m/>
    <m/>
  </r>
  <r>
    <x v="13"/>
    <x v="84"/>
    <x v="5"/>
    <n v="8000"/>
    <x v="1"/>
    <x v="3"/>
    <x v="4"/>
    <s v=""/>
    <s v=""/>
    <s v=""/>
    <s v=""/>
    <s v=""/>
    <m/>
    <s v="non ancora confermato"/>
    <m/>
    <m/>
    <m/>
  </r>
  <r>
    <x v="13"/>
    <x v="80"/>
    <x v="146"/>
    <n v="1163.22"/>
    <x v="1"/>
    <x v="3"/>
    <x v="7"/>
    <s v=""/>
    <s v=""/>
    <s v=""/>
    <s v=""/>
    <s v=""/>
    <m/>
    <s v="non ancora confermato"/>
    <s v="hanno portato avanti la pratica col legale"/>
    <m/>
    <m/>
  </r>
  <r>
    <x v="13"/>
    <x v="77"/>
    <x v="147"/>
    <n v="70000"/>
    <x v="1"/>
    <x v="3"/>
    <x v="2"/>
    <s v=""/>
    <s v=""/>
    <s v=""/>
    <s v=""/>
    <s v=""/>
    <m/>
    <s v="non ancora confermato"/>
    <m/>
    <m/>
    <m/>
  </r>
  <r>
    <x v="13"/>
    <x v="77"/>
    <x v="102"/>
    <n v="10000"/>
    <x v="1"/>
    <x v="3"/>
    <x v="4"/>
    <s v=""/>
    <s v=""/>
    <s v=""/>
    <s v=""/>
    <s v=""/>
    <s v=""/>
    <s v="non ancora confermato"/>
    <m/>
    <m/>
    <m/>
  </r>
  <r>
    <x v="13"/>
    <x v="84"/>
    <x v="109"/>
    <n v="5000"/>
    <x v="1"/>
    <x v="3"/>
    <x v="5"/>
    <s v=""/>
    <s v=""/>
    <s v=""/>
    <s v=""/>
    <s v=""/>
    <m/>
    <s v="non ancora confermato"/>
    <m/>
    <m/>
    <m/>
  </r>
  <r>
    <x v="13"/>
    <x v="84"/>
    <x v="148"/>
    <n v="448.4"/>
    <x v="1"/>
    <x v="0"/>
    <x v="5"/>
    <s v=""/>
    <s v=""/>
    <s v=""/>
    <s v=""/>
    <s v=""/>
    <m/>
    <s v="non ancora confermato"/>
    <m/>
    <m/>
    <m/>
  </r>
  <r>
    <x v="13"/>
    <x v="84"/>
    <x v="149"/>
    <n v="1700"/>
    <x v="1"/>
    <x v="3"/>
    <x v="5"/>
    <s v=""/>
    <s v=""/>
    <s v=""/>
    <s v=""/>
    <s v=""/>
    <m/>
    <s v="non ancora confermato"/>
    <s v="CANTIERE DI BERGAMO Formazione di rampa"/>
    <m/>
    <m/>
  </r>
  <r>
    <x v="13"/>
    <x v="84"/>
    <x v="150"/>
    <n v="139.08000000000001"/>
    <x v="1"/>
    <x v="3"/>
    <x v="4"/>
    <s v=""/>
    <s v=""/>
    <s v=""/>
    <s v=""/>
    <s v=""/>
    <m/>
    <s v="non ancora confermato"/>
    <s v="mandano mail di risontro e pagamento ft di fine novembre"/>
    <m/>
    <m/>
  </r>
  <r>
    <x v="13"/>
    <x v="84"/>
    <x v="151"/>
    <n v="57.2"/>
    <x v="1"/>
    <x v="3"/>
    <x v="5"/>
    <s v=""/>
    <s v=""/>
    <s v=""/>
    <s v=""/>
    <s v=""/>
    <m/>
    <s v="non ancora confermato"/>
    <m/>
    <m/>
    <m/>
  </r>
  <r>
    <x v="13"/>
    <x v="84"/>
    <x v="3"/>
    <n v="502.6"/>
    <x v="1"/>
    <x v="1"/>
    <x v="3"/>
    <s v=""/>
    <n v="-502.6"/>
    <s v=""/>
    <s v=""/>
    <s v=""/>
    <m/>
    <n v="-502.6"/>
    <m/>
    <m/>
    <m/>
  </r>
  <r>
    <x v="3"/>
    <x v="0"/>
    <x v="1"/>
    <m/>
    <x v="0"/>
    <x v="2"/>
    <x v="13"/>
    <s v="USCITE PREVISTE:"/>
    <n v="231478.49666666667"/>
    <s v="DELTA:"/>
    <n v="-203322.31666666668"/>
    <s v="RIMANENZA PREVISTA:"/>
    <m/>
    <n v="-100014.58666666667"/>
    <m/>
    <m/>
    <m/>
  </r>
  <r>
    <x v="15"/>
    <x v="0"/>
    <x v="1"/>
    <n v="-122491.13166666667"/>
    <x v="0"/>
    <x v="0"/>
    <x v="1"/>
    <n v="2782.5100000000011"/>
    <n v="33.349999999999909"/>
    <n v="130.39999999999952"/>
    <n v="17111.060000000005"/>
    <n v="7477.200000000008"/>
    <n v="0"/>
    <n v="27534.520000000015"/>
    <s v="DI RIMANENZA EFFETTIVA"/>
    <n v="-51998.486666666693"/>
    <m/>
  </r>
  <r>
    <x v="14"/>
    <x v="86"/>
    <x v="7"/>
    <n v="8748.8700000000008"/>
    <x v="1"/>
    <x v="1"/>
    <x v="4"/>
    <s v=""/>
    <s v=""/>
    <s v=""/>
    <n v="-8748.8700000000008"/>
    <s v=""/>
    <m/>
    <n v="-8748.8700000000008"/>
    <m/>
    <m/>
    <m/>
  </r>
  <r>
    <x v="14"/>
    <x v="87"/>
    <x v="7"/>
    <n v="7528.19"/>
    <x v="1"/>
    <x v="1"/>
    <x v="4"/>
    <s v=""/>
    <s v=""/>
    <s v=""/>
    <n v="-7528.19"/>
    <s v=""/>
    <m/>
    <n v="-7528.19"/>
    <m/>
    <m/>
    <m/>
  </r>
  <r>
    <x v="14"/>
    <x v="88"/>
    <x v="152"/>
    <n v="104.16"/>
    <x v="1"/>
    <x v="1"/>
    <x v="5"/>
    <n v="-104.16"/>
    <s v=""/>
    <s v=""/>
    <s v=""/>
    <s v=""/>
    <m/>
    <n v="-104.16"/>
    <m/>
    <m/>
    <m/>
  </r>
  <r>
    <x v="14"/>
    <x v="89"/>
    <x v="14"/>
    <n v="167.98"/>
    <x v="1"/>
    <x v="1"/>
    <x v="5"/>
    <n v="-167.98"/>
    <s v=""/>
    <s v=""/>
    <s v=""/>
    <s v=""/>
    <m/>
    <n v="-167.98"/>
    <m/>
    <m/>
    <m/>
  </r>
  <r>
    <x v="14"/>
    <x v="90"/>
    <x v="17"/>
    <n v="672"/>
    <x v="1"/>
    <x v="1"/>
    <x v="5"/>
    <n v="-672"/>
    <s v=""/>
    <s v=""/>
    <s v=""/>
    <s v=""/>
    <m/>
    <n v="-672"/>
    <m/>
    <m/>
    <m/>
  </r>
  <r>
    <x v="14"/>
    <x v="88"/>
    <x v="128"/>
    <n v="954.87"/>
    <x v="1"/>
    <x v="1"/>
    <x v="5"/>
    <n v="-954.87"/>
    <s v=""/>
    <s v=""/>
    <s v=""/>
    <s v=""/>
    <m/>
    <n v="-954.87"/>
    <m/>
    <m/>
    <m/>
  </r>
  <r>
    <x v="6"/>
    <x v="90"/>
    <x v="65"/>
    <n v="250"/>
    <x v="1"/>
    <x v="1"/>
    <x v="5"/>
    <n v="-250"/>
    <s v=""/>
    <s v=""/>
    <s v=""/>
    <s v=""/>
    <m/>
    <n v="-250"/>
    <m/>
    <m/>
    <m/>
  </r>
  <r>
    <x v="6"/>
    <x v="90"/>
    <x v="65"/>
    <n v="250"/>
    <x v="2"/>
    <x v="1"/>
    <x v="2"/>
    <s v=""/>
    <s v=""/>
    <n v="250"/>
    <s v=""/>
    <s v=""/>
    <m/>
    <n v="250"/>
    <m/>
    <m/>
    <m/>
  </r>
  <r>
    <x v="14"/>
    <x v="90"/>
    <x v="24"/>
    <n v="250"/>
    <x v="1"/>
    <x v="1"/>
    <x v="2"/>
    <s v=""/>
    <s v=""/>
    <n v="-250"/>
    <s v=""/>
    <s v=""/>
    <m/>
    <n v="-250"/>
    <m/>
    <m/>
    <m/>
  </r>
  <r>
    <x v="14"/>
    <x v="91"/>
    <x v="89"/>
    <n v="6540.63"/>
    <x v="1"/>
    <x v="1"/>
    <x v="7"/>
    <s v=""/>
    <s v=""/>
    <s v=""/>
    <s v=""/>
    <n v="-6540.63"/>
    <m/>
    <n v="-6540.63"/>
    <m/>
    <m/>
    <m/>
  </r>
  <r>
    <x v="14"/>
    <x v="92"/>
    <x v="88"/>
    <n v="27.94"/>
    <x v="1"/>
    <x v="1"/>
    <x v="5"/>
    <n v="-27.94"/>
    <s v=""/>
    <s v=""/>
    <s v=""/>
    <s v=""/>
    <m/>
    <n v="-27.94"/>
    <m/>
    <m/>
    <m/>
  </r>
  <r>
    <x v="14"/>
    <x v="92"/>
    <x v="88"/>
    <n v="29.39"/>
    <x v="1"/>
    <x v="1"/>
    <x v="5"/>
    <n v="-29.39"/>
    <s v=""/>
    <s v=""/>
    <s v=""/>
    <s v=""/>
    <m/>
    <n v="-29.39"/>
    <m/>
    <m/>
    <m/>
  </r>
  <r>
    <x v="14"/>
    <x v="92"/>
    <x v="113"/>
    <n v="523.5"/>
    <x v="1"/>
    <x v="1"/>
    <x v="5"/>
    <n v="-523.5"/>
    <s v=""/>
    <s v=""/>
    <s v=""/>
    <s v=""/>
    <m/>
    <n v="-523.5"/>
    <m/>
    <m/>
    <m/>
  </r>
  <r>
    <x v="14"/>
    <x v="92"/>
    <x v="62"/>
    <n v="55.56000000000121"/>
    <x v="1"/>
    <x v="1"/>
    <x v="5"/>
    <n v="-55.56000000000121"/>
    <s v=""/>
    <s v=""/>
    <s v=""/>
    <s v=""/>
    <m/>
    <n v="-55.56000000000121"/>
    <s v="aggiornato al 13-02: 52.67+saldo negativo di 2.86"/>
    <m/>
    <m/>
  </r>
  <r>
    <x v="14"/>
    <x v="92"/>
    <x v="62"/>
    <n v="8.8199999999999079"/>
    <x v="1"/>
    <x v="1"/>
    <x v="3"/>
    <s v=""/>
    <n v="-8.8199999999999079"/>
    <s v=""/>
    <s v=""/>
    <s v=""/>
    <m/>
    <n v="-8.8199999999999079"/>
    <s v="aggiornato 13-02: 24.53 il saldo + 8.82 (interessi)"/>
    <m/>
    <m/>
  </r>
  <r>
    <x v="14"/>
    <x v="92"/>
    <x v="62"/>
    <n v="96.009999999999522"/>
    <x v="1"/>
    <x v="1"/>
    <x v="2"/>
    <s v=""/>
    <s v=""/>
    <n v="-96.009999999999522"/>
    <s v=""/>
    <s v=""/>
    <m/>
    <n v="-96.009999999999522"/>
    <s v="aggiornato 13-02: 3439 di saldo e 96.01 di interessi"/>
    <m/>
    <m/>
  </r>
  <r>
    <x v="14"/>
    <x v="92"/>
    <x v="62"/>
    <n v="13.340000000007876"/>
    <x v="1"/>
    <x v="1"/>
    <x v="7"/>
    <s v=""/>
    <s v=""/>
    <s v=""/>
    <s v=""/>
    <n v="-13.340000000007876"/>
    <m/>
    <n v="-13.340000000007876"/>
    <s v="aggiornato al 13-02: 923.23 di saldo + interessi 13.34"/>
    <m/>
    <m/>
  </r>
  <r>
    <x v="14"/>
    <x v="92"/>
    <x v="62"/>
    <n v="10.31"/>
    <x v="1"/>
    <x v="1"/>
    <x v="4"/>
    <s v=""/>
    <s v=""/>
    <s v=""/>
    <n v="-10.31"/>
    <s v=""/>
    <m/>
    <n v="-10.31"/>
    <s v="saldo al 13-02: saldo 9176.31 con 10.31 di interessi"/>
    <m/>
    <m/>
  </r>
  <r>
    <x v="14"/>
    <x v="93"/>
    <x v="153"/>
    <n v="2500"/>
    <x v="1"/>
    <x v="3"/>
    <x v="4"/>
    <s v=""/>
    <s v=""/>
    <s v=""/>
    <s v=""/>
    <s v=""/>
    <m/>
    <s v="non ancora confermato"/>
    <m/>
    <m/>
    <m/>
  </r>
  <r>
    <x v="14"/>
    <x v="94"/>
    <x v="11"/>
    <n v="10000"/>
    <x v="1"/>
    <x v="3"/>
    <x v="4"/>
    <s v=""/>
    <s v=""/>
    <s v=""/>
    <s v=""/>
    <s v=""/>
    <m/>
    <s v="non ancora confermato"/>
    <m/>
    <m/>
    <m/>
  </r>
  <r>
    <x v="14"/>
    <x v="95"/>
    <x v="154"/>
    <n v="3852.15"/>
    <x v="1"/>
    <x v="0"/>
    <x v="5"/>
    <s v=""/>
    <s v=""/>
    <s v=""/>
    <s v=""/>
    <s v=""/>
    <m/>
    <s v="non ancora confermato"/>
    <s v="RIBA DEL 10/12"/>
    <m/>
    <m/>
  </r>
  <r>
    <x v="14"/>
    <x v="87"/>
    <x v="3"/>
    <n v="502.6"/>
    <x v="1"/>
    <x v="3"/>
    <x v="3"/>
    <s v=""/>
    <s v=""/>
    <s v=""/>
    <s v=""/>
    <s v=""/>
    <m/>
    <s v="non ancora confermato"/>
    <m/>
    <m/>
    <m/>
  </r>
  <r>
    <x v="14"/>
    <x v="87"/>
    <x v="38"/>
    <n v="13166.666666666666"/>
    <x v="1"/>
    <x v="3"/>
    <x v="4"/>
    <s v=""/>
    <s v=""/>
    <s v=""/>
    <s v=""/>
    <s v=""/>
    <m/>
    <s v="non ancora confermato"/>
    <m/>
    <m/>
    <m/>
  </r>
  <r>
    <x v="14"/>
    <x v="87"/>
    <x v="102"/>
    <n v="10003.11"/>
    <x v="1"/>
    <x v="3"/>
    <x v="4"/>
    <s v=""/>
    <s v=""/>
    <s v=""/>
    <s v=""/>
    <s v=""/>
    <m/>
    <s v="non ancora confermato"/>
    <m/>
    <m/>
    <m/>
  </r>
  <r>
    <x v="14"/>
    <x v="93"/>
    <x v="17"/>
    <n v="560.03"/>
    <x v="1"/>
    <x v="3"/>
    <x v="5"/>
    <s v=""/>
    <s v=""/>
    <s v=""/>
    <s v=""/>
    <s v=""/>
    <m/>
    <s v="non ancora confermato"/>
    <m/>
    <m/>
    <m/>
  </r>
  <r>
    <x v="14"/>
    <x v="87"/>
    <x v="5"/>
    <n v="8000"/>
    <x v="1"/>
    <x v="3"/>
    <x v="4"/>
    <s v=""/>
    <s v=""/>
    <s v=""/>
    <s v=""/>
    <s v=""/>
    <m/>
    <s v="non ancora confermato"/>
    <m/>
    <m/>
    <m/>
  </r>
  <r>
    <x v="14"/>
    <x v="93"/>
    <x v="140"/>
    <n v="2000"/>
    <x v="1"/>
    <x v="3"/>
    <x v="4"/>
    <s v=""/>
    <s v=""/>
    <s v=""/>
    <s v=""/>
    <s v=""/>
    <m/>
    <s v="non ancora confermato"/>
    <m/>
    <m/>
    <m/>
  </r>
  <r>
    <x v="14"/>
    <x v="93"/>
    <x v="134"/>
    <n v="2500"/>
    <x v="1"/>
    <x v="3"/>
    <x v="4"/>
    <s v=""/>
    <s v=""/>
    <s v=""/>
    <s v=""/>
    <s v=""/>
    <m/>
    <s v="non ancora confermato"/>
    <m/>
    <m/>
    <m/>
  </r>
  <r>
    <x v="14"/>
    <x v="93"/>
    <x v="53"/>
    <n v="2323.04"/>
    <x v="1"/>
    <x v="3"/>
    <x v="4"/>
    <s v=""/>
    <s v=""/>
    <s v=""/>
    <s v=""/>
    <s v=""/>
    <s v=""/>
    <s v="non ancora confermato"/>
    <s v="PROFORMA"/>
    <m/>
    <m/>
  </r>
  <r>
    <x v="14"/>
    <x v="87"/>
    <x v="26"/>
    <n v="3425"/>
    <x v="1"/>
    <x v="3"/>
    <x v="7"/>
    <s v=""/>
    <s v=""/>
    <s v=""/>
    <s v=""/>
    <s v=""/>
    <m/>
    <s v="non ancora confermato"/>
    <m/>
    <m/>
    <m/>
  </r>
  <r>
    <x v="14"/>
    <x v="87"/>
    <x v="34"/>
    <n v="10000"/>
    <x v="1"/>
    <x v="0"/>
    <x v="5"/>
    <s v=""/>
    <s v=""/>
    <s v=""/>
    <s v=""/>
    <s v=""/>
    <m/>
    <s v="non ancora confermato"/>
    <m/>
    <m/>
    <m/>
  </r>
  <r>
    <x v="14"/>
    <x v="87"/>
    <x v="51"/>
    <n v="1140"/>
    <x v="1"/>
    <x v="3"/>
    <x v="5"/>
    <s v=""/>
    <s v=""/>
    <s v=""/>
    <s v=""/>
    <s v=""/>
    <m/>
    <s v="non ancora confermato"/>
    <m/>
    <m/>
    <m/>
  </r>
  <r>
    <x v="14"/>
    <x v="87"/>
    <x v="107"/>
    <n v="13000"/>
    <x v="1"/>
    <x v="3"/>
    <x v="4"/>
    <s v=""/>
    <s v=""/>
    <s v=""/>
    <s v=""/>
    <s v=""/>
    <m/>
    <s v="non ancora confermato"/>
    <m/>
    <m/>
    <m/>
  </r>
  <r>
    <x v="14"/>
    <x v="87"/>
    <x v="109"/>
    <n v="5000"/>
    <x v="1"/>
    <x v="3"/>
    <x v="5"/>
    <s v=""/>
    <s v=""/>
    <s v=""/>
    <s v=""/>
    <s v=""/>
    <m/>
    <s v="non ancora confermato"/>
    <m/>
    <m/>
    <m/>
  </r>
  <r>
    <x v="14"/>
    <x v="87"/>
    <x v="152"/>
    <n v="92.92"/>
    <x v="1"/>
    <x v="3"/>
    <x v="5"/>
    <s v=""/>
    <s v=""/>
    <s v=""/>
    <s v=""/>
    <s v=""/>
    <m/>
    <s v="non ancora confermato"/>
    <s v="emissione fattura 30/11"/>
    <m/>
    <m/>
  </r>
  <r>
    <x v="14"/>
    <x v="87"/>
    <x v="149"/>
    <n v="3600"/>
    <x v="1"/>
    <x v="3"/>
    <x v="5"/>
    <s v=""/>
    <s v=""/>
    <s v=""/>
    <s v=""/>
    <s v=""/>
    <m/>
    <s v="non ancora confermato"/>
    <s v="CANTIERE DI SORISOLE Formazione di pavimento_x000a_industriale"/>
    <m/>
    <m/>
  </r>
  <r>
    <x v="14"/>
    <x v="87"/>
    <x v="36"/>
    <n v="5094.0450000000001"/>
    <x v="1"/>
    <x v="3"/>
    <x v="12"/>
    <s v=""/>
    <s v=""/>
    <s v=""/>
    <s v=""/>
    <s v=""/>
    <m/>
    <s v="non ancora confermato"/>
    <m/>
    <m/>
    <m/>
  </r>
  <r>
    <x v="3"/>
    <x v="0"/>
    <x v="1"/>
    <m/>
    <x v="0"/>
    <x v="2"/>
    <x v="14"/>
    <s v="USCITE PREVISTE:"/>
    <n v="122741.13166666667"/>
    <s v="DELTA:"/>
    <n v="-122491.13166666667"/>
    <s v="RIMANENZA PREVISTA:"/>
    <m/>
    <n v="-94956.611666666649"/>
    <m/>
    <m/>
    <m/>
  </r>
  <r>
    <x v="16"/>
    <x v="0"/>
    <x v="1"/>
    <n v="-116200.67166666666"/>
    <x v="0"/>
    <x v="0"/>
    <x v="1"/>
    <n v="-2.8900000000000006"/>
    <n v="24.53"/>
    <n v="34.39"/>
    <n v="823.6900000000046"/>
    <n v="923.23"/>
    <n v="0"/>
    <n v="1802.9500000000046"/>
    <s v="DI RIMANENZA EFFETTIVA"/>
    <n v="-174489.61833333335"/>
    <m/>
  </r>
  <r>
    <x v="17"/>
    <x v="96"/>
    <x v="7"/>
    <n v="8900"/>
    <x v="1"/>
    <x v="3"/>
    <x v="4"/>
    <s v=""/>
    <s v=""/>
    <s v=""/>
    <s v=""/>
    <s v=""/>
    <m/>
    <s v="non ancora confermato"/>
    <m/>
    <m/>
    <m/>
  </r>
  <r>
    <x v="17"/>
    <x v="97"/>
    <x v="153"/>
    <n v="2500"/>
    <x v="1"/>
    <x v="3"/>
    <x v="4"/>
    <s v=""/>
    <s v=""/>
    <s v=""/>
    <s v=""/>
    <s v=""/>
    <m/>
    <s v="non ancora confermato"/>
    <m/>
    <m/>
    <m/>
  </r>
  <r>
    <x v="17"/>
    <x v="98"/>
    <x v="154"/>
    <n v="3852.15"/>
    <x v="1"/>
    <x v="0"/>
    <x v="5"/>
    <s v=""/>
    <s v=""/>
    <s v=""/>
    <s v=""/>
    <s v=""/>
    <m/>
    <s v="non ancora confermato"/>
    <s v="RIBA DEL 10/12"/>
    <m/>
    <m/>
  </r>
  <r>
    <x v="17"/>
    <x v="98"/>
    <x v="154"/>
    <n v="1175.78"/>
    <x v="1"/>
    <x v="0"/>
    <x v="5"/>
    <s v=""/>
    <s v=""/>
    <s v=""/>
    <s v=""/>
    <s v=""/>
    <m/>
    <s v="non ancora confermato"/>
    <m/>
    <m/>
    <m/>
  </r>
  <r>
    <x v="17"/>
    <x v="99"/>
    <x v="11"/>
    <n v="10000"/>
    <x v="1"/>
    <x v="3"/>
    <x v="4"/>
    <s v=""/>
    <s v=""/>
    <s v=""/>
    <s v=""/>
    <s v=""/>
    <m/>
    <s v="non ancora confermato"/>
    <m/>
    <m/>
    <m/>
  </r>
  <r>
    <x v="17"/>
    <x v="100"/>
    <x v="3"/>
    <n v="502.6"/>
    <x v="1"/>
    <x v="3"/>
    <x v="3"/>
    <s v=""/>
    <s v=""/>
    <s v=""/>
    <s v=""/>
    <s v=""/>
    <m/>
    <s v="non ancora confermato"/>
    <m/>
    <m/>
    <m/>
  </r>
  <r>
    <x v="3"/>
    <x v="0"/>
    <x v="1"/>
    <n v="1175.78"/>
    <x v="1"/>
    <x v="3"/>
    <x v="4"/>
    <m/>
    <m/>
    <m/>
    <m/>
    <m/>
    <m/>
    <m/>
    <m/>
    <m/>
    <m/>
  </r>
  <r>
    <x v="17"/>
    <x v="98"/>
    <x v="25"/>
    <n v="2869.42"/>
    <x v="1"/>
    <x v="3"/>
    <x v="5"/>
    <s v=""/>
    <s v=""/>
    <s v=""/>
    <s v=""/>
    <s v=""/>
    <m/>
    <s v="non ancora confermato"/>
    <s v="CAMBIALE 10/03"/>
    <m/>
    <m/>
  </r>
  <r>
    <x v="17"/>
    <x v="97"/>
    <x v="140"/>
    <n v="2000"/>
    <x v="1"/>
    <x v="3"/>
    <x v="3"/>
    <s v=""/>
    <s v=""/>
    <s v=""/>
    <s v=""/>
    <s v=""/>
    <m/>
    <s v="non ancora confermato"/>
    <m/>
    <m/>
    <m/>
  </r>
  <r>
    <x v="17"/>
    <x v="101"/>
    <x v="53"/>
    <n v="2323.04"/>
    <x v="1"/>
    <x v="3"/>
    <x v="4"/>
    <s v=""/>
    <s v=""/>
    <s v=""/>
    <s v=""/>
    <s v=""/>
    <s v=""/>
    <s v="non ancora confermato"/>
    <s v="PROFORMA"/>
    <m/>
    <m/>
  </r>
  <r>
    <x v="17"/>
    <x v="102"/>
    <x v="5"/>
    <n v="8000"/>
    <x v="1"/>
    <x v="3"/>
    <x v="4"/>
    <s v=""/>
    <s v=""/>
    <s v=""/>
    <s v=""/>
    <s v=""/>
    <m/>
    <s v="non ancora confermato"/>
    <m/>
    <m/>
    <m/>
  </r>
  <r>
    <x v="17"/>
    <x v="97"/>
    <x v="134"/>
    <n v="2500"/>
    <x v="1"/>
    <x v="3"/>
    <x v="3"/>
    <s v=""/>
    <s v=""/>
    <s v=""/>
    <s v=""/>
    <s v=""/>
    <m/>
    <s v="non ancora confermato"/>
    <m/>
    <m/>
    <m/>
  </r>
  <r>
    <x v="17"/>
    <x v="103"/>
    <x v="107"/>
    <n v="13000"/>
    <x v="1"/>
    <x v="0"/>
    <x v="4"/>
    <s v=""/>
    <s v=""/>
    <s v=""/>
    <s v=""/>
    <s v=""/>
    <m/>
    <s v="non ancora confermato"/>
    <m/>
    <m/>
    <m/>
  </r>
  <r>
    <x v="17"/>
    <x v="103"/>
    <x v="35"/>
    <n v="5000"/>
    <x v="1"/>
    <x v="0"/>
    <x v="5"/>
    <s v=""/>
    <s v=""/>
    <s v=""/>
    <s v=""/>
    <s v=""/>
    <m/>
    <s v="non ancora confermato"/>
    <m/>
    <m/>
    <m/>
  </r>
  <r>
    <x v="17"/>
    <x v="103"/>
    <x v="26"/>
    <n v="3425"/>
    <x v="1"/>
    <x v="0"/>
    <x v="7"/>
    <s v=""/>
    <s v=""/>
    <s v=""/>
    <s v=""/>
    <s v=""/>
    <m/>
    <s v="non ancora confermato"/>
    <m/>
    <m/>
    <m/>
  </r>
  <r>
    <x v="17"/>
    <x v="104"/>
    <x v="155"/>
    <n v="1390.8"/>
    <x v="1"/>
    <x v="0"/>
    <x v="4"/>
    <s v=""/>
    <s v=""/>
    <s v=""/>
    <s v=""/>
    <s v=""/>
    <m/>
    <s v="non ancora confermato"/>
    <m/>
    <m/>
    <m/>
  </r>
  <r>
    <x v="17"/>
    <x v="103"/>
    <x v="34"/>
    <n v="10000"/>
    <x v="1"/>
    <x v="3"/>
    <x v="5"/>
    <s v=""/>
    <s v=""/>
    <s v=""/>
    <s v=""/>
    <s v=""/>
    <m/>
    <s v="non ancora confermato"/>
    <m/>
    <m/>
    <m/>
  </r>
  <r>
    <x v="17"/>
    <x v="103"/>
    <x v="38"/>
    <n v="13166.666666666666"/>
    <x v="1"/>
    <x v="0"/>
    <x v="4"/>
    <s v=""/>
    <s v=""/>
    <s v=""/>
    <s v=""/>
    <s v=""/>
    <m/>
    <s v="non ancora confermato"/>
    <m/>
    <m/>
    <m/>
  </r>
  <r>
    <x v="17"/>
    <x v="103"/>
    <x v="7"/>
    <n v="7500"/>
    <x v="1"/>
    <x v="3"/>
    <x v="4"/>
    <s v=""/>
    <s v=""/>
    <s v=""/>
    <s v=""/>
    <s v=""/>
    <m/>
    <s v="non ancora confermato"/>
    <m/>
    <m/>
    <m/>
  </r>
  <r>
    <x v="17"/>
    <x v="103"/>
    <x v="119"/>
    <n v="361.17"/>
    <x v="1"/>
    <x v="3"/>
    <x v="12"/>
    <s v=""/>
    <s v=""/>
    <s v=""/>
    <s v=""/>
    <s v=""/>
    <m/>
    <s v="non ancora confermato"/>
    <s v="SCADENAZ ER AIL 31-01"/>
    <m/>
    <m/>
  </r>
  <r>
    <x v="17"/>
    <x v="103"/>
    <x v="89"/>
    <n v="6500"/>
    <x v="1"/>
    <x v="3"/>
    <x v="7"/>
    <s v=""/>
    <s v=""/>
    <s v=""/>
    <s v=""/>
    <s v=""/>
    <m/>
    <s v="non ancora confermato"/>
    <m/>
    <m/>
    <m/>
  </r>
  <r>
    <x v="17"/>
    <x v="102"/>
    <x v="36"/>
    <n v="5094.0450000000001"/>
    <x v="1"/>
    <x v="0"/>
    <x v="7"/>
    <s v=""/>
    <s v=""/>
    <s v=""/>
    <s v=""/>
    <s v=""/>
    <m/>
    <s v="non ancora confermato"/>
    <m/>
    <m/>
    <m/>
  </r>
  <r>
    <x v="17"/>
    <x v="103"/>
    <x v="109"/>
    <n v="5000"/>
    <x v="1"/>
    <x v="0"/>
    <x v="5"/>
    <s v=""/>
    <s v=""/>
    <s v=""/>
    <s v=""/>
    <s v=""/>
    <m/>
    <s v="non ancora confermato"/>
    <m/>
    <m/>
    <m/>
  </r>
  <r>
    <x v="17"/>
    <x v="103"/>
    <x v="51"/>
    <n v="1140"/>
    <x v="1"/>
    <x v="3"/>
    <x v="5"/>
    <s v=""/>
    <s v=""/>
    <s v=""/>
    <s v=""/>
    <s v=""/>
    <m/>
    <s v="non ancora confermato"/>
    <m/>
    <m/>
    <m/>
  </r>
  <r>
    <x v="3"/>
    <x v="0"/>
    <x v="1"/>
    <m/>
    <x v="0"/>
    <x v="2"/>
    <x v="6"/>
    <s v="USCITE PREVISTE:"/>
    <n v="117376.45166666666"/>
    <s v="DELTA:"/>
    <n v="-117376.45166666666"/>
    <s v="RIMANENZA PREVISTA:"/>
    <m/>
    <n v="-114397.72166666665"/>
    <m/>
    <m/>
    <m/>
  </r>
  <r>
    <x v="18"/>
    <x v="0"/>
    <x v="1"/>
    <n v="-76670.046666666662"/>
    <x v="0"/>
    <x v="0"/>
    <x v="1"/>
    <n v="-2.8900000000000006"/>
    <n v="24.53"/>
    <n v="34.39"/>
    <n v="823.6900000000046"/>
    <n v="923.23"/>
    <m/>
    <n v="1802.9500000000046"/>
    <s v="DI RIMANENZA EFFETTIVA"/>
    <n v="-291866.07"/>
    <m/>
  </r>
  <r>
    <x v="19"/>
    <x v="105"/>
    <x v="7"/>
    <n v="8900"/>
    <x v="1"/>
    <x v="3"/>
    <x v="4"/>
    <s v=""/>
    <s v=""/>
    <s v=""/>
    <s v=""/>
    <s v=""/>
    <m/>
    <s v="non ancora confermato"/>
    <m/>
    <m/>
    <m/>
  </r>
  <r>
    <x v="19"/>
    <x v="106"/>
    <x v="153"/>
    <n v="2500"/>
    <x v="1"/>
    <x v="3"/>
    <x v="4"/>
    <s v=""/>
    <s v=""/>
    <s v=""/>
    <s v=""/>
    <s v=""/>
    <m/>
    <s v="non ancora confermato"/>
    <m/>
    <m/>
    <m/>
  </r>
  <r>
    <x v="19"/>
    <x v="106"/>
    <x v="154"/>
    <n v="1175.78"/>
    <x v="1"/>
    <x v="0"/>
    <x v="5"/>
    <s v=""/>
    <s v=""/>
    <s v=""/>
    <s v=""/>
    <s v=""/>
    <m/>
    <s v="non ancora confermato"/>
    <m/>
    <m/>
    <m/>
  </r>
  <r>
    <x v="19"/>
    <x v="107"/>
    <x v="11"/>
    <n v="10000"/>
    <x v="1"/>
    <x v="3"/>
    <x v="4"/>
    <s v=""/>
    <s v=""/>
    <s v=""/>
    <s v=""/>
    <s v=""/>
    <m/>
    <s v="non ancora confermato"/>
    <m/>
    <m/>
    <m/>
  </r>
  <r>
    <x v="19"/>
    <x v="107"/>
    <x v="38"/>
    <n v="13166.666666666666"/>
    <x v="1"/>
    <x v="0"/>
    <x v="4"/>
    <s v=""/>
    <s v=""/>
    <s v=""/>
    <s v=""/>
    <s v=""/>
    <m/>
    <s v="non ancora confermato"/>
    <m/>
    <m/>
    <m/>
  </r>
  <r>
    <x v="11"/>
    <x v="54"/>
    <x v="11"/>
    <n v="2000"/>
    <x v="1"/>
    <x v="3"/>
    <x v="7"/>
    <s v=""/>
    <s v=""/>
    <s v=""/>
    <s v=""/>
    <s v=""/>
    <m/>
    <s v="non ancora confermato"/>
    <s v="TFR Priori"/>
    <m/>
    <m/>
  </r>
  <r>
    <x v="19"/>
    <x v="108"/>
    <x v="5"/>
    <n v="8000"/>
    <x v="1"/>
    <x v="3"/>
    <x v="4"/>
    <s v=""/>
    <s v=""/>
    <s v=""/>
    <s v=""/>
    <s v=""/>
    <m/>
    <s v="non ancora confermato"/>
    <m/>
    <m/>
    <m/>
  </r>
  <r>
    <x v="19"/>
    <x v="107"/>
    <x v="26"/>
    <n v="3425"/>
    <x v="1"/>
    <x v="0"/>
    <x v="7"/>
    <s v=""/>
    <s v=""/>
    <s v=""/>
    <s v=""/>
    <s v=""/>
    <m/>
    <s v="non ancora confermato"/>
    <m/>
    <m/>
    <m/>
  </r>
  <r>
    <x v="19"/>
    <x v="107"/>
    <x v="34"/>
    <n v="10000"/>
    <x v="1"/>
    <x v="3"/>
    <x v="5"/>
    <s v=""/>
    <s v=""/>
    <s v=""/>
    <s v=""/>
    <s v=""/>
    <m/>
    <s v="non ancora confermato"/>
    <m/>
    <m/>
    <m/>
  </r>
  <r>
    <x v="19"/>
    <x v="107"/>
    <x v="7"/>
    <n v="7500"/>
    <x v="1"/>
    <x v="3"/>
    <x v="4"/>
    <s v=""/>
    <s v=""/>
    <s v=""/>
    <s v=""/>
    <s v=""/>
    <m/>
    <s v="non ancora confermato"/>
    <m/>
    <m/>
    <m/>
  </r>
  <r>
    <x v="19"/>
    <x v="107"/>
    <x v="89"/>
    <n v="6500"/>
    <x v="1"/>
    <x v="3"/>
    <x v="7"/>
    <s v=""/>
    <s v=""/>
    <s v=""/>
    <s v=""/>
    <s v=""/>
    <m/>
    <s v="non ancora confermato"/>
    <m/>
    <m/>
    <m/>
  </r>
  <r>
    <x v="19"/>
    <x v="107"/>
    <x v="109"/>
    <n v="5000"/>
    <x v="1"/>
    <x v="0"/>
    <x v="5"/>
    <s v=""/>
    <s v=""/>
    <s v=""/>
    <s v=""/>
    <s v=""/>
    <m/>
    <s v="non ancora confermato"/>
    <m/>
    <m/>
    <m/>
  </r>
  <r>
    <x v="19"/>
    <x v="109"/>
    <x v="3"/>
    <n v="502.6"/>
    <x v="1"/>
    <x v="3"/>
    <x v="3"/>
    <s v=""/>
    <s v=""/>
    <s v=""/>
    <s v=""/>
    <s v=""/>
    <m/>
    <s v="non ancora confermato"/>
    <m/>
    <m/>
    <m/>
  </r>
  <r>
    <x v="3"/>
    <x v="0"/>
    <x v="1"/>
    <m/>
    <x v="0"/>
    <x v="2"/>
    <x v="6"/>
    <s v="USCITE PREVISTE:"/>
    <n v="78670.046666666662"/>
    <s v="DELTA:"/>
    <n v="-78670.046666666662"/>
    <s v="RIMANENZA PREVISTA:"/>
    <m/>
    <n v="-74867.09666666665"/>
    <m/>
    <m/>
    <m/>
  </r>
  <r>
    <x v="20"/>
    <x v="0"/>
    <x v="1"/>
    <n v="-74774.266666666663"/>
    <x v="0"/>
    <x v="0"/>
    <x v="1"/>
    <n v="-2.8900000000000006"/>
    <n v="24.53"/>
    <n v="34.39"/>
    <n v="823.6900000000046"/>
    <n v="923.23"/>
    <m/>
    <n v="1802.9500000000046"/>
    <s v="DI RIMANENZA EFFETTIVA"/>
    <n v="-370536.1166666667"/>
    <m/>
  </r>
  <r>
    <x v="21"/>
    <x v="110"/>
    <x v="11"/>
    <n v="10000"/>
    <x v="1"/>
    <x v="3"/>
    <x v="4"/>
    <s v=""/>
    <s v=""/>
    <s v=""/>
    <s v=""/>
    <s v=""/>
    <m/>
    <s v="non ancora confermato"/>
    <m/>
    <m/>
    <m/>
  </r>
  <r>
    <x v="21"/>
    <x v="110"/>
    <x v="153"/>
    <n v="2500"/>
    <x v="1"/>
    <x v="3"/>
    <x v="4"/>
    <s v=""/>
    <s v=""/>
    <s v=""/>
    <s v=""/>
    <s v=""/>
    <m/>
    <s v="non ancora confermato"/>
    <m/>
    <m/>
    <m/>
  </r>
  <r>
    <x v="21"/>
    <x v="110"/>
    <x v="7"/>
    <n v="7500"/>
    <x v="1"/>
    <x v="3"/>
    <x v="4"/>
    <s v=""/>
    <s v=""/>
    <s v=""/>
    <s v=""/>
    <s v=""/>
    <m/>
    <s v="non ancora confermato"/>
    <m/>
    <m/>
    <m/>
  </r>
  <r>
    <x v="21"/>
    <x v="110"/>
    <x v="38"/>
    <n v="14346.666666666666"/>
    <x v="1"/>
    <x v="0"/>
    <x v="4"/>
    <s v=""/>
    <s v=""/>
    <s v=""/>
    <s v=""/>
    <s v=""/>
    <m/>
    <s v="non ancora confermato"/>
    <m/>
    <m/>
    <m/>
  </r>
  <r>
    <x v="21"/>
    <x v="111"/>
    <x v="134"/>
    <n v="2500"/>
    <x v="1"/>
    <x v="3"/>
    <x v="7"/>
    <s v=""/>
    <s v=""/>
    <s v=""/>
    <s v=""/>
    <s v=""/>
    <m/>
    <s v="non ancora confermato"/>
    <m/>
    <m/>
    <m/>
  </r>
  <r>
    <x v="21"/>
    <x v="110"/>
    <x v="35"/>
    <n v="5000"/>
    <x v="1"/>
    <x v="0"/>
    <x v="5"/>
    <s v=""/>
    <s v=""/>
    <s v=""/>
    <s v=""/>
    <s v=""/>
    <m/>
    <s v="non ancora confermato"/>
    <m/>
    <m/>
    <m/>
  </r>
  <r>
    <x v="21"/>
    <x v="110"/>
    <x v="26"/>
    <n v="3425"/>
    <x v="1"/>
    <x v="0"/>
    <x v="7"/>
    <s v=""/>
    <s v=""/>
    <s v=""/>
    <s v=""/>
    <s v=""/>
    <m/>
    <s v="non ancora confermato"/>
    <m/>
    <m/>
    <m/>
  </r>
  <r>
    <x v="21"/>
    <x v="110"/>
    <x v="34"/>
    <n v="10000"/>
    <x v="1"/>
    <x v="3"/>
    <x v="5"/>
    <s v=""/>
    <s v=""/>
    <s v=""/>
    <s v=""/>
    <s v=""/>
    <m/>
    <s v="non ancora confermato"/>
    <m/>
    <m/>
    <m/>
  </r>
  <r>
    <x v="21"/>
    <x v="112"/>
    <x v="7"/>
    <n v="7500"/>
    <x v="1"/>
    <x v="3"/>
    <x v="4"/>
    <s v=""/>
    <s v=""/>
    <s v=""/>
    <s v=""/>
    <s v=""/>
    <m/>
    <s v="non ancora confermato"/>
    <m/>
    <m/>
    <m/>
  </r>
  <r>
    <x v="21"/>
    <x v="112"/>
    <x v="89"/>
    <n v="6500"/>
    <x v="1"/>
    <x v="3"/>
    <x v="7"/>
    <s v=""/>
    <s v=""/>
    <s v=""/>
    <s v=""/>
    <s v=""/>
    <m/>
    <s v="non ancora confermato"/>
    <m/>
    <m/>
    <m/>
  </r>
  <r>
    <x v="21"/>
    <x v="112"/>
    <x v="109"/>
    <n v="5000"/>
    <x v="1"/>
    <x v="0"/>
    <x v="5"/>
    <s v=""/>
    <s v=""/>
    <s v=""/>
    <s v=""/>
    <s v=""/>
    <m/>
    <s v="non ancora confermato"/>
    <m/>
    <m/>
    <m/>
  </r>
  <r>
    <x v="21"/>
    <x v="112"/>
    <x v="3"/>
    <n v="502.6"/>
    <x v="1"/>
    <x v="3"/>
    <x v="3"/>
    <s v=""/>
    <s v=""/>
    <s v=""/>
    <s v=""/>
    <s v=""/>
    <m/>
    <s v="non ancora confermato"/>
    <m/>
    <m/>
    <m/>
  </r>
  <r>
    <x v="3"/>
    <x v="0"/>
    <x v="1"/>
    <m/>
    <x v="0"/>
    <x v="2"/>
    <x v="6"/>
    <s v="USCITE PREVISTE:"/>
    <n v="74774.266666666663"/>
    <s v="DELTA:"/>
    <n v="-74774.266666666663"/>
    <s v="RIMANENZA PREVISTA:"/>
    <m/>
    <n v="-72971.316666666651"/>
    <m/>
    <m/>
    <m/>
  </r>
  <r>
    <x v="22"/>
    <x v="0"/>
    <x v="1"/>
    <n v="-39502.6"/>
    <x v="0"/>
    <x v="0"/>
    <x v="1"/>
    <n v="-2.8900000000000006"/>
    <n v="24.53"/>
    <n v="34.39"/>
    <n v="823.6900000000046"/>
    <n v="923.23"/>
    <m/>
    <n v="1802.9500000000046"/>
    <s v="DI RIMANENZA EFFETTIVA"/>
    <n v="-445310.38333333336"/>
    <m/>
  </r>
  <r>
    <x v="23"/>
    <x v="113"/>
    <x v="11"/>
    <n v="10000"/>
    <x v="1"/>
    <x v="3"/>
    <x v="4"/>
    <s v=""/>
    <s v=""/>
    <s v=""/>
    <s v=""/>
    <s v=""/>
    <m/>
    <s v="non ancora confermato"/>
    <m/>
    <m/>
    <m/>
  </r>
  <r>
    <x v="23"/>
    <x v="114"/>
    <x v="3"/>
    <n v="502.6"/>
    <x v="1"/>
    <x v="3"/>
    <x v="3"/>
    <s v=""/>
    <s v=""/>
    <s v=""/>
    <s v=""/>
    <s v=""/>
    <m/>
    <s v="non ancora confermato"/>
    <m/>
    <m/>
    <m/>
  </r>
  <r>
    <x v="11"/>
    <x v="46"/>
    <x v="38"/>
    <n v="13166.666666666666"/>
    <x v="1"/>
    <x v="0"/>
    <x v="4"/>
    <s v=""/>
    <s v=""/>
    <s v=""/>
    <s v=""/>
    <s v=""/>
    <s v=""/>
    <s v="non ancora confermato"/>
    <m/>
    <m/>
    <m/>
  </r>
  <r>
    <x v="23"/>
    <x v="114"/>
    <x v="34"/>
    <n v="10000"/>
    <x v="1"/>
    <x v="3"/>
    <x v="5"/>
    <s v=""/>
    <s v=""/>
    <s v=""/>
    <s v=""/>
    <s v=""/>
    <m/>
    <s v="non ancora confermato"/>
    <m/>
    <m/>
    <m/>
  </r>
  <r>
    <x v="23"/>
    <x v="115"/>
    <x v="7"/>
    <n v="7500"/>
    <x v="1"/>
    <x v="3"/>
    <x v="4"/>
    <s v=""/>
    <s v=""/>
    <s v=""/>
    <s v=""/>
    <s v=""/>
    <m/>
    <s v="non ancora confermato"/>
    <m/>
    <m/>
    <m/>
  </r>
  <r>
    <x v="23"/>
    <x v="115"/>
    <x v="109"/>
    <n v="5000"/>
    <x v="1"/>
    <x v="0"/>
    <x v="5"/>
    <s v=""/>
    <s v=""/>
    <s v=""/>
    <s v=""/>
    <s v=""/>
    <m/>
    <s v="non ancora confermato"/>
    <m/>
    <m/>
    <m/>
  </r>
  <r>
    <x v="23"/>
    <x v="115"/>
    <x v="89"/>
    <n v="6500"/>
    <x v="1"/>
    <x v="3"/>
    <x v="7"/>
    <s v=""/>
    <s v=""/>
    <s v=""/>
    <s v=""/>
    <s v=""/>
    <m/>
    <s v="non ancora confermato"/>
    <m/>
    <m/>
    <m/>
  </r>
  <r>
    <x v="3"/>
    <x v="0"/>
    <x v="1"/>
    <m/>
    <x v="0"/>
    <x v="2"/>
    <x v="6"/>
    <s v="USCITE PREVISTE:"/>
    <n v="52669.266666666663"/>
    <s v="DELTA:"/>
    <n v="-52669.266666666663"/>
    <s v="RIMANENZA PREVISTA:"/>
    <m/>
    <n v="-37699.649999999994"/>
    <m/>
    <m/>
    <m/>
  </r>
  <r>
    <x v="24"/>
    <x v="0"/>
    <x v="1"/>
    <n v="-47102.6"/>
    <x v="0"/>
    <x v="0"/>
    <x v="1"/>
    <n v="-2.8900000000000006"/>
    <n v="74798.796666666662"/>
    <n v="34.39"/>
    <n v="-73950.57666666666"/>
    <n v="923.23"/>
    <m/>
    <n v="1802.9500000000012"/>
    <s v="DI RIMANENZA EFFETTIVA"/>
    <n v="-52669.266666666663"/>
    <m/>
  </r>
  <r>
    <x v="25"/>
    <x v="116"/>
    <x v="11"/>
    <n v="10000"/>
    <x v="1"/>
    <x v="3"/>
    <x v="4"/>
    <s v=""/>
    <s v=""/>
    <s v=""/>
    <s v=""/>
    <s v=""/>
    <m/>
    <s v="non ancora confermato"/>
    <m/>
    <m/>
    <m/>
  </r>
  <r>
    <x v="25"/>
    <x v="116"/>
    <x v="3"/>
    <n v="502.6"/>
    <x v="1"/>
    <x v="3"/>
    <x v="3"/>
    <s v=""/>
    <s v=""/>
    <s v=""/>
    <s v=""/>
    <s v=""/>
    <m/>
    <s v="non ancora confermato"/>
    <m/>
    <m/>
    <m/>
  </r>
  <r>
    <x v="25"/>
    <x v="116"/>
    <x v="34"/>
    <n v="10000"/>
    <x v="1"/>
    <x v="3"/>
    <x v="5"/>
    <s v=""/>
    <s v=""/>
    <s v=""/>
    <s v=""/>
    <s v=""/>
    <m/>
    <s v="non ancora confermato"/>
    <m/>
    <m/>
    <m/>
  </r>
  <r>
    <x v="25"/>
    <x v="116"/>
    <x v="7"/>
    <n v="7500"/>
    <x v="1"/>
    <x v="3"/>
    <x v="4"/>
    <s v=""/>
    <s v=""/>
    <s v=""/>
    <s v=""/>
    <s v=""/>
    <m/>
    <s v="non ancora confermato"/>
    <m/>
    <m/>
    <m/>
  </r>
  <r>
    <x v="25"/>
    <x v="116"/>
    <x v="27"/>
    <n v="4100"/>
    <x v="1"/>
    <x v="0"/>
    <x v="4"/>
    <s v=""/>
    <s v=""/>
    <s v=""/>
    <s v=""/>
    <s v=""/>
    <m/>
    <s v="non ancora confermato"/>
    <m/>
    <m/>
    <m/>
  </r>
  <r>
    <x v="25"/>
    <x v="116"/>
    <x v="94"/>
    <n v="3500"/>
    <x v="1"/>
    <x v="0"/>
    <x v="4"/>
    <s v=""/>
    <s v=""/>
    <s v=""/>
    <s v=""/>
    <s v=""/>
    <m/>
    <s v="non ancora confermato"/>
    <m/>
    <m/>
    <m/>
  </r>
  <r>
    <x v="25"/>
    <x v="116"/>
    <x v="109"/>
    <n v="5000"/>
    <x v="1"/>
    <x v="0"/>
    <x v="5"/>
    <s v=""/>
    <s v=""/>
    <s v=""/>
    <s v=""/>
    <s v=""/>
    <m/>
    <s v="non ancora confermato"/>
    <m/>
    <m/>
    <m/>
  </r>
  <r>
    <x v="25"/>
    <x v="116"/>
    <x v="89"/>
    <n v="6500"/>
    <x v="1"/>
    <x v="3"/>
    <x v="7"/>
    <s v=""/>
    <s v=""/>
    <s v=""/>
    <s v=""/>
    <s v=""/>
    <m/>
    <s v="non ancora confermato"/>
    <m/>
    <m/>
    <m/>
  </r>
  <r>
    <x v="3"/>
    <x v="0"/>
    <x v="1"/>
    <m/>
    <x v="0"/>
    <x v="2"/>
    <x v="6"/>
    <s v="USCITE PREVISTE:"/>
    <n v="47102.6"/>
    <s v="DELTA:"/>
    <n v="-47102.6"/>
    <s v="RIMANENZA PREVISTA:"/>
    <m/>
    <n v="-45299.649999999994"/>
    <m/>
    <m/>
    <m/>
  </r>
  <r>
    <x v="26"/>
    <x v="0"/>
    <x v="1"/>
    <n v="1018233.34"/>
    <x v="0"/>
    <x v="0"/>
    <x v="1"/>
    <n v="-2.8900000000000006"/>
    <n v="74798.796666666662"/>
    <n v="34.39"/>
    <n v="-73950.57666666666"/>
    <n v="923.23"/>
    <n v="0"/>
    <n v="1802.9500000000012"/>
    <s v="DI RIMANENZA EFFETTIVA"/>
    <n v="-497979.65"/>
    <m/>
  </r>
  <r>
    <x v="27"/>
    <x v="117"/>
    <x v="30"/>
    <n v="3897.4"/>
    <x v="1"/>
    <x v="0"/>
    <x v="15"/>
    <s v=""/>
    <s v=""/>
    <s v=""/>
    <s v=""/>
    <s v=""/>
    <m/>
    <s v="non ancora confermato"/>
    <m/>
    <m/>
    <m/>
  </r>
  <r>
    <x v="27"/>
    <x v="117"/>
    <x v="30"/>
    <n v="3897.4"/>
    <x v="1"/>
    <x v="0"/>
    <x v="15"/>
    <s v=""/>
    <s v=""/>
    <s v=""/>
    <s v=""/>
    <s v=""/>
    <m/>
    <s v="non ancora confermato"/>
    <m/>
    <m/>
    <m/>
  </r>
  <r>
    <x v="27"/>
    <x v="117"/>
    <x v="30"/>
    <n v="3897.4"/>
    <x v="1"/>
    <x v="0"/>
    <x v="15"/>
    <s v=""/>
    <s v=""/>
    <s v=""/>
    <s v=""/>
    <s v=""/>
    <m/>
    <s v="non ancora confermato"/>
    <m/>
    <m/>
    <m/>
  </r>
  <r>
    <x v="27"/>
    <x v="117"/>
    <x v="30"/>
    <n v="3897.4"/>
    <x v="1"/>
    <x v="0"/>
    <x v="15"/>
    <s v=""/>
    <s v=""/>
    <s v=""/>
    <s v=""/>
    <s v=""/>
    <m/>
    <s v="non ancora confermato"/>
    <m/>
    <m/>
    <m/>
  </r>
  <r>
    <x v="27"/>
    <x v="117"/>
    <x v="30"/>
    <n v="3897.4"/>
    <x v="1"/>
    <x v="0"/>
    <x v="15"/>
    <s v=""/>
    <s v=""/>
    <s v=""/>
    <s v=""/>
    <s v=""/>
    <m/>
    <s v="non ancora confermato"/>
    <m/>
    <m/>
    <m/>
  </r>
  <r>
    <x v="27"/>
    <x v="117"/>
    <x v="72"/>
    <n v="2158.5499999999997"/>
    <x v="1"/>
    <x v="3"/>
    <x v="15"/>
    <s v=""/>
    <s v=""/>
    <s v=""/>
    <s v=""/>
    <s v=""/>
    <m/>
    <s v="non ancora confermato"/>
    <m/>
    <m/>
    <m/>
  </r>
  <r>
    <x v="27"/>
    <x v="117"/>
    <x v="72"/>
    <n v="2158.5499999999997"/>
    <x v="1"/>
    <x v="3"/>
    <x v="15"/>
    <s v=""/>
    <s v=""/>
    <s v=""/>
    <s v=""/>
    <s v=""/>
    <m/>
    <s v="non ancora confermato"/>
    <m/>
    <m/>
    <m/>
  </r>
  <r>
    <x v="27"/>
    <x v="117"/>
    <x v="72"/>
    <n v="2158.5499999999997"/>
    <x v="1"/>
    <x v="3"/>
    <x v="15"/>
    <s v=""/>
    <s v=""/>
    <s v=""/>
    <s v=""/>
    <s v=""/>
    <m/>
    <s v="non ancora confermato"/>
    <m/>
    <m/>
    <m/>
  </r>
  <r>
    <x v="27"/>
    <x v="117"/>
    <x v="72"/>
    <n v="2158.5499999999997"/>
    <x v="1"/>
    <x v="3"/>
    <x v="15"/>
    <s v=""/>
    <s v=""/>
    <s v=""/>
    <s v=""/>
    <s v=""/>
    <m/>
    <s v="non ancora confermato"/>
    <m/>
    <m/>
    <m/>
  </r>
  <r>
    <x v="27"/>
    <x v="117"/>
    <x v="72"/>
    <n v="2157.7899999999995"/>
    <x v="1"/>
    <x v="3"/>
    <x v="15"/>
    <s v=""/>
    <s v=""/>
    <s v=""/>
    <s v=""/>
    <s v=""/>
    <m/>
    <s v="non ancora confermato"/>
    <m/>
    <m/>
    <m/>
  </r>
  <r>
    <x v="27"/>
    <x v="117"/>
    <x v="72"/>
    <n v="2158.5499999999997"/>
    <x v="1"/>
    <x v="3"/>
    <x v="15"/>
    <s v=""/>
    <s v=""/>
    <s v=""/>
    <s v=""/>
    <s v=""/>
    <m/>
    <s v="non ancora confermato"/>
    <m/>
    <m/>
    <m/>
  </r>
  <r>
    <x v="27"/>
    <x v="117"/>
    <x v="156"/>
    <n v="1275.3333333333333"/>
    <x v="1"/>
    <x v="0"/>
    <x v="15"/>
    <s v=""/>
    <s v=""/>
    <s v=""/>
    <s v=""/>
    <s v=""/>
    <m/>
    <s v="non ancora confermato"/>
    <m/>
    <m/>
    <m/>
  </r>
  <r>
    <x v="27"/>
    <x v="117"/>
    <x v="156"/>
    <n v="1275.3333333333333"/>
    <x v="1"/>
    <x v="0"/>
    <x v="15"/>
    <s v=""/>
    <s v=""/>
    <s v=""/>
    <s v=""/>
    <s v=""/>
    <m/>
    <s v="non ancora confermato"/>
    <m/>
    <m/>
    <m/>
  </r>
  <r>
    <x v="27"/>
    <x v="117"/>
    <x v="156"/>
    <n v="1275.3333333333333"/>
    <x v="1"/>
    <x v="0"/>
    <x v="15"/>
    <s v=""/>
    <s v=""/>
    <s v=""/>
    <s v=""/>
    <s v=""/>
    <m/>
    <s v="non ancora confermato"/>
    <m/>
    <m/>
    <m/>
  </r>
  <r>
    <x v="27"/>
    <x v="117"/>
    <x v="157"/>
    <n v="3349.19"/>
    <x v="1"/>
    <x v="0"/>
    <x v="4"/>
    <s v=""/>
    <s v=""/>
    <s v=""/>
    <s v=""/>
    <s v=""/>
    <s v=""/>
    <s v="non ancora confermato"/>
    <m/>
    <m/>
    <m/>
  </r>
  <r>
    <x v="27"/>
    <x v="117"/>
    <x v="158"/>
    <n v="392.84"/>
    <x v="1"/>
    <x v="0"/>
    <x v="4"/>
    <s v=""/>
    <s v=""/>
    <s v=""/>
    <s v=""/>
    <s v=""/>
    <s v=""/>
    <s v="non ancora confermato"/>
    <m/>
    <m/>
    <m/>
  </r>
  <r>
    <x v="27"/>
    <x v="117"/>
    <x v="159"/>
    <n v="3575"/>
    <x v="1"/>
    <x v="0"/>
    <x v="4"/>
    <s v=""/>
    <s v=""/>
    <s v=""/>
    <s v=""/>
    <s v=""/>
    <s v=""/>
    <s v="non ancora confermato"/>
    <m/>
    <m/>
    <m/>
  </r>
  <r>
    <x v="27"/>
    <x v="117"/>
    <x v="160"/>
    <n v="280"/>
    <x v="1"/>
    <x v="0"/>
    <x v="4"/>
    <s v=""/>
    <s v=""/>
    <s v=""/>
    <s v=""/>
    <s v=""/>
    <s v=""/>
    <s v="non ancora confermato"/>
    <m/>
    <m/>
    <m/>
  </r>
  <r>
    <x v="3"/>
    <x v="117"/>
    <x v="34"/>
    <n v="10000"/>
    <x v="1"/>
    <x v="0"/>
    <x v="7"/>
    <s v=""/>
    <s v=""/>
    <s v=""/>
    <s v=""/>
    <s v=""/>
    <m/>
    <s v="non ancora confermato"/>
    <m/>
    <m/>
    <m/>
  </r>
  <r>
    <x v="27"/>
    <x v="117"/>
    <x v="161"/>
    <n v="3933.18"/>
    <x v="1"/>
    <x v="1"/>
    <x v="7"/>
    <s v=""/>
    <s v=""/>
    <s v=""/>
    <s v=""/>
    <n v="-3933.18"/>
    <m/>
    <n v="-3933.18"/>
    <s v="è stato fatto ma non trov la ocntabile."/>
    <m/>
    <m/>
  </r>
  <r>
    <x v="13"/>
    <x v="77"/>
    <x v="77"/>
    <n v="887.49"/>
    <x v="1"/>
    <x v="0"/>
    <x v="7"/>
    <s v=""/>
    <s v=""/>
    <s v=""/>
    <s v=""/>
    <s v=""/>
    <m/>
    <s v="non ancora confermato"/>
    <m/>
    <m/>
    <m/>
  </r>
  <r>
    <x v="27"/>
    <x v="117"/>
    <x v="162"/>
    <n v="1353.68"/>
    <x v="1"/>
    <x v="0"/>
    <x v="7"/>
    <s v=""/>
    <s v=""/>
    <s v=""/>
    <s v=""/>
    <s v=""/>
    <m/>
    <s v="non ancora confermato"/>
    <m/>
    <m/>
    <m/>
  </r>
  <r>
    <x v="13"/>
    <x v="77"/>
    <x v="77"/>
    <n v="67.38"/>
    <x v="1"/>
    <x v="3"/>
    <x v="7"/>
    <s v=""/>
    <s v=""/>
    <s v=""/>
    <s v=""/>
    <s v=""/>
    <m/>
    <s v="non ancora confermato"/>
    <m/>
    <m/>
    <m/>
  </r>
  <r>
    <x v="27"/>
    <x v="117"/>
    <x v="144"/>
    <n v="50000"/>
    <x v="1"/>
    <x v="3"/>
    <x v="4"/>
    <s v=""/>
    <s v=""/>
    <s v=""/>
    <s v=""/>
    <s v=""/>
    <m/>
    <s v="non ancora confermato"/>
    <m/>
    <m/>
    <m/>
  </r>
  <r>
    <x v="27"/>
    <x v="117"/>
    <x v="163"/>
    <n v="2024.41"/>
    <x v="1"/>
    <x v="0"/>
    <x v="7"/>
    <s v=""/>
    <s v=""/>
    <s v=""/>
    <s v=""/>
    <s v=""/>
    <m/>
    <s v="non ancora confermato"/>
    <m/>
    <m/>
    <m/>
  </r>
  <r>
    <x v="27"/>
    <x v="117"/>
    <x v="44"/>
    <n v="573.77"/>
    <x v="1"/>
    <x v="0"/>
    <x v="4"/>
    <s v=""/>
    <s v=""/>
    <s v=""/>
    <s v=""/>
    <s v=""/>
    <m/>
    <s v="non ancora confermato"/>
    <m/>
    <m/>
    <m/>
  </r>
  <r>
    <x v="27"/>
    <x v="117"/>
    <x v="57"/>
    <n v="2300"/>
    <x v="1"/>
    <x v="0"/>
    <x v="4"/>
    <s v=""/>
    <s v=""/>
    <s v=""/>
    <s v=""/>
    <s v=""/>
    <m/>
    <s v="non ancora confermato"/>
    <m/>
    <m/>
    <m/>
  </r>
  <r>
    <x v="27"/>
    <x v="117"/>
    <x v="164"/>
    <n v="3981"/>
    <x v="1"/>
    <x v="0"/>
    <x v="7"/>
    <s v=""/>
    <s v=""/>
    <s v=""/>
    <s v=""/>
    <s v=""/>
    <m/>
    <s v="non ancora confermato"/>
    <m/>
    <m/>
    <m/>
  </r>
  <r>
    <x v="27"/>
    <x v="117"/>
    <x v="165"/>
    <n v="1651"/>
    <x v="1"/>
    <x v="0"/>
    <x v="4"/>
    <s v=""/>
    <s v=""/>
    <s v=""/>
    <s v=""/>
    <s v=""/>
    <m/>
    <s v="non ancora confermato"/>
    <m/>
    <m/>
    <m/>
  </r>
  <r>
    <x v="27"/>
    <x v="117"/>
    <x v="166"/>
    <n v="276"/>
    <x v="1"/>
    <x v="0"/>
    <x v="4"/>
    <s v=""/>
    <s v=""/>
    <s v=""/>
    <s v=""/>
    <s v=""/>
    <s v=""/>
    <s v="non ancora confermato"/>
    <s v="CONTESTARE"/>
    <m/>
    <m/>
  </r>
  <r>
    <x v="27"/>
    <x v="117"/>
    <x v="167"/>
    <n v="2731.58"/>
    <x v="1"/>
    <x v="0"/>
    <x v="4"/>
    <s v=""/>
    <s v=""/>
    <s v=""/>
    <s v=""/>
    <s v=""/>
    <m/>
    <s v="non ancora confermato"/>
    <s v="CONTESTARE"/>
    <m/>
    <m/>
  </r>
  <r>
    <x v="27"/>
    <x v="117"/>
    <x v="168"/>
    <n v="150000"/>
    <x v="2"/>
    <x v="0"/>
    <x v="5"/>
    <m/>
    <m/>
    <m/>
    <m/>
    <m/>
    <m/>
    <s v="non ancora confermato"/>
    <m/>
    <m/>
    <m/>
  </r>
  <r>
    <x v="27"/>
    <x v="117"/>
    <x v="169"/>
    <n v="700000"/>
    <x v="2"/>
    <x v="0"/>
    <x v="5"/>
    <m/>
    <m/>
    <m/>
    <m/>
    <m/>
    <m/>
    <s v="non ancora confermato"/>
    <m/>
    <m/>
    <m/>
  </r>
  <r>
    <x v="27"/>
    <x v="117"/>
    <x v="80"/>
    <n v="111.58"/>
    <x v="1"/>
    <x v="1"/>
    <x v="5"/>
    <n v="-111.58"/>
    <s v=""/>
    <s v=""/>
    <s v=""/>
    <s v=""/>
    <m/>
    <n v="-111.58"/>
    <m/>
    <m/>
    <m/>
  </r>
  <r>
    <x v="27"/>
    <x v="117"/>
    <x v="116"/>
    <n v="2439.6999999999998"/>
    <x v="1"/>
    <x v="3"/>
    <x v="4"/>
    <s v=""/>
    <s v=""/>
    <s v=""/>
    <s v=""/>
    <s v=""/>
    <m/>
    <s v="non ancora confermato"/>
    <m/>
    <m/>
    <m/>
  </r>
  <r>
    <x v="27"/>
    <x v="117"/>
    <x v="116"/>
    <n v="427.6"/>
    <x v="1"/>
    <x v="3"/>
    <x v="4"/>
    <s v=""/>
    <s v=""/>
    <s v=""/>
    <s v=""/>
    <s v=""/>
    <m/>
    <s v="non ancora confermato"/>
    <m/>
    <m/>
    <m/>
  </r>
  <r>
    <x v="27"/>
    <x v="117"/>
    <x v="130"/>
    <n v="81"/>
    <x v="1"/>
    <x v="3"/>
    <x v="4"/>
    <s v=""/>
    <s v=""/>
    <s v=""/>
    <s v=""/>
    <s v=""/>
    <m/>
    <s v="non ancora confermato"/>
    <m/>
    <m/>
    <m/>
  </r>
  <r>
    <x v="27"/>
    <x v="117"/>
    <x v="139"/>
    <n v="410"/>
    <x v="1"/>
    <x v="3"/>
    <x v="4"/>
    <s v=""/>
    <s v=""/>
    <s v=""/>
    <s v=""/>
    <s v=""/>
    <m/>
    <s v="non ancora confermato"/>
    <m/>
    <m/>
    <m/>
  </r>
  <r>
    <x v="27"/>
    <x v="117"/>
    <x v="32"/>
    <n v="36.6"/>
    <x v="1"/>
    <x v="3"/>
    <x v="4"/>
    <s v=""/>
    <s v=""/>
    <s v=""/>
    <s v=""/>
    <s v=""/>
    <m/>
    <s v="non ancora confermato"/>
    <m/>
    <m/>
    <m/>
  </r>
  <r>
    <x v="27"/>
    <x v="117"/>
    <x v="129"/>
    <n v="227.51"/>
    <x v="1"/>
    <x v="3"/>
    <x v="4"/>
    <s v=""/>
    <s v=""/>
    <s v=""/>
    <s v=""/>
    <s v=""/>
    <m/>
    <s v="non ancora confermato"/>
    <m/>
    <m/>
    <m/>
  </r>
  <r>
    <x v="27"/>
    <x v="117"/>
    <x v="116"/>
    <n v="2439.6999999999998"/>
    <x v="1"/>
    <x v="3"/>
    <x v="4"/>
    <s v=""/>
    <s v=""/>
    <s v=""/>
    <s v=""/>
    <s v=""/>
    <m/>
    <s v="non ancora confermato"/>
    <m/>
    <m/>
    <m/>
  </r>
  <r>
    <x v="27"/>
    <x v="117"/>
    <x v="136"/>
    <n v="437.49"/>
    <x v="1"/>
    <x v="0"/>
    <x v="4"/>
    <s v=""/>
    <s v=""/>
    <s v=""/>
    <s v=""/>
    <s v=""/>
    <m/>
    <s v="non ancora confermato"/>
    <m/>
    <m/>
    <m/>
  </r>
  <r>
    <x v="27"/>
    <x v="117"/>
    <x v="170"/>
    <n v="80000"/>
    <x v="2"/>
    <x v="0"/>
    <x v="5"/>
    <s v=""/>
    <s v=""/>
    <s v=""/>
    <s v=""/>
    <s v=""/>
    <m/>
    <s v="non ancora confermato"/>
    <m/>
    <m/>
    <m/>
  </r>
  <r>
    <x v="27"/>
    <x v="117"/>
    <x v="28"/>
    <n v="10000"/>
    <x v="2"/>
    <x v="0"/>
    <x v="5"/>
    <s v=""/>
    <s v=""/>
    <s v=""/>
    <s v=""/>
    <s v=""/>
    <m/>
    <s v="non ancora confermato"/>
    <m/>
    <m/>
    <m/>
  </r>
  <r>
    <x v="27"/>
    <x v="117"/>
    <x v="171"/>
    <n v="200000"/>
    <x v="2"/>
    <x v="3"/>
    <x v="5"/>
    <s v=""/>
    <s v=""/>
    <s v=""/>
    <s v=""/>
    <s v=""/>
    <m/>
    <s v="non ancora confermato"/>
    <m/>
    <m/>
    <m/>
  </r>
  <r>
    <x v="27"/>
    <x v="117"/>
    <x v="50"/>
    <n v="2470.29"/>
    <x v="1"/>
    <x v="3"/>
    <x v="4"/>
    <s v=""/>
    <s v=""/>
    <s v=""/>
    <s v=""/>
    <s v=""/>
    <m/>
    <s v="non ancora confermato"/>
    <m/>
    <m/>
    <m/>
  </r>
  <r>
    <x v="3"/>
    <x v="0"/>
    <x v="1"/>
    <m/>
    <x v="0"/>
    <x v="2"/>
    <x v="16"/>
    <s v="USCITE PREVISTE:"/>
    <n v="1478937.0500000007"/>
    <s v="DELTA:"/>
    <n v="-338937.05000000075"/>
    <s v="RIMANENZA PREVISTA:"/>
    <m/>
    <n v="1020036.2899999999"/>
    <m/>
    <m/>
    <m/>
  </r>
  <r>
    <x v="3"/>
    <x v="0"/>
    <x v="1"/>
    <m/>
    <x v="0"/>
    <x v="0"/>
    <x v="1"/>
    <n v="-114.47"/>
    <n v="74798.796666666662"/>
    <n v="34.39"/>
    <n v="-73950.57666666666"/>
    <n v="-3009.95"/>
    <m/>
    <n v="-2241.8100000000004"/>
    <s v="DI RIMANENZA EFFETTIVA"/>
    <n v="-836916.70000000077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K"/>
    <x v="0"/>
    <s v="326259100070161020"/>
    <d v="2025-11-06T00:00:00"/>
    <d v="2025-11-06T00:00:00"/>
    <x v="0"/>
    <x v="0"/>
    <m/>
    <s v="proc . Fermo amm. Autocarro FX 155 TF "/>
    <x v="0"/>
    <d v="2025-11-21T00:00:00"/>
    <n v="698.1"/>
    <s v="BCC 601460"/>
    <m/>
  </r>
  <r>
    <s v="OK"/>
    <x v="1"/>
    <s v="1551_25"/>
    <d v="2025-12-12T00:00:00"/>
    <d v="2025-12-12T00:00:00"/>
    <x v="0"/>
    <x v="1"/>
    <m/>
    <s v="ilaria "/>
    <x v="1"/>
    <m/>
    <m/>
    <m/>
    <m/>
  </r>
  <r>
    <s v="carta "/>
    <x v="2"/>
    <s v="VOF00048162"/>
    <d v="2025-10-09T00:00:00"/>
    <m/>
    <x v="0"/>
    <x v="2"/>
    <s v="..\..\Acquisti\2025\EV\FATTURE\EV - AGOSTANI SRL ft 4162 del 09-10-2025.pdf"/>
    <s v="ufficio-caffe+ palette "/>
    <x v="2"/>
    <m/>
    <m/>
    <m/>
    <m/>
  </r>
  <r>
    <s v="carta "/>
    <x v="3"/>
    <n v="8"/>
    <d v="2025-01-18T00:00:00"/>
    <d v="2025-01-18T00:00:00"/>
    <x v="0"/>
    <x v="3"/>
    <s v="..\..\Acquisti\2025\EV\FATTURE\EV - AGRIRISTORANTE SANT'ALESSANDRO ft 8 del 18-01-2025.pdf"/>
    <s v="ilaria "/>
    <x v="2"/>
    <m/>
    <m/>
    <m/>
    <m/>
  </r>
  <r>
    <s v="carta "/>
    <x v="3"/>
    <n v="169"/>
    <d v="2025-09-01T00:00:00"/>
    <m/>
    <x v="0"/>
    <x v="3"/>
    <s v="..\..\Acquisti\2025\EV\FATTURE\EV - AGRIRISTORANTE SANT'ALESSANDRO ft 169 del 01-09-2025.pdf"/>
    <s v="ilaria "/>
    <x v="2"/>
    <m/>
    <m/>
    <m/>
    <m/>
  </r>
  <r>
    <s v="carta "/>
    <x v="4"/>
    <s v="521/2025"/>
    <d v="2025-02-11T00:00:00"/>
    <d v="2025-02-11T00:00:00"/>
    <x v="0"/>
    <x v="4"/>
    <s v="..\..\Acquisti\2025\EV\FATTURE\EV - AK INFORMATICA TEK ft 521 del 11-02-2025.pdf"/>
    <s v="ilaria "/>
    <x v="2"/>
    <m/>
    <m/>
    <m/>
    <m/>
  </r>
  <r>
    <s v="carta "/>
    <x v="5"/>
    <n v="849"/>
    <d v="2025-05-23T00:00:00"/>
    <m/>
    <x v="0"/>
    <x v="5"/>
    <s v="..\..\Acquisti\2025\EV\FATTURE\EV - AL GARGHET SAS DI CIPOLLA EMANUELA ft 849 del 23-05-2025.pdf"/>
    <s v="Pranzo"/>
    <x v="3"/>
    <m/>
    <m/>
    <m/>
    <m/>
  </r>
  <r>
    <m/>
    <x v="6"/>
    <s v="323"/>
    <d v="2026-02-02T00:00:00"/>
    <m/>
    <x v="1"/>
    <x v="6"/>
    <m/>
    <s v="VDGlass Skyline Balloon Calice Vino Rosso 81 Cl Set 6 Pz | Stolzle Lausitz Cocoon Calice Burgundy 71,2 Cl Set 6 Pz In Vetro | Mini Limoncello 5 cl Il Gusto Della Costa | ***Assicura la tua spedizione "/>
    <x v="4"/>
    <n v="18.899999999999999"/>
    <m/>
    <m/>
    <m/>
  </r>
  <r>
    <m/>
    <x v="7"/>
    <s v="IT5382TEABEI"/>
    <d v="2025-11-26T00:00:00"/>
    <d v="2025-11-26T00:00:00"/>
    <x v="0"/>
    <x v="7"/>
    <m/>
    <s v="UFFICIO "/>
    <x v="5"/>
    <d v="2025-11-26T00:00:00"/>
    <n v="189.99"/>
    <m/>
    <m/>
  </r>
  <r>
    <s v="OK"/>
    <x v="7"/>
    <s v="IT53HCK3ABEI"/>
    <d v="2025-12-16T00:00:00"/>
    <d v="2025-12-16T00:00:00"/>
    <x v="0"/>
    <x v="8"/>
    <m/>
    <s v="UFFICIO"/>
    <x v="5"/>
    <d v="2025-12-16T00:00:00"/>
    <n v="22.89"/>
    <m/>
    <m/>
  </r>
  <r>
    <s v="OK"/>
    <x v="7"/>
    <s v="IT53HIF2ABEI"/>
    <d v="2025-12-16T00:00:00"/>
    <d v="2025-12-16T00:00:00"/>
    <x v="0"/>
    <x v="9"/>
    <m/>
    <s v="UFFICIO"/>
    <x v="5"/>
    <d v="2025-12-16T00:00:00"/>
    <n v="679.1"/>
    <m/>
    <m/>
  </r>
  <r>
    <s v="OK"/>
    <x v="7"/>
    <s v="IT61TSXABEI"/>
    <d v="2026-01-08T00:00:00"/>
    <d v="2026-01-08T00:00:00"/>
    <x v="0"/>
    <x v="10"/>
    <m/>
    <s v="UFFICIO"/>
    <x v="5"/>
    <d v="2026-01-08T00:00:00"/>
    <n v="141.44999999999999"/>
    <m/>
    <m/>
  </r>
  <r>
    <s v="OK"/>
    <x v="7"/>
    <s v="IT65NT2ABEI"/>
    <d v="2026-01-16T00:00:00"/>
    <d v="2026-01-16T00:00:00"/>
    <x v="0"/>
    <x v="11"/>
    <s v="UFFICIO "/>
    <s v="CARTA "/>
    <x v="6"/>
    <n v="58"/>
    <m/>
    <m/>
    <m/>
  </r>
  <r>
    <m/>
    <x v="8"/>
    <s v="153"/>
    <d v="2024-12-21T00:00:00"/>
    <d v="2025-02-19T00:00:00"/>
    <x v="1"/>
    <x v="12"/>
    <s v="C:\Users\Ufficio\Desktop\Amministrazione\Acquisti\2024\EV\Fatture\EV - ANDREA LOSA ft 153 del 21-12-204.pdf"/>
    <s v="Bergamo, via Ghislandi"/>
    <x v="7"/>
    <m/>
    <m/>
    <m/>
    <m/>
  </r>
  <r>
    <s v="dilazionata con i pag. sotto "/>
    <x v="9"/>
    <n v="490"/>
    <d v="2025-07-31T00:00:00"/>
    <d v="2025-07-31T00:00:00"/>
    <x v="0"/>
    <x v="13"/>
    <s v="..\..\Acquisti\2025\EV\FATTURE\EV - ANSELMO SRL ft 490 del 31-07-2025.pdf"/>
    <s v="VARIGOTTI"/>
    <x v="7"/>
    <m/>
    <m/>
    <m/>
    <m/>
  </r>
  <r>
    <s v="manca contabile "/>
    <x v="9"/>
    <s v="rif 480+ mail 30.06.25"/>
    <m/>
    <d v="2025-06-01T00:00:00"/>
    <x v="0"/>
    <x v="14"/>
    <m/>
    <s v="VARIGOTTI"/>
    <x v="7"/>
    <d v="2025-06-01T00:00:00"/>
    <n v="2192.42"/>
    <m/>
    <m/>
  </r>
  <r>
    <s v="OK"/>
    <x v="9"/>
    <s v="rif 480+ mail 30.06.25"/>
    <m/>
    <d v="2025-07-01T00:00:00"/>
    <x v="0"/>
    <x v="14"/>
    <m/>
    <s v="VARIGOTTI"/>
    <x v="7"/>
    <d v="2025-07-01T00:00:00"/>
    <n v="2192.42"/>
    <s v="bpm"/>
    <m/>
  </r>
  <r>
    <s v="OK"/>
    <x v="9"/>
    <s v="rif 480+ mail 30.06.25"/>
    <m/>
    <d v="2025-07-16T00:00:00"/>
    <x v="0"/>
    <x v="14"/>
    <m/>
    <s v="VARIGOTTI"/>
    <x v="7"/>
    <d v="2025-07-16T00:00:00"/>
    <n v="2192.42"/>
    <s v="bcc"/>
    <m/>
  </r>
  <r>
    <s v="OK"/>
    <x v="9"/>
    <s v="rif 480+ mail 30.06.25"/>
    <m/>
    <d v="2025-07-31T00:00:00"/>
    <x v="0"/>
    <x v="14"/>
    <m/>
    <s v="VARIGOTTI"/>
    <x v="7"/>
    <d v="2025-07-31T00:00:00"/>
    <n v="2192.42"/>
    <s v="bcc"/>
    <m/>
  </r>
  <r>
    <m/>
    <x v="10"/>
    <s v="PR9"/>
    <d v="2025-01-29T00:00:00"/>
    <d v="2025-01-29T00:00:00"/>
    <x v="0"/>
    <x v="15"/>
    <s v="..\..\Acquisti\2025\EV\PROFORME\antonio giannetta - proforma n.9 del 29-01-2025.pdf"/>
    <s v="atto Bergamo Michele Bianchi"/>
    <x v="4"/>
    <m/>
    <m/>
    <m/>
    <m/>
  </r>
  <r>
    <s v="OK"/>
    <x v="11"/>
    <s v="POLIZZA"/>
    <d v="2025-07-20T00:00:00"/>
    <d v="2025-07-20T00:00:00"/>
    <x v="0"/>
    <x v="16"/>
    <m/>
    <s v="RCT/RCO _  47878304"/>
    <x v="7"/>
    <d v="2025-10-22T00:00:00"/>
    <n v="2690"/>
    <s v="BCC 601460"/>
    <m/>
  </r>
  <r>
    <s v="ATTENDERE NC PER PAGARE"/>
    <x v="12"/>
    <n v="172"/>
    <d v="2025-06-12T00:00:00"/>
    <d v="2025-06-12T00:00:00"/>
    <x v="0"/>
    <x v="17"/>
    <s v="manutenzione GD763GG"/>
    <s v="Bonifico"/>
    <x v="7"/>
    <m/>
    <m/>
    <m/>
    <m/>
  </r>
  <r>
    <s v="NC"/>
    <x v="12"/>
    <s v="296"/>
    <d v="2025-11-11T00:00:00"/>
    <d v="2025-11-11T00:00:00"/>
    <x v="0"/>
    <x v="18"/>
    <m/>
    <s v="NOTA CREDITO FT 172"/>
    <x v="8"/>
    <m/>
    <m/>
    <m/>
    <m/>
  </r>
  <r>
    <n v="2024"/>
    <x v="13"/>
    <s v="483"/>
    <d v="2024-11-12T00:00:00"/>
    <d v="2024-12-31T00:00:00"/>
    <x v="0"/>
    <x v="19"/>
    <s v="C:\Users\Ufficio\Desktop\Amministrazione\Acquisti\2024\EV\Fatture\EV - ARTES ft 783 del 12-11-2024.pdf"/>
    <s v="Torre Boldone, Via Kennedy"/>
    <x v="7"/>
    <d v="2025-11-07T00:00:00"/>
    <n v="1000"/>
    <s v="bcc"/>
    <m/>
  </r>
  <r>
    <n v="2024"/>
    <x v="13"/>
    <s v="483"/>
    <d v="2025-11-12T00:00:00"/>
    <m/>
    <x v="0"/>
    <x v="20"/>
    <s v="C:\Users\Ufficio\Desktop\Amministrazione\Acquisti\2024\EV\Fatture\EV - ARTES ft 783 del 12-11-2024.pdf"/>
    <s v="Torre Boldone, Via Kennedy"/>
    <x v="7"/>
    <m/>
    <m/>
    <m/>
    <m/>
  </r>
  <r>
    <n v="2024"/>
    <x v="13"/>
    <s v="519"/>
    <d v="2024-11-30T00:00:00"/>
    <d v="2024-12-30T00:00:00"/>
    <x v="0"/>
    <x v="21"/>
    <s v="C:\Users\Ufficio\Desktop\Amministrazione\Acquisti\2024\EV\Fatture\EV - ARTES ft 519 del 30-11-2024.pdf"/>
    <s v="Torre Boldone, Via Kennedy"/>
    <x v="7"/>
    <m/>
    <m/>
    <m/>
    <m/>
  </r>
  <r>
    <s v="OK"/>
    <x v="13"/>
    <s v="277"/>
    <d v="2025-06-09T00:00:00"/>
    <d v="2025-06-09T00:00:00"/>
    <x v="0"/>
    <x v="22"/>
    <s v="..\..\Acquisti\2025\EV\FATTURE\EV - ARTES SRL ft 277 del 09-06-2025.pdf"/>
    <s v="Trezzano Rosa, Via Marangoni"/>
    <x v="7"/>
    <d v="2025-06-10T00:00:00"/>
    <s v="180+39.6"/>
    <s v="Bcc+Bpm"/>
    <m/>
  </r>
  <r>
    <s v=" carta "/>
    <x v="13"/>
    <s v="308"/>
    <d v="2025-06-23T00:00:00"/>
    <d v="2025-06-23T00:00:00"/>
    <x v="0"/>
    <x v="23"/>
    <s v="..\..\Acquisti\2025\EV\FATTURE\EV - ARTES SRL ft 308 del 23-06-2025.pdf"/>
    <m/>
    <x v="5"/>
    <d v="2025-06-23T00:00:00"/>
    <n v="32.21"/>
    <s v="??????"/>
    <m/>
  </r>
  <r>
    <s v="OK"/>
    <x v="13"/>
    <s v="483"/>
    <d v="2025-11-12T00:00:00"/>
    <m/>
    <x v="0"/>
    <x v="24"/>
    <s v="RESIDUO AL 7/11/2025 _ VIA KENNEDY "/>
    <s v="Bonifico"/>
    <x v="9"/>
    <n v="977.42"/>
    <s v="BCC 601460 _PAGAMENTO DI 1072,13 _FAT 483 E 519"/>
    <m/>
    <m/>
  </r>
  <r>
    <s v="OK"/>
    <x v="13"/>
    <s v="519"/>
    <d v="2024-11-30T00:00:00"/>
    <d v="2024-12-30T00:00:00"/>
    <x v="0"/>
    <x v="21"/>
    <s v="Torre Boldone, Via Kennedy"/>
    <s v="Bonifico"/>
    <x v="9"/>
    <n v="94.71"/>
    <s v="BCC 601460 _PAGAMENTO DI 1072,13 _FAT 483 E 519"/>
    <m/>
    <m/>
  </r>
  <r>
    <s v="OK"/>
    <x v="14"/>
    <n v="72"/>
    <d v="2025-01-31T00:00:00"/>
    <d v="2025-06-09T00:00:00"/>
    <x v="0"/>
    <x v="25"/>
    <s v="..\..\Acquisti\2025\EV\FATTURE\EV - ASSOLARI DOMENICO ft 72 del 31-01-2025.pdf"/>
    <s v="Bg, Torre Boldone Gaito e Kennedy"/>
    <x v="10"/>
    <d v="2025-06-15T00:00:00"/>
    <n v="5049.7299999999996"/>
    <s v="assegno BPM _ NR 0210440588-07"/>
    <m/>
  </r>
  <r>
    <n v="2024"/>
    <x v="14"/>
    <s v="2223"/>
    <d v="2024-12-24T00:00:00"/>
    <d v="2025-03-10T00:00:00"/>
    <x v="0"/>
    <x v="26"/>
    <s v="C:\Users\Ufficio\Desktop\Amministrazione\Acquisti\2024\EV\Fatture\EV - ASSOLARI DOMENICO ft 2223 del 24-12-2024.pdf"/>
    <s v="scanzo, torre boldone"/>
    <x v="11"/>
    <d v="2025-03-14T00:00:00"/>
    <e v="#VALUE!"/>
    <s v="bpm"/>
    <m/>
  </r>
  <r>
    <n v="2024"/>
    <x v="14"/>
    <s v="2358"/>
    <d v="2024-12-31T00:00:00"/>
    <d v="2025-03-10T00:00:00"/>
    <x v="0"/>
    <x v="27"/>
    <s v="C:\Users\Ufficio\Desktop\Amministrazione\Acquisti\2024\EV\Fatture\EV - ASSOLARI DOMENICO ft 2358 del 31-12-2024.pdf"/>
    <s v="Alzano"/>
    <x v="11"/>
    <d v="2025-03-14T00:00:00"/>
    <e v="#VALUE!"/>
    <s v="bpm"/>
    <m/>
  </r>
  <r>
    <s v="OK"/>
    <x v="14"/>
    <s v="259"/>
    <d v="2025-02-28T00:00:00"/>
    <d v="2025-05-10T00:00:00"/>
    <x v="0"/>
    <x v="28"/>
    <s v="..\..\Acquisti\2025\EV\FATTURE\EV - ASSOLARI DOMENICO ft 259 del 28-02-2025.pdf"/>
    <s v="Torre Boldone Via Kennedye via Gaito - Bergamo"/>
    <x v="7"/>
    <d v="2025-05-14T00:00:00"/>
    <n v="4933.58"/>
    <s v="BCC 601460"/>
    <m/>
  </r>
  <r>
    <s v="OK"/>
    <x v="14"/>
    <s v="447"/>
    <d v="2025-03-31T00:00:00"/>
    <d v="2025-07-15T00:00:00"/>
    <x v="0"/>
    <x v="29"/>
    <s v="..\..\Acquisti\2025\EV\FATTURE\EV - ASSOLARI DOMENICO ft 447 del 31-03-2025.pdf"/>
    <s v="bergamo/gaito/kennedy"/>
    <x v="10"/>
    <d v="2025-07-15T00:00:00"/>
    <n v="3655.96"/>
    <s v="ASSEGNO BCC_  NR 0013800860-08"/>
    <m/>
  </r>
  <r>
    <s v="OK"/>
    <x v="14"/>
    <s v="635"/>
    <d v="2025-04-30T00:00:00"/>
    <d v="2025-07-10T00:00:00"/>
    <x v="0"/>
    <x v="30"/>
    <s v="..\..\Acquisti\2025\EV\FATTURE\EV - ASSOLARI DOMENICO ft 635 del 30-04-2025.pdf"/>
    <s v="VIA KENNEDY "/>
    <x v="11"/>
    <d v="2025-07-10T00:00:00"/>
    <n v="87.53"/>
    <s v="riba addebitata che compensa con nota di credito DI 543,22_BCC 601460"/>
    <m/>
  </r>
  <r>
    <s v="NC"/>
    <x v="14"/>
    <s v="Nota di credito 752"/>
    <d v="2025-04-30T00:00:00"/>
    <d v="2025-07-10T00:00:00"/>
    <x v="0"/>
    <x v="31"/>
    <s v="..\..\Acquisti\2025\EV\FATTURE\EV - ASSOLARI DOMENICO nc 752 del 30-04-2025.pdf"/>
    <m/>
    <x v="11"/>
    <d v="2025-07-10T00:00:00"/>
    <n v="-542.22"/>
    <s v="COMPENSATA CON FT 635 IL 10 /07/2025"/>
    <m/>
  </r>
  <r>
    <s v="OK"/>
    <x v="14"/>
    <s v="827"/>
    <d v="2025-05-31T00:00:00"/>
    <d v="2025-08-10T00:00:00"/>
    <x v="0"/>
    <x v="32"/>
    <s v="..\..\Acquisti\2025\EV\FATTURE\EV - ASSOLARI DOMENICO ft 827 del 31-05-2025.pdf"/>
    <s v="gaito/ kennedy "/>
    <x v="10"/>
    <d v="2025-10-20T00:00:00"/>
    <n v="1923.2"/>
    <s v="assegno BCC_  NR 0013801739_03"/>
    <m/>
  </r>
  <r>
    <s v="OK"/>
    <x v="14"/>
    <s v="1022"/>
    <d v="2025-06-30T00:00:00"/>
    <d v="2025-09-10T00:00:00"/>
    <x v="0"/>
    <x v="33"/>
    <s v="..\..\Acquisti\2025\EV\FATTURE\EV - ASSOLARI DOMENICO ft 1022 del 30-06-2025.pdf"/>
    <s v="gaito/ kennedy "/>
    <x v="11"/>
    <d v="2025-09-10T00:00:00"/>
    <n v="2859.9"/>
    <s v="BCC 601460"/>
    <m/>
  </r>
  <r>
    <s v="INSOLUTO BCC"/>
    <x v="14"/>
    <s v="1215"/>
    <d v="2025-07-31T00:00:00"/>
    <d v="2025-10-10T00:00:00"/>
    <x v="0"/>
    <x v="34"/>
    <s v="..\..\Acquisti\2025\EV\FATTURE\EV _ ASSOLARI DOMENICO ft 1215 del 31-07-2025.pdf"/>
    <s v="KENNEDI/BERGAMO/ALZANO"/>
    <x v="10"/>
    <d v="2025-12-10T00:00:00"/>
    <m/>
    <m/>
    <m/>
  </r>
  <r>
    <s v="OK"/>
    <x v="14"/>
    <s v="1417"/>
    <d v="2025-08-31T00:00:00"/>
    <d v="2025-11-10T00:00:00"/>
    <x v="0"/>
    <x v="35"/>
    <s v="..\..\Acquisti\2025\EV\FATTURE\EV - ASSOLARI DOMENICO ft 1417 del 31-08-2025.pdf"/>
    <s v="KENNEDY"/>
    <x v="11"/>
    <d v="2025-10-31T00:00:00"/>
    <n v="567.29999999999995"/>
    <s v="BCC 601460"/>
    <m/>
  </r>
  <r>
    <s v="a credito"/>
    <x v="14"/>
    <s v="1606"/>
    <d v="2025-09-30T00:00:00"/>
    <d v="2025-12-10T00:00:00"/>
    <x v="0"/>
    <x v="36"/>
    <s v="..\..\Acquisti\2025\EV\FATTURE\EV - ASSOLARI DOMENICO ft 1606 del 30-09-2025.pdf"/>
    <s v="UFFICIO "/>
    <x v="10"/>
    <d v="2025-12-10T00:00:00"/>
    <m/>
    <m/>
    <m/>
  </r>
  <r>
    <s v="OK"/>
    <x v="15"/>
    <s v="avv. 100073157669"/>
    <d v="2025-11-21T00:00:00"/>
    <d v="2025-11-21T00:00:00"/>
    <x v="0"/>
    <x v="37"/>
    <m/>
    <s v="sollecito nr 10073157669"/>
    <x v="0"/>
    <d v="2025-11-21T00:00:00"/>
    <n v="5.27"/>
    <s v="BCC 601460"/>
    <m/>
  </r>
  <r>
    <m/>
    <x v="16"/>
    <s v="000000000400571D"/>
    <d v="2026-01-30T00:00:00"/>
    <d v="2026-01-30T00:00:00"/>
    <x v="0"/>
    <x v="38"/>
    <m/>
    <s v="PEDAGGI AUTOSTRADALI"/>
    <x v="12"/>
    <n v="45.33"/>
    <d v="2026-03-31T00:00:00"/>
    <m/>
    <m/>
  </r>
  <r>
    <m/>
    <x v="16"/>
    <s v="000000001341919D"/>
    <d v="2026-02-28T00:00:00"/>
    <d v="2026-02-28T00:00:00"/>
    <x v="0"/>
    <x v="39"/>
    <m/>
    <s v="PEDAGGI AUTOSTRADALI"/>
    <x v="12"/>
    <n v="49.48"/>
    <d v="2026-04-29T00:00:00"/>
    <m/>
    <m/>
  </r>
  <r>
    <s v="OK"/>
    <x v="17"/>
    <s v="565668D"/>
    <d v="2025-01-30T00:00:00"/>
    <d v="2025-01-30T00:00:00"/>
    <x v="0"/>
    <x v="40"/>
    <s v="..\..\Acquisti\2025\EV\FATTURE\EV - AUTOSTRADE PER L'ITALIA SPA ft 565668 del 30-01-2025.pdf"/>
    <s v="PEDAGGI AUTOSTRADALI"/>
    <x v="13"/>
    <d v="2025-01-30T00:00:00"/>
    <n v="333.48"/>
    <s v="banca popolare di sondrio 2384x38"/>
    <m/>
  </r>
  <r>
    <s v="OK"/>
    <x v="17"/>
    <s v="1278316D"/>
    <d v="2025-02-28T00:00:00"/>
    <d v="2025-02-28T00:00:00"/>
    <x v="0"/>
    <x v="41"/>
    <s v="..\..\Acquisti\2025\EV\FATTURE\EV - AUTOSTRADE PER L'ITALIA SPA ft 1278316 del 28-02-2025.pdf"/>
    <s v="PEDAGGI AUTOSTRADALI"/>
    <x v="13"/>
    <s v="30/02/2025"/>
    <n v="244.6"/>
    <s v="banca popolare di sondrio 2384x38"/>
    <m/>
  </r>
  <r>
    <s v="OK"/>
    <x v="17"/>
    <s v="1789130D"/>
    <d v="2025-03-30T00:00:00"/>
    <d v="2025-03-30T00:00:00"/>
    <x v="0"/>
    <x v="42"/>
    <s v="..\..\Acquisti\2025\EV\FATTURE\EV - AUTOSTRADE PER L'ITALIA SPA ft 1789130 del 30-03-2025.pdf"/>
    <s v="PEDAGGI AUTOSTRADALI"/>
    <x v="13"/>
    <d v="2025-03-30T00:00:00"/>
    <n v="180.66"/>
    <s v="banca popolare di sondrio 2384x38"/>
    <m/>
  </r>
  <r>
    <s v="OK"/>
    <x v="17"/>
    <s v="2880628D"/>
    <d v="2025-04-30T00:00:00"/>
    <d v="2025-04-30T00:00:00"/>
    <x v="0"/>
    <x v="43"/>
    <s v="..\..\Acquisti\2025\EV\FATTURE\EV - AUTOSTRADE PER L'ITALIA SPA ft 2880628 del 30-04-2025.pdf"/>
    <s v="PEDAGGI AUTOSTRADALI"/>
    <x v="13"/>
    <d v="2025-04-30T00:00:00"/>
    <n v="247.8"/>
    <s v="banca popolare di sondrio 2384x38"/>
    <m/>
  </r>
  <r>
    <s v="OK"/>
    <x v="17"/>
    <s v="3436352D"/>
    <d v="2025-05-30T00:00:00"/>
    <d v="2025-05-30T00:00:00"/>
    <x v="0"/>
    <x v="44"/>
    <s v="..\..\Acquisti\2025\EV\FATTURE\EV - AUTOSTRADE PER L'ITALIA SPA ft 3436352 del 30-05-2025.pdf"/>
    <s v="PEDAGGI AUTOSTRADALI"/>
    <x v="13"/>
    <d v="2025-05-30T00:00:00"/>
    <n v="400.85"/>
    <s v="banca popolare di sondrio 2384x38"/>
    <m/>
  </r>
  <r>
    <s v="OK"/>
    <x v="17"/>
    <n v="4585906"/>
    <d v="2025-06-30T00:00:00"/>
    <d v="2025-06-30T00:00:00"/>
    <x v="0"/>
    <x v="45"/>
    <s v="..\..\Acquisti\2025\EV\FATTURE\EV - AUTOSTRADE PER L'ITALIA SPA ft 4585906 del 30-06-2025.pdf"/>
    <s v="PEDAGGI AUTOSTRADALI"/>
    <x v="13"/>
    <d v="2025-06-30T00:00:00"/>
    <n v="211.2"/>
    <s v="banca popolare di sondrio 2384x38"/>
    <m/>
  </r>
  <r>
    <s v="OK"/>
    <x v="17"/>
    <s v="4857452D"/>
    <d v="2025-07-30T00:00:00"/>
    <d v="2025-07-30T00:00:00"/>
    <x v="0"/>
    <x v="46"/>
    <s v="..\..\Acquisti\2025\EV\FATTURE\EV - AUTOSTRADE PER L'ITALIA ft 4857452D del 30-07-2025.pdf"/>
    <s v="PEDAGGI AUTOSTRADALI"/>
    <x v="13"/>
    <d v="2025-07-30T00:00:00"/>
    <n v="390.35"/>
    <s v="banca popolare di sondrio 2384x38"/>
    <m/>
  </r>
  <r>
    <s v="OK"/>
    <x v="17"/>
    <s v="5897417D"/>
    <d v="2025-08-30T00:00:00"/>
    <d v="2025-08-30T00:00:00"/>
    <x v="0"/>
    <x v="47"/>
    <s v="..\..\Acquisti\2025\EV\FATTURE\EV - AUTOSTRADE PER L'ITALIA ft 5897417D del 30-08-2025.pdf"/>
    <s v="PEDAGGI AUTOSTRADALI"/>
    <x v="13"/>
    <d v="2025-08-30T00:00:00"/>
    <n v="267.16000000000003"/>
    <s v="banca popolare di sondrio 2384x38"/>
    <m/>
  </r>
  <r>
    <s v="OK"/>
    <x v="17"/>
    <s v="6660810D"/>
    <d v="2025-09-30T00:00:00"/>
    <d v="2025-09-30T00:00:00"/>
    <x v="0"/>
    <x v="48"/>
    <s v="..\..\Acquisti\2025\EV\FATTURE\EV - AUTOSTRADE PER L'ITALIA ft 6660810D del 30-09-2025.pdf"/>
    <s v="PEDAGGI AUTOSTRADALI"/>
    <x v="13"/>
    <d v="2025-09-30T00:00:00"/>
    <n v="229.8"/>
    <s v="banca popolare di sondrio 2384x38"/>
    <m/>
  </r>
  <r>
    <m/>
    <x v="17"/>
    <s v="8014037D"/>
    <d v="2025-10-30T00:00:00"/>
    <d v="2025-10-30T00:00:00"/>
    <x v="0"/>
    <x v="49"/>
    <m/>
    <s v="PEDAGGI AUTOSTRADALI"/>
    <x v="13"/>
    <d v="2025-10-30T00:00:00"/>
    <n v="116.4"/>
    <s v="banca popolare di sondrio 2384x38"/>
    <m/>
  </r>
  <r>
    <s v="OK"/>
    <x v="17"/>
    <s v="9456026D"/>
    <d v="2025-12-30T00:00:00"/>
    <d v="2025-12-30T00:00:00"/>
    <x v="0"/>
    <x v="50"/>
    <m/>
    <s v="PEDAGGI AUTOSTRADALI"/>
    <x v="13"/>
    <d v="2025-12-30T00:00:00"/>
    <n v="181.1"/>
    <s v="banca popolare di sondrio 2384x38"/>
    <m/>
  </r>
  <r>
    <m/>
    <x v="17"/>
    <s v="8664058D"/>
    <d v="2025-11-30T00:00:00"/>
    <d v="2025-11-30T00:00:00"/>
    <x v="0"/>
    <x v="51"/>
    <m/>
    <s v="PEDAGGI AUTOSTRADALI"/>
    <x v="13"/>
    <d v="2025-11-30T00:00:00"/>
    <n v="111.9"/>
    <s v="banca popolare di sondrio 2384x38"/>
    <m/>
  </r>
  <r>
    <n v="2024"/>
    <x v="18"/>
    <s v="Proforma257"/>
    <d v="2024-12-02T00:00:00"/>
    <m/>
    <x v="0"/>
    <x v="52"/>
    <m/>
    <m/>
    <x v="4"/>
    <m/>
    <m/>
    <m/>
    <m/>
  </r>
  <r>
    <m/>
    <x v="19"/>
    <n v="153"/>
    <d v="2025-02-24T00:00:00"/>
    <m/>
    <x v="0"/>
    <x v="15"/>
    <s v="..\..\Acquisti\2025\EV\FATTURE\EV - GIANNETTA ANTONIO ft 153 del 24-02-2025.pdf"/>
    <s v="atto notarile"/>
    <x v="7"/>
    <m/>
    <m/>
    <m/>
    <m/>
  </r>
  <r>
    <m/>
    <x v="20"/>
    <s v="8"/>
    <d v="2026-02-26T00:00:00"/>
    <d v="2026-02-26T00:00:00"/>
    <x v="1"/>
    <x v="53"/>
    <m/>
    <s v="Vi emettiamo fattura a saldo per i lavori di intonacatura e tinteggiatura muri esterni perimetrali."/>
    <x v="14"/>
    <n v="0"/>
    <d v="2026-04-27T00:00:00"/>
    <m/>
    <m/>
  </r>
  <r>
    <n v="2024"/>
    <x v="21"/>
    <s v="16"/>
    <d v="2024-03-12T00:00:00"/>
    <m/>
    <x v="0"/>
    <x v="54"/>
    <s v="file:///\\192.168.1.231\..\AppData\Acquisti\2024\EV\Fatture\EV%20-%20BACCINO%20ft%2016%20del%2012-03-2024.pdf"/>
    <s v="EV vs Colombini"/>
    <x v="15"/>
    <m/>
    <m/>
    <m/>
    <m/>
  </r>
  <r>
    <m/>
    <x v="21"/>
    <s v="bo"/>
    <m/>
    <m/>
    <x v="1"/>
    <x v="55"/>
    <m/>
    <m/>
    <x v="4"/>
    <m/>
    <m/>
    <m/>
    <m/>
  </r>
  <r>
    <m/>
    <x v="22"/>
    <s v="3/26"/>
    <d v="2026-02-23T00:00:00"/>
    <m/>
    <x v="1"/>
    <x v="56"/>
    <m/>
    <s v="SALDO PROCEDURA ESECUTIVA N.R.G.147/2025 TRIBUNALE DI SAVONA-EDILVERTOVA SRL CONTRO PAOLO COLOMBINI-NOMINA DEL GIUDICE IN DATA 02/12/2025-GIUDICE DOTT.SSA PAOLA DI LORENZO | RIMBORSO SPESE ANTICIPATE "/>
    <x v="16"/>
    <n v="217.36"/>
    <m/>
    <m/>
    <m/>
  </r>
  <r>
    <s v="OK"/>
    <x v="23"/>
    <n v="273"/>
    <d v="2025-01-17T00:00:00"/>
    <s v="31/02/2025"/>
    <x v="0"/>
    <x v="57"/>
    <s v="..\..\Acquisti\2025\EV\FATTURE\EV - BALLAN ft 273 del 17-01-2025.pdf"/>
    <s v="Bergamo Via Ghislandi"/>
    <x v="10"/>
    <s v="31/02/2025"/>
    <n v="12801.52"/>
    <s v="ASSEGNO BCC 0014283148-09            ASSEGNO BPM 0210440585-04"/>
    <m/>
  </r>
  <r>
    <s v="OK"/>
    <x v="23"/>
    <n v="273"/>
    <d v="2025-01-17T00:00:00"/>
    <d v="2025-03-31T00:00:00"/>
    <x v="0"/>
    <x v="57"/>
    <s v="..\..\Acquisti\2025\EV\FATTURE\EV - BALLAN ft 273 del 17-01-2025.pdf"/>
    <s v="Bergamo Via Ghislandi"/>
    <x v="10"/>
    <d v="2025-03-31T00:00:00"/>
    <n v="12801.52"/>
    <s v="ASSEGNO BCC 0014283149-10"/>
    <m/>
  </r>
  <r>
    <s v="OK"/>
    <x v="24"/>
    <s v="BBVFLX00009365"/>
    <d v="2025-01-08T00:00:00"/>
    <d v="2025-01-31T00:00:00"/>
    <x v="0"/>
    <x v="58"/>
    <s v="..\..\Acquisti\2025\EV\FATTURE\EV - BANCO BPM ft 9365 del 08-01-2025.pdf"/>
    <s v="canone mensile "/>
    <x v="17"/>
    <d v="2025-01-31T00:00:00"/>
    <n v="80.52"/>
    <s v="BPM 1980"/>
    <m/>
  </r>
  <r>
    <s v="MANCA FT NEL FALDONE"/>
    <x v="24"/>
    <m/>
    <d v="2025-02-08T00:00:00"/>
    <m/>
    <x v="0"/>
    <x v="58"/>
    <m/>
    <s v="canone mensile "/>
    <x v="17"/>
    <m/>
    <m/>
    <s v="BPM 1981"/>
    <m/>
  </r>
  <r>
    <s v="MANCA FT NEL FALDONE"/>
    <x v="24"/>
    <m/>
    <d v="2025-03-08T00:00:00"/>
    <m/>
    <x v="0"/>
    <x v="58"/>
    <m/>
    <s v="canone mensile "/>
    <x v="17"/>
    <m/>
    <m/>
    <s v="BPM 1982"/>
    <m/>
  </r>
  <r>
    <s v="OK"/>
    <x v="24"/>
    <s v="BBVFLX00159827"/>
    <d v="2025-04-07T00:00:00"/>
    <d v="2025-04-01T00:00:00"/>
    <x v="0"/>
    <x v="58"/>
    <s v="..\..\Acquisti\2025\EV\FATTURE\EV - BANCO BPM ft 9365 del 08-01-2025.pdf"/>
    <s v="canone mensile "/>
    <x v="17"/>
    <d v="2025-04-01T00:00:00"/>
    <n v="80.52"/>
    <s v="BPM 1983"/>
    <m/>
  </r>
  <r>
    <s v="MANCA FT NEL FALDONE"/>
    <x v="24"/>
    <m/>
    <d v="2025-05-08T00:00:00"/>
    <m/>
    <x v="0"/>
    <x v="58"/>
    <m/>
    <s v="canone mensile "/>
    <x v="17"/>
    <m/>
    <m/>
    <s v="BPM 1981"/>
    <m/>
  </r>
  <r>
    <s v="MANCA FT NEL FALDONE"/>
    <x v="24"/>
    <m/>
    <d v="2025-06-08T00:00:00"/>
    <m/>
    <x v="0"/>
    <x v="58"/>
    <m/>
    <s v="canone mensile "/>
    <x v="17"/>
    <m/>
    <m/>
    <s v="BPM 1982"/>
    <m/>
  </r>
  <r>
    <s v="OK"/>
    <x v="24"/>
    <s v="BBVFLX00309108"/>
    <d v="2025-07-07T00:00:00"/>
    <d v="2025-07-02T00:00:00"/>
    <x v="0"/>
    <x v="58"/>
    <s v="..\..\Acquisti\2025\EV\FATTURE\EV - BANCA BPM ft 309108 del 07-07-2025.pdf"/>
    <s v="canone mensile "/>
    <x v="17"/>
    <d v="2025-07-02T00:00:00"/>
    <n v="80.52"/>
    <s v="BPM 1983"/>
    <m/>
  </r>
  <r>
    <s v="MANCA FT NEL FALDONE"/>
    <x v="24"/>
    <m/>
    <d v="2025-08-08T00:00:00"/>
    <m/>
    <x v="0"/>
    <x v="58"/>
    <m/>
    <s v="canone mensile "/>
    <x v="17"/>
    <m/>
    <m/>
    <s v="BPM 1984"/>
    <m/>
  </r>
  <r>
    <s v="MANCA FT NEL FALDONE"/>
    <x v="24"/>
    <m/>
    <d v="2025-09-08T00:00:00"/>
    <m/>
    <x v="0"/>
    <x v="58"/>
    <m/>
    <s v="canone mensile "/>
    <x v="17"/>
    <m/>
    <m/>
    <s v="BPM 1985"/>
    <m/>
  </r>
  <r>
    <s v="OK"/>
    <x v="24"/>
    <s v="BBVFLX00457699"/>
    <d v="2025-10-07T00:00:00"/>
    <d v="2025-10-03T00:00:00"/>
    <x v="0"/>
    <x v="58"/>
    <s v="..\..\Acquisti\2025\EV\FATTURE\EV - BANCO BPM ft 457699 del 07-10-2025.pdf"/>
    <s v="canone mensile "/>
    <x v="17"/>
    <d v="2025-10-03T00:00:00"/>
    <n v="80.52"/>
    <s v="BPM 1986"/>
    <m/>
  </r>
  <r>
    <s v="OK"/>
    <x v="24"/>
    <s v="BBVFLX00008909"/>
    <d v="2026-01-09T00:00:00"/>
    <d v="2026-01-09T00:00:00"/>
    <x v="0"/>
    <x v="58"/>
    <s v="canone mensile "/>
    <s v="RID "/>
    <x v="18"/>
    <n v="80.52"/>
    <s v="BPM 1986"/>
    <m/>
    <m/>
  </r>
  <r>
    <m/>
    <x v="25"/>
    <s v="BBVFLX00008909"/>
    <d v="2026-01-09T00:00:00"/>
    <m/>
    <x v="0"/>
    <x v="58"/>
    <m/>
    <s v="CANONE MENSILE | CANONE MENSILE PASSIVO | CANONE MENSILE | CANONE MENSILE PASSIVO | CANONE MENSILE | CANONE MENSILE PASSIVO"/>
    <x v="19"/>
    <n v="14.52"/>
    <m/>
    <m/>
    <m/>
  </r>
  <r>
    <s v="carta "/>
    <x v="26"/>
    <s v="N05F/34"/>
    <d v="2025-08-04T00:00:00"/>
    <d v="2025-08-04T00:00:00"/>
    <x v="0"/>
    <x v="59"/>
    <s v="..\..\Acquisti\2025\EV\FATTURE\EV - BARAZZONI ft 34 del 04-08-2025.pdf"/>
    <s v="varie Ilaria"/>
    <x v="3"/>
    <m/>
    <m/>
    <m/>
    <m/>
  </r>
  <r>
    <s v="OK"/>
    <x v="27"/>
    <s v="2523489"/>
    <d v="2025-12-04T00:00:00"/>
    <d v="2025-12-04T00:00:00"/>
    <x v="0"/>
    <x v="60"/>
    <m/>
    <s v="varie "/>
    <x v="5"/>
    <d v="2025-12-04T00:00:00"/>
    <n v="51.2"/>
    <s v="carta "/>
    <m/>
  </r>
  <r>
    <s v="OK"/>
    <x v="27"/>
    <s v="2600497"/>
    <d v="2026-01-12T00:00:00"/>
    <d v="2026-01-12T00:00:00"/>
    <x v="0"/>
    <x v="61"/>
    <s v="VARIE "/>
    <s v="CARTA "/>
    <x v="20"/>
    <n v="102.46"/>
    <s v="CARTA "/>
    <m/>
    <m/>
  </r>
  <r>
    <m/>
    <x v="28"/>
    <s v="2026/V9/2600497"/>
    <d v="2026-01-12T00:00:00"/>
    <d v="2026-01-12T00:00:00"/>
    <x v="0"/>
    <x v="61"/>
    <m/>
    <s v="-FG16OR16/4 5G2,5 GRIGIO BOBI  N(12) | SPINA VOLANTE 3P+N+T 32A 6H I  P67 OPTIMA"/>
    <x v="14"/>
    <d v="1900-01-17T11:31:12"/>
    <d v="2026-03-13T00:00:00"/>
    <m/>
    <m/>
  </r>
  <r>
    <m/>
    <x v="29"/>
    <s v="084530266900384"/>
    <d v="2026-02-27T00:00:00"/>
    <d v="2026-02-27T00:00:00"/>
    <x v="0"/>
    <x v="62"/>
    <m/>
    <s v="Corporate Banking Interb"/>
    <x v="14"/>
    <n v="0.11"/>
    <d v="2026-04-28T00:00:00"/>
    <m/>
    <m/>
  </r>
  <r>
    <s v="OK"/>
    <x v="29"/>
    <n v="84530256900040"/>
    <d v="2025-01-31T00:00:00"/>
    <d v="2025-01-31T00:00:00"/>
    <x v="0"/>
    <x v="62"/>
    <s v="..\..\Acquisti\2025\EV\FATTURE\EV - BCC DI MILANO ft 0040 del 31-01-2025.pdf"/>
    <s v="canone mensile "/>
    <x v="21"/>
    <d v="2025-01-31T00:00:00"/>
    <n v="0.61"/>
    <s v="BCC 601460"/>
    <m/>
  </r>
  <r>
    <s v="OK"/>
    <x v="29"/>
    <n v="84530256900402"/>
    <d v="2025-02-28T00:00:00"/>
    <d v="2025-02-28T00:00:00"/>
    <x v="0"/>
    <x v="62"/>
    <s v="..\..\Acquisti\2025\EV\FATTURE\EV - BCC DI MILANO ft 6900402 del 28-02-2025.pdf"/>
    <s v="canone mensile "/>
    <x v="21"/>
    <d v="2025-02-28T00:00:00"/>
    <n v="0.61"/>
    <s v="BCC 601460"/>
    <m/>
  </r>
  <r>
    <s v="OK"/>
    <x v="29"/>
    <n v="84530256901130"/>
    <d v="2025-04-30T00:00:00"/>
    <d v="2025-04-30T00:00:00"/>
    <x v="0"/>
    <x v="62"/>
    <s v="..\..\Acquisti\2025\EV\FATTURE\EV - BCC DI MILANO ft 6901130 del 30-04-2025.pdf"/>
    <s v="canone mensile "/>
    <x v="21"/>
    <d v="2025-04-30T00:00:00"/>
    <n v="0.61"/>
    <s v="BCC 601460"/>
    <m/>
  </r>
  <r>
    <s v="OK"/>
    <x v="29"/>
    <n v="84530256901486"/>
    <d v="2025-05-30T00:00:00"/>
    <d v="2025-05-30T00:00:00"/>
    <x v="0"/>
    <x v="62"/>
    <s v="..\..\Acquisti\2025\EV\FATTURE\EV - BCC DI MILANO ft 6901486 del 30-05-2025.pdf"/>
    <s v="canone mensile "/>
    <x v="21"/>
    <d v="2025-05-30T00:00:00"/>
    <n v="0.61"/>
    <s v="BCC 601460"/>
    <m/>
  </r>
  <r>
    <s v="OK"/>
    <x v="29"/>
    <n v="84530256901844"/>
    <d v="2025-06-30T00:00:00"/>
    <d v="2025-06-30T00:00:00"/>
    <x v="0"/>
    <x v="62"/>
    <s v="..\..\Acquisti\2025\EV\FATTURE\EV - BCC DI MILANO ft 1844 del 30-06-2025.pdf"/>
    <s v="canone mensile "/>
    <x v="21"/>
    <d v="2025-06-30T00:00:00"/>
    <n v="0.61"/>
    <s v="BCC 601460"/>
    <m/>
  </r>
  <r>
    <s v="OK"/>
    <x v="29"/>
    <n v="84530256902218"/>
    <d v="2025-07-31T00:00:00"/>
    <d v="2025-07-31T00:00:00"/>
    <x v="0"/>
    <x v="62"/>
    <s v="..\..\Acquisti\2025\EV\FATTURE\EV - BCC DI MILANO ft 56902218 del 31-07-2025.pdf"/>
    <s v="canone mensile "/>
    <x v="21"/>
    <d v="2025-07-31T00:00:00"/>
    <n v="0.61"/>
    <s v="BCC 601460"/>
    <m/>
  </r>
  <r>
    <s v="OK"/>
    <x v="29"/>
    <n v="84530256902568"/>
    <d v="2025-08-29T00:00:00"/>
    <d v="2025-08-29T00:00:00"/>
    <x v="0"/>
    <x v="62"/>
    <s v="..\..\Acquisti\2025\EV\FATTURE\EV - BCC DI MILANO ft 2568 del 29-08-2025.pdf"/>
    <s v="canone mensile "/>
    <x v="21"/>
    <d v="2025-08-29T00:00:00"/>
    <n v="0.61"/>
    <s v="BCC 601460"/>
    <m/>
  </r>
  <r>
    <s v="OK"/>
    <x v="29"/>
    <n v="84530256902922"/>
    <d v="2025-09-30T00:00:00"/>
    <d v="2025-09-30T00:00:00"/>
    <x v="0"/>
    <x v="62"/>
    <s v="..\..\Acquisti\2025\EV\FATTURE\EV - BCC DI MILANO ft 902922 del 30-09-2025.pdf"/>
    <s v="canone mensile "/>
    <x v="21"/>
    <d v="2025-09-30T00:00:00"/>
    <n v="0.61"/>
    <s v="BCC 601460"/>
    <m/>
  </r>
  <r>
    <s v="OK"/>
    <x v="29"/>
    <n v="84530256903276"/>
    <d v="2025-10-31T00:00:00"/>
    <d v="2025-10-31T00:00:00"/>
    <x v="0"/>
    <x v="62"/>
    <m/>
    <s v="canone mensile "/>
    <x v="21"/>
    <d v="2025-10-31T00:00:00"/>
    <n v="0.61"/>
    <s v="BCC 601460"/>
    <m/>
  </r>
  <r>
    <m/>
    <x v="29"/>
    <s v="84530256903626"/>
    <d v="2025-11-28T00:00:00"/>
    <d v="2025-11-28T00:00:00"/>
    <x v="0"/>
    <x v="62"/>
    <m/>
    <s v="canone mensile "/>
    <x v="21"/>
    <d v="2025-11-28T00:00:00"/>
    <n v="0.61"/>
    <s v="BCC 601460"/>
    <m/>
  </r>
  <r>
    <m/>
    <x v="29"/>
    <s v="84530256903984"/>
    <d v="2025-12-31T00:00:00"/>
    <d v="2025-12-31T00:00:00"/>
    <x v="0"/>
    <x v="62"/>
    <m/>
    <s v="canone mensile "/>
    <x v="21"/>
    <d v="2025-12-31T00:00:00"/>
    <n v="0.61"/>
    <s v="BCC 601460"/>
    <m/>
  </r>
  <r>
    <m/>
    <x v="29"/>
    <s v="084530256900768"/>
    <d v="2025-03-31T00:00:00"/>
    <d v="2025-03-31T00:00:00"/>
    <x v="0"/>
    <x v="62"/>
    <s v="Corporate Banking Interb"/>
    <s v="Contanti"/>
    <x v="22"/>
    <d v="2025-05-30T00:00:00"/>
    <m/>
    <m/>
    <m/>
  </r>
  <r>
    <m/>
    <x v="29"/>
    <s v="084530266900038"/>
    <d v="2026-01-30T00:00:00"/>
    <d v="2026-01-30T00:00:00"/>
    <x v="1"/>
    <x v="62"/>
    <m/>
    <s v="Corporate Banking Interb"/>
    <x v="14"/>
    <n v="0.11"/>
    <d v="2026-03-31T00:00:00"/>
    <m/>
    <m/>
  </r>
  <r>
    <s v="OK"/>
    <x v="30"/>
    <s v="nota provv. 173/2023"/>
    <d v="2023-08-17T00:00:00"/>
    <d v="2023-11-10T00:00:00"/>
    <x v="1"/>
    <x v="63"/>
    <s v="C:\Users\Ufficio\Desktop\Amministrazione\Acquisti\2023\EV\Proforme\Bellini 173-edilvertova-prog-via ghislandiBG-L10.pdf"/>
    <s v="progetto impianti meccanici 8 unità BG, via Ghislandi"/>
    <x v="7"/>
    <m/>
    <m/>
    <m/>
    <m/>
  </r>
  <r>
    <s v="OK"/>
    <x v="30"/>
    <s v="nota provv. 173/2023"/>
    <d v="2023-08-17T00:00:00"/>
    <m/>
    <x v="0"/>
    <x v="64"/>
    <m/>
    <s v="progetto impianti meccanici 8 unità BG, via Ghislandi"/>
    <x v="15"/>
    <m/>
    <m/>
    <m/>
    <m/>
  </r>
  <r>
    <s v="OK"/>
    <x v="30"/>
    <s v="223/25"/>
    <d v="2025-10-16T00:00:00"/>
    <d v="2025-10-16T00:00:00"/>
    <x v="0"/>
    <x v="65"/>
    <m/>
    <s v="lanfranchi "/>
    <x v="7"/>
    <d v="2025-10-15T00:00:00"/>
    <n v="859.92"/>
    <s v="POP SO 2384X38"/>
    <m/>
  </r>
  <r>
    <s v="OK"/>
    <x v="30"/>
    <s v="223/25"/>
    <d v="2025-10-16T00:00:00"/>
    <d v="2025-11-16T00:00:00"/>
    <x v="1"/>
    <x v="66"/>
    <m/>
    <s v="lanfranchi "/>
    <x v="15"/>
    <d v="2025-11-16T00:00:00"/>
    <n v="160"/>
    <m/>
    <m/>
  </r>
  <r>
    <s v="OK"/>
    <x v="30"/>
    <s v="224/25"/>
    <d v="2025-10-16T00:00:00"/>
    <d v="2025-10-16T00:00:00"/>
    <x v="0"/>
    <x v="67"/>
    <m/>
    <s v="ghislandi "/>
    <x v="7"/>
    <d v="2025-10-15T00:00:00"/>
    <n v="1140.08"/>
    <s v="POP SO 2384X38"/>
    <m/>
  </r>
  <r>
    <s v="OK"/>
    <x v="30"/>
    <s v="224/25"/>
    <d v="2025-10-16T00:00:00"/>
    <d v="2025-11-16T00:00:00"/>
    <x v="1"/>
    <x v="68"/>
    <m/>
    <s v="ghislandi "/>
    <x v="15"/>
    <d v="2025-11-16T00:00:00"/>
    <n v="212.13"/>
    <m/>
    <m/>
  </r>
  <r>
    <s v="OK"/>
    <x v="30"/>
    <s v="230/25"/>
    <d v="2025-11-03T00:00:00"/>
    <d v="2025-10-30T00:00:00"/>
    <x v="0"/>
    <x v="69"/>
    <m/>
    <s v="PROGETTO IMP.MECCANICI _ VIA GHISLANDI BG"/>
    <x v="7"/>
    <d v="2025-10-30T00:00:00"/>
    <n v="2000"/>
    <s v="POP SO 2384X38"/>
    <m/>
  </r>
  <r>
    <s v="OK"/>
    <x v="30"/>
    <s v="230/25"/>
    <d v="2025-01-03T00:00:00"/>
    <d v="2025-11-16T00:00:00"/>
    <x v="1"/>
    <x v="70"/>
    <m/>
    <s v="PROGETTO IMP.MECCANICI _ VIA GHISLANDI BG"/>
    <x v="15"/>
    <d v="2025-11-16T00:00:00"/>
    <n v="372.13"/>
    <m/>
    <m/>
  </r>
  <r>
    <n v="2023"/>
    <x v="31"/>
    <s v="ck"/>
    <d v="2023-09-23T00:00:00"/>
    <m/>
    <x v="0"/>
    <x v="71"/>
    <s v="file:///\\192.168.1.231\..\AppData\Acquisti\2023\EV\Proforme\Belloli%20nota%204139%2023.9.23%20-%20EV%20vs%20Checchin.pdf"/>
    <s v="EV/Checchin"/>
    <x v="15"/>
    <m/>
    <m/>
    <m/>
    <m/>
  </r>
  <r>
    <n v="2023"/>
    <x v="31"/>
    <s v="doc. 4162"/>
    <d v="2023-10-27T00:00:00"/>
    <m/>
    <x v="0"/>
    <x v="72"/>
    <m/>
    <s v="EV/Colombini-Gagliolo"/>
    <x v="15"/>
    <m/>
    <m/>
    <m/>
    <m/>
  </r>
  <r>
    <n v="2023"/>
    <x v="31"/>
    <s v="doc. 4173"/>
    <d v="2023-11-06T00:00:00"/>
    <m/>
    <x v="0"/>
    <x v="73"/>
    <m/>
    <s v="EV/Colombini-Gagliolo"/>
    <x v="15"/>
    <m/>
    <m/>
    <m/>
    <m/>
  </r>
  <r>
    <n v="2023"/>
    <x v="31"/>
    <s v="doc. 4185"/>
    <d v="2023-11-20T00:00:00"/>
    <m/>
    <x v="0"/>
    <x v="74"/>
    <m/>
    <s v="EV/Colombini-Gagliolo"/>
    <x v="15"/>
    <m/>
    <m/>
    <m/>
    <m/>
  </r>
  <r>
    <n v="2023"/>
    <x v="31"/>
    <s v="139"/>
    <d v="2025-03-24T00:00:00"/>
    <d v="2025-03-24T00:00:00"/>
    <x v="0"/>
    <x v="75"/>
    <s v="..\..\Acquisti\2025\EV\FATTURE\EV - BELLOLI ATTILIO ft 139 del 24-03-2025.pdf"/>
    <s v="EV/Girasole Immobiliare srl"/>
    <x v="7"/>
    <m/>
    <m/>
    <m/>
    <m/>
  </r>
  <r>
    <n v="2023"/>
    <x v="31"/>
    <s v="139"/>
    <d v="2025-03-24T00:00:00"/>
    <d v="2025-04-16T00:00:00"/>
    <x v="0"/>
    <x v="76"/>
    <m/>
    <m/>
    <x v="15"/>
    <m/>
    <m/>
    <m/>
    <m/>
  </r>
  <r>
    <n v="2023"/>
    <x v="31"/>
    <s v="doc. 4195"/>
    <d v="2023-11-30T00:00:00"/>
    <m/>
    <x v="0"/>
    <x v="77"/>
    <m/>
    <s v="EV/Colombini-Gagliolo"/>
    <x v="15"/>
    <m/>
    <m/>
    <m/>
    <m/>
  </r>
  <r>
    <n v="2024"/>
    <x v="31"/>
    <s v="372"/>
    <d v="2024-10-01T00:00:00"/>
    <d v="2025-01-16T00:00:00"/>
    <x v="0"/>
    <x v="78"/>
    <s v="file:///\\192.168.1.231\..\AppData\Acquisti\2023\EV\Proforme\Belloli%20doc%204195%20del%2030-11-2023%20--%20Colombini%20PIGN%20QUOTE%20nota%20pro%20forma.pdf"/>
    <m/>
    <x v="15"/>
    <m/>
    <m/>
    <m/>
    <m/>
  </r>
  <r>
    <s v="PIANO DI RIENTRO"/>
    <x v="31"/>
    <s v="19"/>
    <d v="2026-01-16T00:00:00"/>
    <d v="2026-01-16T00:00:00"/>
    <x v="0"/>
    <x v="79"/>
    <s v="Competenze | Rimborso Forfettario | Anticipazioni | Spese Imponibili non documentate | Bollo"/>
    <s v="Bonifico bancario o postale"/>
    <x v="23"/>
    <d v="2026-03-17T00:00:00"/>
    <s v="bper"/>
    <m/>
    <m/>
  </r>
  <r>
    <s v="PIANO DI RIENTRO"/>
    <x v="31"/>
    <s v="proforme in attesa di ricezione"/>
    <m/>
    <m/>
    <x v="1"/>
    <x v="80"/>
    <m/>
    <s v="PIANO DI RIENTRO_ TRANCHE FEBBRAIO 2° "/>
    <x v="8"/>
    <m/>
    <m/>
    <m/>
    <m/>
  </r>
  <r>
    <s v="PIANO DI RIENTRO"/>
    <x v="31"/>
    <s v="proforme in attesa di ricezione"/>
    <m/>
    <m/>
    <x v="1"/>
    <x v="81"/>
    <m/>
    <s v="PIANO DI RIENTRO_ TRANCHE MARZO 3° "/>
    <x v="8"/>
    <m/>
    <m/>
    <m/>
    <m/>
  </r>
  <r>
    <s v="DA PAGARE "/>
    <x v="31"/>
    <s v="proforme in attesa di ricezione"/>
    <d v="2025-03-24T00:00:00"/>
    <d v="2025-04-16T00:00:00"/>
    <x v="1"/>
    <x v="82"/>
    <m/>
    <m/>
    <x v="7"/>
    <m/>
    <m/>
    <m/>
    <m/>
  </r>
  <r>
    <s v="ATTENDO FATTURA "/>
    <x v="31"/>
    <m/>
    <m/>
    <m/>
    <x v="0"/>
    <x v="79"/>
    <s v="PIANO DI RIENTRO_ TRANCHE GENNAIO 1° "/>
    <s v="BONIFICO "/>
    <x v="24"/>
    <n v="5955.05"/>
    <s v="BPER 80875"/>
    <m/>
    <m/>
  </r>
  <r>
    <s v="DA PAGARE "/>
    <x v="32"/>
    <s v="N001397"/>
    <d v="2024-06-30T00:00:00"/>
    <d v="2024-08-10T00:00:00"/>
    <x v="1"/>
    <x v="83"/>
    <s v="C:\Users\Ufficio\Desktop\Amministrazione\Acquisti\2024\EV\Fatture\EV - BERGAMELLI ft 1397 del 30-06-2024.pdf"/>
    <s v="TB, Via Kennedy"/>
    <x v="7"/>
    <m/>
    <m/>
    <m/>
    <m/>
  </r>
  <r>
    <s v="DA PAGARE "/>
    <x v="32"/>
    <s v="N001616"/>
    <d v="2024-07-31T00:00:00"/>
    <d v="2024-09-10T00:00:00"/>
    <x v="1"/>
    <x v="84"/>
    <s v="C:\Users\Ufficio\Desktop\Amministrazione\Acquisti\2024\EV\Fatture\EV - BERGAMELLI ft -1616 del 31-07-2024.pdf"/>
    <s v="TB, Via Kennedy - BG Via Ghislandi"/>
    <x v="7"/>
    <m/>
    <m/>
    <m/>
    <m/>
  </r>
  <r>
    <s v="COME è STATA PAGATA???"/>
    <x v="33"/>
    <s v="61/063"/>
    <d v="2025-05-10T00:00:00"/>
    <m/>
    <x v="0"/>
    <x v="85"/>
    <s v="..\..\Acquisti\2025\EV\FATTURE\EV - BIALETTI ft 63 del 10-05-2025.pdf"/>
    <s v="ufficio"/>
    <x v="4"/>
    <d v="2025-05-10T00:00:00"/>
    <n v="111"/>
    <m/>
    <m/>
  </r>
  <r>
    <m/>
    <x v="34"/>
    <s v="bo"/>
    <m/>
    <m/>
    <x v="0"/>
    <x v="86"/>
    <m/>
    <m/>
    <x v="4"/>
    <m/>
    <m/>
    <m/>
    <m/>
  </r>
  <r>
    <s v="COME è STATA PAGATA???"/>
    <x v="34"/>
    <s v="532"/>
    <d v="2025-05-30T00:00:00"/>
    <d v="2025-06-30T00:00:00"/>
    <x v="0"/>
    <x v="87"/>
    <s v="..\..\Acquisti\2025\EV\FATTURE\EV - BONGIORNO ANTINFORTUNISTICA ft 532 del 30-05-2025.pdf"/>
    <s v="abbigliamento edilcassa"/>
    <x v="7"/>
    <m/>
    <m/>
    <m/>
    <m/>
  </r>
  <r>
    <m/>
    <x v="34"/>
    <s v="1310"/>
    <d v="2025-12-15T00:00:00"/>
    <d v="2026-01-31T00:00:00"/>
    <x v="0"/>
    <x v="88"/>
    <m/>
    <s v="abbigliamento edilcassa"/>
    <x v="7"/>
    <d v="2026-01-31T00:00:00"/>
    <n v="217.4"/>
    <s v="INS. IN EDILCASSA"/>
    <m/>
  </r>
  <r>
    <s v="OK"/>
    <x v="35"/>
    <s v="200/2025"/>
    <d v="2025-03-17T00:00:00"/>
    <d v="2025-03-17T00:00:00"/>
    <x v="0"/>
    <x v="89"/>
    <s v="..\..\Acquisti\2025\EV\FATTURE\EV - BORDOGNI FABIO ft 200 del 17-03-2025.pdf"/>
    <s v="Riparazione ago vibrante"/>
    <x v="7"/>
    <d v="2025-03-20T00:00:00"/>
    <n v="233.02"/>
    <s v="BPS 84x38"/>
    <m/>
  </r>
  <r>
    <s v="OK"/>
    <x v="35"/>
    <s v="375/2025"/>
    <d v="2025-04-30T00:00:00"/>
    <d v="2025-04-30T00:00:00"/>
    <x v="0"/>
    <x v="90"/>
    <s v="..\..\Acquisti\2025\EV\FATTURE\EV - BORDOGNI FABIO ft 375 del 30-04-2025.pdf"/>
    <s v="Riparazione betoniera"/>
    <x v="7"/>
    <d v="2025-06-09T00:00:00"/>
    <n v="142.74"/>
    <s v="BPM 1980"/>
    <m/>
  </r>
  <r>
    <s v="pagata dove????"/>
    <x v="35"/>
    <s v="506/2025"/>
    <d v="2025-06-16T00:00:00"/>
    <d v="2025-06-16T00:00:00"/>
    <x v="0"/>
    <x v="91"/>
    <s v="..\..\Acquisti\2025\EV\FATTURE\EV - BORDOGNI FABIO ft 506 del 16-06-2025.pdf"/>
    <s v="Riparazione motosega"/>
    <x v="7"/>
    <s v="25/06/2025 &amp; 15/10/2025"/>
    <n v="126.88"/>
    <s v="BPER E SONDRIO(PAGATA DUE VOLTE)"/>
    <m/>
  </r>
  <r>
    <s v="OK"/>
    <x v="35"/>
    <s v="601/25"/>
    <d v="2025-07-03T00:00:00"/>
    <d v="2025-07-03T00:00:00"/>
    <x v="0"/>
    <x v="92"/>
    <s v="..\..\Acquisti\2025\EV\FATTURE\EV - BORDOGNi FABIO ft 601 del 03-07-2025.pdf"/>
    <s v="Riparazione decespugliatore husqvarna e kawasaki, riparazione miscelatore "/>
    <x v="7"/>
    <d v="2026-10-15T00:00:00"/>
    <n v="220.82"/>
    <s v="POP SO 2384X38"/>
    <m/>
  </r>
  <r>
    <s v="OK"/>
    <x v="35"/>
    <s v="670/25"/>
    <d v="2025-07-24T00:00:00"/>
    <d v="2025-07-24T00:00:00"/>
    <x v="0"/>
    <x v="93"/>
    <s v="..\..\Acquisti\2025\EV\FATTURE\EV - BORDOGNI FABIO ft 670 del 24-07-2025.pdf"/>
    <s v="Riparazione smerigliatrice makita "/>
    <x v="7"/>
    <d v="2026-10-15T00:00:00"/>
    <n v="68.319999999999993"/>
    <s v="POP SO 2384X38"/>
    <m/>
  </r>
  <r>
    <s v="OK"/>
    <x v="35"/>
    <s v="764/2025"/>
    <d v="2025-08-28T00:00:00"/>
    <d v="2025-08-28T00:00:00"/>
    <x v="0"/>
    <x v="94"/>
    <s v="..\..\Acquisti\2025\EV\FATTURE\EV - BORDOGNI FABIO ft 764 del 28-08-2025.pdf"/>
    <s v="Riparazione martello dewalt"/>
    <x v="7"/>
    <d v="2026-10-15T00:00:00"/>
    <n v="395.25"/>
    <s v="POP SO 2384X38"/>
    <m/>
  </r>
  <r>
    <s v="DOPPIO PAGAMNETO FT 506"/>
    <x v="35"/>
    <s v="IN ATTESA DI NC"/>
    <d v="2025-06-16T00:00:00"/>
    <m/>
    <x v="1"/>
    <x v="95"/>
    <s v="..\..\Acquisti\2025\EV\FATTURE\EV - BORDOGNI FABIO ft 506 del 16-06-2025.pdf"/>
    <s v="pagata doppia"/>
    <x v="25"/>
    <m/>
    <m/>
    <m/>
    <m/>
  </r>
  <r>
    <s v="OK"/>
    <x v="36"/>
    <s v="19"/>
    <d v="2025-07-30T00:00:00"/>
    <d v="2025-07-31T00:00:00"/>
    <x v="0"/>
    <x v="96"/>
    <s v="..\..\Acquisti\2025\EV\FATTURE\EV - BORGIA GABRIELE ft 19 del 30-07-2025.pdf"/>
    <s v="Bergamo, Via Ghislandi"/>
    <x v="7"/>
    <d v="2025-07-31T00:00:00"/>
    <n v="10000"/>
    <s v="BCC 601460"/>
    <m/>
  </r>
  <r>
    <s v="OK"/>
    <x v="36"/>
    <s v="19"/>
    <d v="2025-07-30T00:00:00"/>
    <d v="2025-09-23T00:00:00"/>
    <x v="0"/>
    <x v="96"/>
    <m/>
    <s v="Bergamo, Via Ghislandi"/>
    <x v="7"/>
    <d v="2025-09-23T00:00:00"/>
    <n v="10000"/>
    <s v="BPER 80875"/>
    <m/>
  </r>
  <r>
    <s v="OK"/>
    <x v="36"/>
    <s v="19"/>
    <d v="2025-07-30T00:00:00"/>
    <d v="2025-10-14T00:00:00"/>
    <x v="0"/>
    <x v="97"/>
    <m/>
    <s v="Bergamo, Via Ghislandi"/>
    <x v="7"/>
    <d v="2025-10-14T00:00:00"/>
    <n v="5000"/>
    <s v="BPER 80875"/>
    <m/>
  </r>
  <r>
    <s v="OK"/>
    <x v="36"/>
    <s v="19"/>
    <d v="2025-07-30T00:00:00"/>
    <d v="2025-10-17T00:00:00"/>
    <x v="0"/>
    <x v="97"/>
    <m/>
    <s v="Bergamo, Via Ghislandi"/>
    <x v="7"/>
    <d v="2025-10-17T00:00:00"/>
    <n v="5000"/>
    <s v="BPER 80875"/>
    <m/>
  </r>
  <r>
    <s v="OK"/>
    <x v="36"/>
    <s v="19"/>
    <d v="2025-07-30T00:00:00"/>
    <d v="2025-10-22T00:00:00"/>
    <x v="0"/>
    <x v="96"/>
    <m/>
    <s v="Bergamo, Via Ghislandi"/>
    <x v="7"/>
    <d v="2025-10-22T00:00:00"/>
    <n v="10000"/>
    <s v="BPER 80875"/>
    <m/>
  </r>
  <r>
    <m/>
    <x v="36"/>
    <s v="28"/>
    <m/>
    <m/>
    <x v="0"/>
    <x v="98"/>
    <s v="Bergamo, Via Ghislandi"/>
    <m/>
    <x v="7"/>
    <d v="2025-11-10T00:00:00"/>
    <n v="10000"/>
    <s v="BPER "/>
    <m/>
  </r>
  <r>
    <s v="OK"/>
    <x v="36"/>
    <s v="28"/>
    <d v="2025-10-28T00:00:00"/>
    <d v="2025-10-28T00:00:00"/>
    <x v="0"/>
    <x v="99"/>
    <m/>
    <s v="Bergamo, Via Ghislandi"/>
    <x v="8"/>
    <m/>
    <m/>
    <s v="PARTITE DI GIRO"/>
    <m/>
  </r>
  <r>
    <s v="OK"/>
    <x v="36"/>
    <s v="29"/>
    <d v="2025-11-17T00:00:00"/>
    <d v="2025-11-17T00:00:00"/>
    <x v="0"/>
    <x v="99"/>
    <m/>
    <s v="Bergamo, Via Ghislandi"/>
    <x v="8"/>
    <m/>
    <m/>
    <m/>
    <m/>
  </r>
  <r>
    <s v="OK"/>
    <x v="37"/>
    <s v="FT/DIF/VEN/0000159"/>
    <d v="2025-01-15T00:00:00"/>
    <d v="2025-02-28T00:00:00"/>
    <x v="0"/>
    <x v="100"/>
    <s v="..\..\Acquisti\2025\EV\FATTURE\EV - BOSIO COMMERCIALE ft 159 del 15-01-2025.pdf"/>
    <s v="Attico Bergamo"/>
    <x v="4"/>
    <d v="2025-03-17T00:00:00"/>
    <n v="4138.68"/>
    <s v="bpm"/>
    <m/>
  </r>
  <r>
    <s v="OK"/>
    <x v="37"/>
    <s v="FT/DIF/VEN/0000697"/>
    <d v="2025-02-15T00:00:00"/>
    <d v="2025-03-31T00:00:00"/>
    <x v="0"/>
    <x v="101"/>
    <m/>
    <m/>
    <x v="4"/>
    <d v="2025-03-17T00:00:00"/>
    <n v="1453.1800000000003"/>
    <s v="bpm"/>
    <m/>
  </r>
  <r>
    <s v="OK"/>
    <x v="37"/>
    <s v="FT/DIF/VEN/0000697"/>
    <d v="2025-02-15T00:00:00"/>
    <d v="2025-03-31T00:00:00"/>
    <x v="0"/>
    <x v="102"/>
    <m/>
    <s v="RESIDUO FT 697 AL 17/03"/>
    <x v="4"/>
    <d v="2025-10-15T00:00:00"/>
    <n v="1560"/>
    <s v="bcc"/>
    <m/>
  </r>
  <r>
    <s v="OK"/>
    <x v="37"/>
    <s v="FT/DIF/VEN/0002606"/>
    <d v="2025-05-31T00:00:00"/>
    <d v="2025-06-30T00:00:00"/>
    <x v="0"/>
    <x v="103"/>
    <m/>
    <m/>
    <x v="4"/>
    <d v="2025-10-15T00:00:00"/>
    <n v="106"/>
    <s v="bcc"/>
    <m/>
  </r>
  <r>
    <s v="OK"/>
    <x v="37"/>
    <s v="FT/DIF/VEN/0002606"/>
    <d v="2025-05-31T00:00:00"/>
    <d v="2025-06-30T00:00:00"/>
    <x v="0"/>
    <x v="104"/>
    <m/>
    <s v="residuo al 15/10"/>
    <x v="4"/>
    <d v="2025-10-30T00:00:00"/>
    <n v="1560"/>
    <s v="pop so "/>
    <m/>
  </r>
  <r>
    <s v="OK"/>
    <x v="37"/>
    <s v="FT/DIF/VEN/0002606"/>
    <d v="2025-05-31T00:00:00"/>
    <d v="2025-06-30T00:00:00"/>
    <x v="0"/>
    <x v="105"/>
    <m/>
    <s v="residuo al 30/10"/>
    <x v="4"/>
    <m/>
    <m/>
    <m/>
    <m/>
  </r>
  <r>
    <s v="OK"/>
    <x v="37"/>
    <s v="FT/DIF/VEN/0002606"/>
    <d v="2025-05-31T00:00:00"/>
    <d v="2025-06-30T00:00:00"/>
    <x v="0"/>
    <x v="105"/>
    <m/>
    <s v="residuo al 30/10"/>
    <x v="4"/>
    <d v="2026-01-20T00:00:00"/>
    <m/>
    <s v="bper"/>
    <m/>
  </r>
  <r>
    <s v="OK"/>
    <x v="37"/>
    <s v="NC/STD/VEN/0004249"/>
    <d v="2025-09-01T00:00:00"/>
    <d v="2025-09-01T00:00:00"/>
    <x v="0"/>
    <x v="106"/>
    <m/>
    <m/>
    <x v="4"/>
    <d v="2026-01-20T00:00:00"/>
    <m/>
    <s v="bper"/>
    <m/>
  </r>
  <r>
    <s v="manca contabile"/>
    <x v="38"/>
    <n v="2"/>
    <d v="2025-01-25T00:00:00"/>
    <m/>
    <x v="0"/>
    <x v="107"/>
    <s v="..\..\Acquisti\2025\EV\FATTURE\EV - BP33 ft 2 del 25-01-2025.pdf"/>
    <s v="BG, Via Ghislandi"/>
    <x v="7"/>
    <m/>
    <m/>
    <m/>
    <m/>
  </r>
  <r>
    <s v="manca contabile"/>
    <x v="38"/>
    <n v="1"/>
    <d v="2025-01-23T00:00:00"/>
    <d v="2025-01-25T00:00:00"/>
    <x v="0"/>
    <x v="108"/>
    <s v="..\..\Acquisti\2025\EV\FATTURE\EV - BP33 ft 1 del 23-01-2025.pdf"/>
    <s v="BG, Via Ghislandi"/>
    <x v="7"/>
    <d v="2025-01-24T00:00:00"/>
    <n v="6008.44"/>
    <s v="BPM"/>
    <m/>
  </r>
  <r>
    <s v="manca contabile"/>
    <x v="38"/>
    <n v="3"/>
    <d v="2025-01-30T00:00:00"/>
    <m/>
    <x v="0"/>
    <x v="109"/>
    <s v="..\..\Acquisti\2025\EV\FATTURE\EV - BP33 ft 3 del 30-01-2025.pdf"/>
    <s v="Bg, Via Ghislandi"/>
    <x v="7"/>
    <m/>
    <m/>
    <m/>
    <m/>
  </r>
  <r>
    <s v="OK"/>
    <x v="38"/>
    <n v="18"/>
    <d v="2025-05-21T00:00:00"/>
    <m/>
    <x v="0"/>
    <x v="97"/>
    <s v="..\..\Acquisti\2025\EV\FATTURE\EV - BP33 ft 18 del 21-05-2025.pdf"/>
    <s v="Bg, Via Ghislandi"/>
    <x v="7"/>
    <d v="2025-05-23T00:00:00"/>
    <n v="5000"/>
    <s v="BCC"/>
    <m/>
  </r>
  <r>
    <s v="OK"/>
    <x v="39"/>
    <s v="05387-4161720435-76"/>
    <d v="2025-12-02T00:00:00"/>
    <d v="2025-12-02T00:00:00"/>
    <x v="0"/>
    <x v="110"/>
    <m/>
    <s v="canone mensile "/>
    <x v="21"/>
    <d v="2025-12-02T00:00:00"/>
    <n v="8.5399999999999991"/>
    <s v="BPER 80875"/>
    <m/>
  </r>
  <r>
    <s v="OK"/>
    <x v="39"/>
    <s v="05387-4160115806-76"/>
    <d v="2026-01-05T00:00:00"/>
    <d v="2026-01-05T00:00:00"/>
    <x v="0"/>
    <x v="110"/>
    <s v="canone mensile "/>
    <s v="sdd"/>
    <x v="26"/>
    <n v="8.5399999999999991"/>
    <s v="BPER 80875"/>
    <m/>
    <m/>
  </r>
  <r>
    <m/>
    <x v="40"/>
    <s v="05387-4160271898-76"/>
    <d v="2026-02-03T00:00:00"/>
    <m/>
    <x v="0"/>
    <x v="110"/>
    <m/>
    <s v="CANONE MENSILE SMART CBI  - Data Effettuazione Operazione: 03.02.2026 - NDG: 007297733 - SIA: 01H45 - Filiale: 03254 - Conto Bancario: 04480875 - Importo gia' pagato con addebito su vs conto corrente"/>
    <x v="4"/>
    <n v="1.54"/>
    <m/>
    <m/>
    <m/>
  </r>
  <r>
    <s v="carta "/>
    <x v="41"/>
    <n v="113090000966"/>
    <d v="2025-04-10T00:00:00"/>
    <d v="2025-04-10T00:00:00"/>
    <x v="0"/>
    <x v="111"/>
    <s v="..\..\Acquisti\2025\EV\FATTURE\EV - BRICOMAN ITALIA SRL ft 966 del 10-04-2025.pdf"/>
    <s v="varie"/>
    <x v="3"/>
    <m/>
    <m/>
    <m/>
    <m/>
  </r>
  <r>
    <s v="OK"/>
    <x v="42"/>
    <s v="I01124"/>
    <d v="2025-11-26T00:00:00"/>
    <d v="2025-11-26T00:00:00"/>
    <x v="0"/>
    <x v="112"/>
    <m/>
    <s v="varie "/>
    <x v="5"/>
    <d v="2025-11-26T00:00:00"/>
    <n v="31.99"/>
    <s v="carta "/>
    <m/>
  </r>
  <r>
    <s v="OK"/>
    <x v="43"/>
    <s v="E04538"/>
    <d v="2025-11-30T00:00:00"/>
    <d v="2026-01-31T00:00:00"/>
    <x v="0"/>
    <x v="113"/>
    <m/>
    <s v="VARIE "/>
    <x v="27"/>
    <d v="2026-01-31T00:00:00"/>
    <n v="92.92"/>
    <s v="CARTA "/>
    <m/>
  </r>
  <r>
    <s v="OK"/>
    <x v="44"/>
    <s v="E00161"/>
    <d v="2025-01-31T00:00:00"/>
    <d v="2025-03-31T00:00:00"/>
    <x v="0"/>
    <x v="114"/>
    <s v="..\..\Acquisti\2025\EV\FATTURE\EV - BUTTINONI GIUSEPPE ft 161 del 31-01-2025.pdf"/>
    <s v="varie"/>
    <x v="8"/>
    <d v="2025-07-30T00:00:00"/>
    <n v="218.72"/>
    <s v="BCC 601460"/>
    <m/>
  </r>
  <r>
    <s v="manca contabile "/>
    <x v="44"/>
    <s v="E00575"/>
    <d v="2025-02-28T00:00:00"/>
    <d v="2025-02-28T00:00:00"/>
    <x v="0"/>
    <x v="115"/>
    <s v="..\..\Acquisti\2025\EV\FATTURE\EV - BUTTINONI GIUSEPPE ft 575 del 28-02-2025.pdf"/>
    <s v="varie"/>
    <x v="7"/>
    <m/>
    <m/>
    <m/>
    <m/>
  </r>
  <r>
    <s v="OK"/>
    <x v="44"/>
    <s v="I00403"/>
    <d v="2025-04-24T00:00:00"/>
    <d v="2025-04-24T00:00:00"/>
    <x v="0"/>
    <x v="116"/>
    <s v="..\..\Acquisti\2025\EV\FATTURE\EV - BUTTINONI GIUSEPPE ft 403 del 24-04-2025.pdf"/>
    <s v="varie"/>
    <x v="2"/>
    <d v="2025-04-24T00:00:00"/>
    <n v="21.2"/>
    <s v="carta "/>
    <m/>
  </r>
  <r>
    <s v="OK"/>
    <x v="44"/>
    <s v="I00581"/>
    <d v="2025-06-20T00:00:00"/>
    <d v="2025-06-20T00:00:00"/>
    <x v="0"/>
    <x v="117"/>
    <s v="..\..\Acquisti\2025\EV\FATTURE\EV - BUTTINONI GIUSEPPE ft 581 del 20-06-2025.pdf"/>
    <s v="varie"/>
    <x v="5"/>
    <d v="2025-06-20T00:00:00"/>
    <n v="15.47"/>
    <s v="carta"/>
    <m/>
  </r>
  <r>
    <s v="OK"/>
    <x v="44"/>
    <s v="I00588"/>
    <d v="2025-06-23T00:00:00"/>
    <d v="2025-06-23T00:00:00"/>
    <x v="0"/>
    <x v="118"/>
    <s v="..\..\Acquisti\2025\EV\FATTURE\EV - BUTTINONI GIUSEPPE ft 588 del 23-06-2025.pdf"/>
    <s v="VARIE"/>
    <x v="28"/>
    <d v="2025-06-23T00:00:00"/>
    <n v="37.94"/>
    <s v="carta"/>
    <m/>
  </r>
  <r>
    <s v="doppia fattura / vedi ft 575 pag insieme"/>
    <x v="44"/>
    <s v="E02345"/>
    <d v="2025-06-30T00:00:00"/>
    <d v="2025-09-05T00:00:00"/>
    <x v="0"/>
    <x v="119"/>
    <s v="..\..\Acquisti\2025\EV\FATTURE\EV- BUTTINONI ft 2345 del 30-06-2025.pdf"/>
    <s v="varie"/>
    <x v="4"/>
    <m/>
    <m/>
    <m/>
    <m/>
  </r>
  <r>
    <s v="DA PAGARE "/>
    <x v="44"/>
    <s v="E02779"/>
    <d v="2025-07-31T00:00:00"/>
    <m/>
    <x v="0"/>
    <x v="120"/>
    <s v="..\..\Acquisti\2025\EV\FATTURE\EV - BUTTINONI GIUSEPPE ft 2779 del 31-07-2025.pdf"/>
    <s v="varie"/>
    <x v="11"/>
    <d v="2026-01-31T00:00:00"/>
    <m/>
    <m/>
    <m/>
  </r>
  <r>
    <s v="entrare in BPM"/>
    <x v="45"/>
    <s v="5/E "/>
    <d v="2025-01-16T00:00:00"/>
    <d v="2025-02-28T00:00:00"/>
    <x v="0"/>
    <x v="121"/>
    <s v="..\..\Acquisti\2025\EV\FATTURE\EV- C.M.M. CARPENTERIA METALLICA ft 5E del 16-01-2025.pdf"/>
    <s v="Bg, Via Ghislandi"/>
    <x v="29"/>
    <d v="2025-01-28T00:00:00"/>
    <n v="16925.38"/>
    <s v="BPM"/>
    <m/>
  </r>
  <r>
    <s v="entrare in BPM"/>
    <x v="45"/>
    <s v="10/E"/>
    <d v="2025-02-12T00:00:00"/>
    <d v="2025-03-31T00:00:00"/>
    <x v="0"/>
    <x v="122"/>
    <s v="..\..\Acquisti\2025\EV\FATTURE\EV- CMM CARPENTERIA METALLICA ft 10 del 12-02-2025.pdf"/>
    <s v="Bergamo, Via Ghislandi"/>
    <x v="7"/>
    <d v="2025-03-14T00:00:00"/>
    <n v="11766.72"/>
    <s v="BPM"/>
    <m/>
  </r>
  <r>
    <s v="OK"/>
    <x v="45"/>
    <s v="19/E"/>
    <d v="2025-02-28T00:00:00"/>
    <d v="2025-04-30T00:00:00"/>
    <x v="0"/>
    <x v="123"/>
    <s v="..\..\Acquisti\2025\EV\FATTURE\EV - C.M.M. ft 19 del 28-02-2025.pdf"/>
    <s v="Bergamo, Via Ghislandi"/>
    <x v="11"/>
    <d v="2025-07-15T00:00:00"/>
    <n v="12667.41"/>
    <s v="bcc 601460"/>
    <m/>
  </r>
  <r>
    <s v="CONTESTARE"/>
    <x v="46"/>
    <s v="bo"/>
    <m/>
    <m/>
    <x v="2"/>
    <x v="124"/>
    <m/>
    <m/>
    <x v="4"/>
    <m/>
    <m/>
    <m/>
    <m/>
  </r>
  <r>
    <s v="OK"/>
    <x v="47"/>
    <s v="CBILL_ 6763459"/>
    <d v="2025-12-04T00:00:00"/>
    <d v="2025-12-04T00:00:00"/>
    <x v="0"/>
    <x v="125"/>
    <m/>
    <s v="DIRITTI CAMERA DI COMMERCIO MILANO-MONZA-BRIANZA-LODI"/>
    <x v="0"/>
    <d v="2025-12-04T00:00:00"/>
    <n v="10.33"/>
    <s v="BCC"/>
    <m/>
  </r>
  <r>
    <s v="OK"/>
    <x v="47"/>
    <s v="CBILL_ 6763462"/>
    <d v="2025-12-04T00:00:00"/>
    <d v="2025-12-04T00:00:00"/>
    <x v="0"/>
    <x v="126"/>
    <m/>
    <s v="DIRITTI CAMERA DI COMMERCIO MILANO-MONZA-BRIANZA-LODI"/>
    <x v="0"/>
    <d v="2025-12-04T00:00:00"/>
    <n v="18"/>
    <s v="BCC"/>
    <m/>
  </r>
  <r>
    <s v="OK"/>
    <x v="47"/>
    <s v="CBILL_6770872"/>
    <d v="2025-12-12T00:00:00"/>
    <d v="2025-12-12T00:00:00"/>
    <x v="0"/>
    <x v="127"/>
    <m/>
    <s v="DIRITTI CAMERA DI COMMERCIO MILANO-MONZA-BRIANZA-LODI"/>
    <x v="0"/>
    <s v="12/12/205"/>
    <n v="10"/>
    <s v="BCC"/>
    <m/>
  </r>
  <r>
    <s v="OK"/>
    <x v="47"/>
    <s v="CBILL_6770873"/>
    <d v="2025-12-12T00:00:00"/>
    <d v="2025-12-12T00:00:00"/>
    <x v="0"/>
    <x v="128"/>
    <m/>
    <s v="DIRITTI CAMERA DI COMMERCIO MILANO-MONZA-BRIANZA-LODI"/>
    <x v="0"/>
    <d v="2025-12-12T00:00:00"/>
    <n v="16"/>
    <s v="BCC"/>
    <m/>
  </r>
  <r>
    <m/>
    <x v="48"/>
    <s v="CBILL_ 597804"/>
    <d v="2025-12-04T00:00:00"/>
    <d v="2025-12-04T00:00:00"/>
    <x v="0"/>
    <x v="128"/>
    <m/>
    <s v="BOLLI CAMERA DI COMMERCIO MILANO-MONZA-BRIANZA-LODI"/>
    <x v="0"/>
    <d v="2025-12-04T00:00:00"/>
    <n v="16"/>
    <s v="BCC"/>
    <m/>
  </r>
  <r>
    <m/>
    <x v="48"/>
    <s v="CBILL_597392"/>
    <d v="2025-12-04T00:00:00"/>
    <d v="2025-12-04T00:00:00"/>
    <x v="0"/>
    <x v="129"/>
    <m/>
    <s v="DIRITTI CAMERA DI COMMERCIO MILANO-MONZA-BRIANZA-LODI"/>
    <x v="0"/>
    <d v="2025-12-04T00:00:00"/>
    <n v="8.33"/>
    <s v="BCC"/>
    <m/>
  </r>
  <r>
    <s v="OK"/>
    <x v="49"/>
    <n v="45"/>
    <d v="2025-03-18T00:00:00"/>
    <d v="2025-05-31T00:00:00"/>
    <x v="0"/>
    <x v="130"/>
    <s v="..\..\Acquisti\2025\EV\FATTURE\EV - CAMPLONE MAURO MASSIMO ft 45 del 18-03-2025.pdf"/>
    <s v="CAVLERA"/>
    <x v="27"/>
    <d v="2025-06-03T00:00:00"/>
    <n v="702.72"/>
    <m/>
    <m/>
  </r>
  <r>
    <m/>
    <x v="50"/>
    <s v="1A"/>
    <d v="2026-01-27T00:00:00"/>
    <m/>
    <x v="0"/>
    <x v="131"/>
    <m/>
    <s v="SERVIZI"/>
    <x v="4"/>
    <n v="3.52"/>
    <m/>
    <m/>
    <m/>
  </r>
  <r>
    <s v="entrare in BPM"/>
    <x v="51"/>
    <n v="10"/>
    <d v="2025-02-06T00:00:00"/>
    <m/>
    <x v="0"/>
    <x v="132"/>
    <s v="..\..\Acquisti\2025\EV\FATTURE\EV - CASALI NICOLA ft 10 del 06-02-2025.pdf"/>
    <s v="Bergamo, Via Ghislandi"/>
    <x v="7"/>
    <m/>
    <m/>
    <m/>
    <m/>
  </r>
  <r>
    <s v="entrare in BPM"/>
    <x v="51"/>
    <n v="10"/>
    <d v="2025-02-06T00:00:00"/>
    <m/>
    <x v="0"/>
    <x v="133"/>
    <s v="..\..\Acquisti\2025\EV\FATTURE\EV - CASALI NICOLA ft 10 del 06-02-2025.pdf"/>
    <s v="Bergamo, Via Ghislandi"/>
    <x v="7"/>
    <d v="2025-03-14T00:00:00"/>
    <n v="3500"/>
    <s v="BPM"/>
    <m/>
  </r>
  <r>
    <s v="CONTESTARE"/>
    <x v="51"/>
    <n v="10"/>
    <d v="2025-02-06T00:00:00"/>
    <m/>
    <x v="1"/>
    <x v="134"/>
    <s v="..\..\Acquisti\2025\EV\FATTURE\EV - CASALI NICOLA ft 10 del 06-02-2025.pdf"/>
    <s v="Bergamo, Via Ghislandi"/>
    <x v="7"/>
    <m/>
    <m/>
    <m/>
    <m/>
  </r>
  <r>
    <s v="DA PAGARE "/>
    <x v="52"/>
    <s v="ven0101001202"/>
    <d v="2025-12-16T00:00:00"/>
    <d v="2025-12-31T00:00:00"/>
    <x v="0"/>
    <x v="135"/>
    <m/>
    <s v="cesti formaggi "/>
    <x v="28"/>
    <m/>
    <n v="458"/>
    <m/>
    <m/>
  </r>
  <r>
    <s v="DA PAGARE "/>
    <x v="53"/>
    <n v="1002"/>
    <d v="2025-09-18T00:00:00"/>
    <d v="2025-03-11T00:00:00"/>
    <x v="0"/>
    <x v="136"/>
    <s v="..\..\Acquisti\2025\EV\FATTURE\EV - CAVALLINI &amp; PARTNERS ft 1002 del 18-09-2025.pdf"/>
    <s v="Apposizione visto di conformità realizzazione parcheggi in Via Ghislandi"/>
    <x v="7"/>
    <d v="2025-09-18T00:00:00"/>
    <n v="3933.18"/>
    <s v="BPER"/>
    <m/>
  </r>
  <r>
    <s v="DA PAGARE "/>
    <x v="54"/>
    <n v="13532"/>
    <d v="2025-08-27T00:00:00"/>
    <d v="2025-08-27T00:00:00"/>
    <x v="0"/>
    <x v="137"/>
    <s v="..\..\Acquisti\2025\EV\FATTURE\EV - CENPI SCRL ft 13532 del 27-08-2025.pdf"/>
    <s v="Verifica periodica gru"/>
    <x v="7"/>
    <d v="2025-11-28T00:00:00"/>
    <m/>
    <s v="BCC"/>
    <m/>
  </r>
  <r>
    <s v="carta "/>
    <x v="55"/>
    <s v="5/TE"/>
    <d v="2025-02-11T00:00:00"/>
    <m/>
    <x v="0"/>
    <x v="138"/>
    <s v="..\..\Acquisti\2025\EV\FATTURE\EV - CENTER CASA F.LLI DE CARIA ft 5 del 11-02-2025.pdf"/>
    <s v="VASO CUORE BIANCO "/>
    <x v="2"/>
    <m/>
    <m/>
    <m/>
    <m/>
  </r>
  <r>
    <s v="OK"/>
    <x v="56"/>
    <s v="001602/A25"/>
    <d v="2025-08-04T00:00:00"/>
    <m/>
    <x v="0"/>
    <x v="139"/>
    <s v="..\..\Acquisti\2025\EV\FATTURE\EV - CENTRO EDILIZIA ft 1602 del 04-08-2025.pdf"/>
    <s v="provini cls"/>
    <x v="3"/>
    <d v="2025-08-04T00:00:00"/>
    <n v="55.96"/>
    <s v="CARTA"/>
    <m/>
  </r>
  <r>
    <s v="OK"/>
    <x v="56"/>
    <s v="001753/A25"/>
    <d v="2025-09-03T00:00:00"/>
    <m/>
    <x v="0"/>
    <x v="140"/>
    <s v="..\..\Acquisti\2025\EV\FATTURE\EV - CENTRO EDILIZIA ft 1753 del 03-09-2025.pdf"/>
    <m/>
    <x v="3"/>
    <m/>
    <m/>
    <m/>
    <m/>
  </r>
  <r>
    <s v="OK"/>
    <x v="56"/>
    <s v="002199/A25"/>
    <d v="2025-11-05T00:00:00"/>
    <d v="2025-11-05T00:00:00"/>
    <x v="0"/>
    <x v="140"/>
    <m/>
    <s v="PROVINI PER CALCESTRUZZO BOX BORGIA "/>
    <x v="30"/>
    <m/>
    <n v="51.24"/>
    <m/>
    <m/>
  </r>
  <r>
    <m/>
    <x v="57"/>
    <s v="17/1036"/>
    <d v="2026-01-21T00:00:00"/>
    <m/>
    <x v="0"/>
    <x v="141"/>
    <m/>
    <s v="Big Arch | Menu - Double 1955 | Menu - COCACOLA 0,5L | Menu - Patate Grandi | Peroni non filtrata | NO Busta Manici"/>
    <x v="14"/>
    <n v="4.3599999999999994"/>
    <m/>
    <m/>
    <m/>
  </r>
  <r>
    <s v="OK"/>
    <x v="58"/>
    <n v="19018303"/>
    <d v="2025-01-28T00:00:00"/>
    <d v="2025-02-17T00:00:00"/>
    <x v="0"/>
    <x v="142"/>
    <s v="..\..\Acquisti\2025\EV\FATTURE\EV - CHIURLO SRL ft 19018303 del 28-01-2025.pdf"/>
    <s v="Torre Boldone, Via Kennedy"/>
    <x v="13"/>
    <d v="2025-02-17T00:00:00"/>
    <n v="450.51"/>
    <s v="BCC"/>
    <m/>
  </r>
  <r>
    <s v="OK"/>
    <x v="58"/>
    <n v="20250019038971"/>
    <d v="2025-02-26T00:00:00"/>
    <d v="2025-03-18T00:00:00"/>
    <x v="0"/>
    <x v="143"/>
    <s v="..\..\Acquisti\2025\EV\FATTURE\EV - CHIURLO SRL ft 19038971 del 26-02-2025.pdf"/>
    <s v="Torre Boldone, Via Kennedy"/>
    <x v="13"/>
    <d v="2025-03-18T00:00:00"/>
    <n v="1230.1500000000001"/>
    <s v="BCC"/>
    <m/>
  </r>
  <r>
    <s v="OK"/>
    <x v="58"/>
    <n v="20250019056741"/>
    <d v="2025-03-25T00:00:00"/>
    <d v="2025-04-14T00:00:00"/>
    <x v="0"/>
    <x v="144"/>
    <s v="..\..\Acquisti\2025\EV\FATTURE\EV - CHIURLO SRL ft 20250019056741 del 25-03-2025.pdf"/>
    <s v="Torre Boldone, via Kennedy"/>
    <x v="13"/>
    <d v="2025-04-14T00:00:00"/>
    <n v="37.86"/>
    <s v="BCC"/>
    <m/>
  </r>
  <r>
    <s v="OK"/>
    <x v="58"/>
    <n v="20250019054075"/>
    <d v="2025-03-25T00:00:00"/>
    <d v="2025-04-14T00:00:00"/>
    <x v="0"/>
    <x v="145"/>
    <s v="..\..\Acquisti\2025\EV\FATTURE\EV - CHIURLO SRL ft 20250019054075 del 25-03-2025.pdf"/>
    <s v="Torre Boldone, Via Kennedy"/>
    <x v="13"/>
    <d v="2025-04-17T00:00:00"/>
    <n v="225.75"/>
    <s v="BCC"/>
    <m/>
  </r>
  <r>
    <s v="OK"/>
    <x v="58"/>
    <n v="20250019081946"/>
    <d v="2025-04-28T00:00:00"/>
    <d v="2025-05-19T00:00:00"/>
    <x v="0"/>
    <x v="146"/>
    <s v="..\..\Acquisti\2025\EV\FATTURE\EV- CHIURLO SRL ft 19081946 del 28-04-2025.pdf"/>
    <s v="Torre Boldone, Via Kennedy"/>
    <x v="13"/>
    <d v="2025-05-19T00:00:00"/>
    <n v="265.18"/>
    <s v="BCC"/>
    <m/>
  </r>
  <r>
    <s v="OK"/>
    <x v="58"/>
    <n v="20250019087393"/>
    <d v="2025-05-27T00:00:00"/>
    <d v="2025-06-16T00:00:00"/>
    <x v="0"/>
    <x v="147"/>
    <s v="..\..\Acquisti\2025\EV\FATTURE\EV - CHIURLO SRL ft 19087393 del 27-05-2025.pdf"/>
    <s v="Torre Boldone, Via Kennedy"/>
    <x v="13"/>
    <d v="2025-06-16T00:00:00"/>
    <n v="37.49"/>
    <s v="BCC"/>
    <m/>
  </r>
  <r>
    <s v="OK"/>
    <x v="58"/>
    <s v="nc 20250019083273"/>
    <d v="2025-05-27T00:00:00"/>
    <m/>
    <x v="0"/>
    <x v="148"/>
    <s v="..\..\Acquisti\2025\EV\FATTURE\EV - CHIURLO SRL nc 19083273 del 27-05-2025.pdf"/>
    <s v="Torre Boldone, Via Kennedy"/>
    <x v="13"/>
    <m/>
    <n v="-82.19"/>
    <s v="NC"/>
    <m/>
  </r>
  <r>
    <s v="OK"/>
    <x v="58"/>
    <n v="20250019108792"/>
    <d v="2025-06-25T00:00:00"/>
    <d v="2025-07-15T00:00:00"/>
    <x v="0"/>
    <x v="149"/>
    <s v="..\..\Acquisti\2025\EV\FATTURE\EV - CHIURLO SRL ft 19108792 del 25-06-2025.pdf"/>
    <s v="Torre Boldone, Via Kennedy"/>
    <x v="13"/>
    <d v="2025-07-15T00:00:00"/>
    <n v="38.19"/>
    <s v="BCC"/>
    <m/>
  </r>
  <r>
    <s v="OK"/>
    <x v="58"/>
    <n v="20250019125088"/>
    <d v="2025-07-26T00:00:00"/>
    <d v="2025-08-18T00:00:00"/>
    <x v="0"/>
    <x v="150"/>
    <s v="..\..\Acquisti\2025\EV\FATTURE\EV - CHIURLO SRL ft 19125088 del 26-07-2025.pdf"/>
    <s v="Torre Boldone, via Kennedy"/>
    <x v="13"/>
    <d v="2025-08-18T00:00:00"/>
    <n v="145.81"/>
    <s v="BCC"/>
    <m/>
  </r>
  <r>
    <s v="OK"/>
    <x v="58"/>
    <n v="20250019145400"/>
    <d v="2025-08-26T00:00:00"/>
    <d v="2025-09-15T00:00:00"/>
    <x v="0"/>
    <x v="151"/>
    <s v="..\..\Acquisti\2025\EV\FATTURE\EV - CHIURLO SRL ft 19145400 del 26-08-2025.pdf"/>
    <s v="Torre Boldone, Via Kennedy"/>
    <x v="13"/>
    <d v="2025-09-15T00:00:00"/>
    <n v="10.84"/>
    <s v="BCC"/>
    <m/>
  </r>
  <r>
    <s v="OK"/>
    <x v="59"/>
    <s v="FIN NR 253841"/>
    <m/>
    <m/>
    <x v="0"/>
    <x v="152"/>
    <s v="TFR PRIORI "/>
    <s v="BONIFICO"/>
    <x v="31"/>
    <n v="1354.5"/>
    <s v="BCC 601460"/>
    <m/>
    <m/>
  </r>
  <r>
    <s v="OK"/>
    <x v="59"/>
    <s v="FIN NR 253841"/>
    <m/>
    <m/>
    <x v="0"/>
    <x v="152"/>
    <s v="TFR PRIORI "/>
    <s v="BONIFICO"/>
    <x v="31"/>
    <n v="1354.5"/>
    <s v="BCC 601460"/>
    <m/>
    <m/>
  </r>
  <r>
    <s v="OK"/>
    <x v="59"/>
    <s v="FIN NR 253841"/>
    <m/>
    <m/>
    <x v="1"/>
    <x v="152"/>
    <s v="TFR PRIORI "/>
    <s v="BONIFICO"/>
    <x v="32"/>
    <m/>
    <m/>
    <m/>
    <m/>
  </r>
  <r>
    <s v="OK"/>
    <x v="59"/>
    <s v="FIN NR 253841"/>
    <m/>
    <m/>
    <x v="1"/>
    <x v="152"/>
    <s v="TFR PRIORI "/>
    <s v="BONIFICO"/>
    <x v="33"/>
    <m/>
    <m/>
    <m/>
    <m/>
  </r>
  <r>
    <s v="OK"/>
    <x v="59"/>
    <s v="FIN NR 253841"/>
    <m/>
    <m/>
    <x v="1"/>
    <x v="152"/>
    <s v="TFR PRIORI "/>
    <s v="BONIFICO"/>
    <x v="34"/>
    <m/>
    <m/>
    <m/>
    <m/>
  </r>
  <r>
    <s v="OK"/>
    <x v="59"/>
    <s v="FIN NR 253841"/>
    <m/>
    <m/>
    <x v="1"/>
    <x v="152"/>
    <s v="TFR PRIORI "/>
    <s v="BONIFICO"/>
    <x v="35"/>
    <m/>
    <m/>
    <m/>
    <m/>
  </r>
  <r>
    <m/>
    <x v="60"/>
    <s v="283"/>
    <d v="2026-02-26T00:00:00"/>
    <d v="2026-02-26T00:00:00"/>
    <x v="1"/>
    <x v="153"/>
    <m/>
    <s v="Partecipante: 088156 RINALDI KRISTIAN_x000a_     03-02-2026 Corso: Formazione Base per Impiegate/i d'ufficio"/>
    <x v="16"/>
    <n v="14.08"/>
    <d v="2026-04-27T00:00:00"/>
    <m/>
    <m/>
  </r>
  <r>
    <s v="OK"/>
    <x v="61"/>
    <s v="vr 4980R/25"/>
    <d v="2025-11-13T00:00:00"/>
    <d v="2025-11-13T00:00:00"/>
    <x v="0"/>
    <x v="154"/>
    <m/>
    <s v="VERBALE NR 4980/R_ FIAT DUCATO GE350GF_ guidatore : Rinaldi G."/>
    <x v="0"/>
    <d v="2025-10-14T00:00:00"/>
    <n v="176.5"/>
    <s v="BCC 601460"/>
    <m/>
  </r>
  <r>
    <m/>
    <x v="62"/>
    <s v="VR 520856/V/2025"/>
    <d v="2025-12-03T00:00:00"/>
    <d v="2026-06-08T00:00:00"/>
    <x v="0"/>
    <x v="155"/>
    <m/>
    <s v="VERBALE NR 520856/V/2025  _ FIAT DOBLO' GD763GG"/>
    <x v="0"/>
    <d v="2025-12-15T00:00:00"/>
    <n v="35"/>
    <s v="BCC 601460"/>
    <m/>
  </r>
  <r>
    <m/>
    <x v="63"/>
    <s v="N° 5071G"/>
    <d v="2026-01-05T00:00:00"/>
    <d v="2026-01-05T00:00:00"/>
    <x v="0"/>
    <x v="156"/>
    <m/>
    <s v="AVVISO NR 5071G _  FL041BG_ DIVIETO DI SOSTA "/>
    <x v="0"/>
    <s v="701/2026"/>
    <n v="29.4"/>
    <s v="BCC 601460"/>
    <m/>
  </r>
  <r>
    <s v="OK"/>
    <x v="64"/>
    <s v="COD. AVV. 900219616-C/2025"/>
    <d v="2025-12-28T00:00:00"/>
    <d v="2025-12-28T00:00:00"/>
    <x v="0"/>
    <x v="157"/>
    <s v="MULTA DOBLO' GD763GG_ PARCHEGGIO SOPRA MARCIAPIEDE"/>
    <s v="CBILL"/>
    <x v="36"/>
    <n v="60.9"/>
    <s v="BCC 601460"/>
    <m/>
    <m/>
  </r>
  <r>
    <s v="OK"/>
    <x v="65"/>
    <s v="346"/>
    <d v="2025-11-17T00:00:00"/>
    <d v="2025-11-17T00:00:00"/>
    <x v="1"/>
    <x v="158"/>
    <m/>
    <s v="relazione ventennale notarile / Finale Ligure "/>
    <x v="8"/>
    <m/>
    <m/>
    <m/>
    <m/>
  </r>
  <r>
    <s v="carta "/>
    <x v="66"/>
    <n v="84"/>
    <d v="2025-08-01T00:00:00"/>
    <d v="2025-08-01T00:00:00"/>
    <x v="0"/>
    <x v="159"/>
    <s v="..\..\Acquisti\2025\EV\FATTURE\EV _ CONVENTO DEI NEVERI ft 84 del 01-08-2025.pdf"/>
    <s v="pranzo"/>
    <x v="3"/>
    <m/>
    <m/>
    <m/>
    <m/>
  </r>
  <r>
    <s v="pagato dove????"/>
    <x v="67"/>
    <n v="3"/>
    <d v="2025-01-28T00:00:00"/>
    <d v="2025-01-28T00:00:00"/>
    <x v="0"/>
    <x v="160"/>
    <s v="..\..\Acquisti\2025\EV\FATTURE\EV - CORNOLTI POSATORI SNC ft 3 del 28-01-2025.pdf"/>
    <s v="Bg, Via Ghislandi"/>
    <x v="7"/>
    <m/>
    <m/>
    <m/>
    <m/>
  </r>
  <r>
    <s v="pagamento inferiore alla fattura "/>
    <x v="68"/>
    <n v="29"/>
    <d v="2025-07-22T00:00:00"/>
    <d v="2025-07-22T00:00:00"/>
    <x v="0"/>
    <x v="161"/>
    <s v="..\..\Acquisti\2025\EV\FATTURE\EV - CORTINOVIS GIANLUIGI ft 29 del 22-07-2025.pdf"/>
    <s v="parcella per ricorso "/>
    <x v="7"/>
    <d v="2025-06-16T00:00:00"/>
    <n v="1068.8"/>
    <s v="BPM 1980"/>
    <m/>
  </r>
  <r>
    <s v="OK"/>
    <x v="68"/>
    <n v="46"/>
    <d v="2025-10-09T00:00:00"/>
    <d v="2025-10-09T00:00:00"/>
    <x v="0"/>
    <x v="162"/>
    <s v="..\..\Acquisti\2025\EV\FATTURE\EV - STUDIO TECNICO ARCH CORTINOVIS ft 46 del 09-10-2025.pdf"/>
    <s v="condominio Via Ghislandi"/>
    <x v="7"/>
    <d v="2025-10-15T00:00:00"/>
    <n v="3206.4"/>
    <s v="POP SO 2384X38"/>
    <m/>
  </r>
  <r>
    <s v="OK"/>
    <x v="68"/>
    <s v="45"/>
    <d v="2025-10-09T00:00:00"/>
    <d v="2025-10-09T00:00:00"/>
    <x v="0"/>
    <x v="163"/>
    <s v="..\..\Acquisti\2025\EV\FATTURE\EV - STUDIO TECNICO ARCH CORTINOVIS ft 45 del 09-10-2025.pdf"/>
    <s v="condominio redidenza vicolo 17"/>
    <x v="7"/>
    <d v="2025-06-18T00:00:00"/>
    <n v="1068.8"/>
    <s v="BPM - 1980"/>
    <m/>
  </r>
  <r>
    <s v="OK"/>
    <x v="68"/>
    <s v="45"/>
    <d v="2025-10-09T00:00:00"/>
    <d v="2025-10-09T00:00:00"/>
    <x v="1"/>
    <x v="164"/>
    <s v="..\..\Acquisti\2025\EV\FATTURE\EV - STUDIO TECNICO ARCH CORTINOVIS ft 45 del 09-10-2025.pdf"/>
    <s v="condominio redidenza vicolo 17"/>
    <x v="7"/>
    <m/>
    <m/>
    <m/>
    <m/>
  </r>
  <r>
    <s v="OK"/>
    <x v="68"/>
    <s v="55"/>
    <d v="2025-11-07T00:00:00"/>
    <d v="2025-11-07T00:00:00"/>
    <x v="1"/>
    <x v="165"/>
    <m/>
    <s v="condominio Via Ghislandi _ DOVEVA ESSERE COMPRESA NELLE FT PRECEDENTI "/>
    <x v="8"/>
    <m/>
    <n v="572.32000000000005"/>
    <m/>
    <m/>
  </r>
  <r>
    <m/>
    <x v="68"/>
    <s v="69"/>
    <d v="2025-12-28T00:00:00"/>
    <d v="2025-12-28T00:00:00"/>
    <x v="1"/>
    <x v="166"/>
    <m/>
    <s v="condominio Via Ghislandi "/>
    <x v="8"/>
    <m/>
    <m/>
    <m/>
    <m/>
  </r>
  <r>
    <m/>
    <x v="68"/>
    <s v="70"/>
    <d v="2025-12-28T00:00:00"/>
    <d v="2025-12-28T00:00:00"/>
    <x v="1"/>
    <x v="167"/>
    <m/>
    <s v="COND. RESIDENZA VICOLO 17_ TREVIOLO "/>
    <x v="8"/>
    <m/>
    <m/>
    <m/>
    <m/>
  </r>
  <r>
    <s v="pagato dove????"/>
    <x v="69"/>
    <n v="7"/>
    <d v="2025-02-17T00:00:00"/>
    <d v="2025-06-02T00:00:00"/>
    <x v="1"/>
    <x v="133"/>
    <s v="..\..\Acquisti\2025\EV\FATTURE\EV - COSTRUZIONI EDILI ALMICI ft 7 del 17-02-2025.pdf"/>
    <s v="Saldo per Via Ghislandi Bergamo"/>
    <x v="7"/>
    <m/>
    <m/>
    <m/>
    <m/>
  </r>
  <r>
    <s v="pagato dove????"/>
    <x v="69"/>
    <n v="43"/>
    <d v="2025-05-21T00:00:00"/>
    <d v="2025-06-02T00:00:00"/>
    <x v="1"/>
    <x v="168"/>
    <s v="..\..\Acquisti\2025\EV\FATTURE\EV - COSTRUZIONI EDILI ALMICI ft 43 del 21-05-2025.pdf"/>
    <s v="Scanzorosciate, Via Trento"/>
    <x v="7"/>
    <d v="2025-09-10T00:00:00"/>
    <s v="500acconto"/>
    <s v="bcc"/>
    <m/>
  </r>
  <r>
    <s v="pagato dove????"/>
    <x v="69"/>
    <n v="43"/>
    <d v="2025-05-21T00:00:00"/>
    <d v="2025-06-02T00:00:00"/>
    <x v="0"/>
    <x v="169"/>
    <s v="..\..\Acquisti\2025\EV\FATTURE\EV - COSTRUZIONI EDILI ALMICI ft 43 del 21-05-2025.pdf"/>
    <s v="Scanzorosciate, Via Trento"/>
    <x v="7"/>
    <d v="2025-09-10T00:00:00"/>
    <s v="500acconto+4000fatto da beppe + 4100 fatti 10/10/2025 da bcc"/>
    <s v="bcc"/>
    <m/>
  </r>
  <r>
    <s v="OK"/>
    <x v="70"/>
    <n v="111"/>
    <d v="2025-04-28T00:00:00"/>
    <d v="2025-07-10T00:00:00"/>
    <x v="0"/>
    <x v="170"/>
    <s v="..\..\Acquisti\2025\EV\FATTURE\EV - CRI.MER ft 111 del 28-04-2025.pdf"/>
    <s v="Scanzo, via Trento, 23"/>
    <x v="11"/>
    <d v="2025-08-11T00:00:00"/>
    <n v="1058"/>
    <s v="BCC 601460"/>
    <m/>
  </r>
  <r>
    <s v="contabile ? Pag dove?"/>
    <x v="70"/>
    <n v="111"/>
    <d v="2025-04-28T00:00:00"/>
    <d v="2025-08-10T00:00:00"/>
    <x v="0"/>
    <x v="170"/>
    <s v="..\..\Acquisti\2025\EV\FATTURE\EV - CRI.MER ft 111 del 28-04-2025.pdf"/>
    <s v="Scanzo, via Trento, 23"/>
    <x v="11"/>
    <d v="2025-09-10T00:00:00"/>
    <n v="1058"/>
    <s v="BCC 601460"/>
    <m/>
  </r>
  <r>
    <s v="pagata quando????da dove???"/>
    <x v="71"/>
    <n v="11"/>
    <d v="2025-02-10T00:00:00"/>
    <m/>
    <x v="0"/>
    <x v="171"/>
    <s v="..\..\Acquisti\2025\EV\FATTURE\EV - CUCCHI PETER ft 11 del 10-02-2025.pdf"/>
    <s v="Bergamo, Via Ghislandi"/>
    <x v="7"/>
    <m/>
    <m/>
    <m/>
    <m/>
  </r>
  <r>
    <s v="errata denominazione vedi nc 45"/>
    <x v="71"/>
    <n v="43"/>
    <d v="2025-08-28T00:00:00"/>
    <m/>
    <x v="0"/>
    <x v="172"/>
    <s v="..\..\Acquisti\2025\EV\FATTURE\EV - CUCCHI PETER ft 43 del 28-08-2025.pdf"/>
    <s v="Acconto progettazione strutturale Ranica"/>
    <x v="4"/>
    <m/>
    <m/>
    <m/>
    <m/>
  </r>
  <r>
    <m/>
    <x v="71"/>
    <s v="IN ATTESA DI FATTURA "/>
    <m/>
    <m/>
    <x v="0"/>
    <x v="173"/>
    <m/>
    <m/>
    <x v="4"/>
    <m/>
    <m/>
    <m/>
    <m/>
  </r>
  <r>
    <m/>
    <x v="71"/>
    <s v="IN ATTESA DI FATTURA "/>
    <m/>
    <m/>
    <x v="1"/>
    <x v="174"/>
    <s v="Acconto progettazione strutturale Ranica"/>
    <s v="Borgia box"/>
    <x v="4"/>
    <m/>
    <m/>
    <m/>
    <m/>
  </r>
  <r>
    <s v="da agganciare a ft 43"/>
    <x v="71"/>
    <s v="nc 45"/>
    <d v="2025-09-10T00:00:00"/>
    <m/>
    <x v="0"/>
    <x v="175"/>
    <s v="..\..\Acquisti\2025\EV\FATTURE\EV - CUCCHI PETER nc 45 del 10-09-2025.pdf"/>
    <s v="Storno fattura nr 43"/>
    <x v="4"/>
    <m/>
    <m/>
    <m/>
    <m/>
  </r>
  <r>
    <s v="OK"/>
    <x v="72"/>
    <n v="6001212656"/>
    <d v="2025-06-27T00:00:00"/>
    <d v="2025-07-31T00:00:00"/>
    <x v="0"/>
    <x v="176"/>
    <s v="..\..\Acquisti\2025\EV\FATTURE\EV - CULLIGAN ITALY ft 6001212656 del 27-06-2025.pdf"/>
    <s v="ufficio"/>
    <x v="13"/>
    <d v="2025-07-31T00:00:00"/>
    <n v="36.659999999999997"/>
    <s v="BCC 601460"/>
    <m/>
  </r>
  <r>
    <s v="OK"/>
    <x v="72"/>
    <n v="6001362155"/>
    <d v="2025-09-29T00:00:00"/>
    <d v="2025-10-31T00:00:00"/>
    <x v="0"/>
    <x v="176"/>
    <s v="..\..\Acquisti\2025\EV\FATTURE\EV - CULLIGAN ITALY ft 6001362155 del 29-09-2025.pdf"/>
    <s v="ufficio"/>
    <x v="13"/>
    <d v="2025-10-31T00:00:00"/>
    <n v="36.659999999999997"/>
    <s v="BCC 601461"/>
    <m/>
  </r>
  <r>
    <s v="DA CONTESTARE"/>
    <x v="72"/>
    <s v="6001448011"/>
    <d v="2025-11-27T00:00:00"/>
    <d v="2025-12-31T00:00:00"/>
    <x v="0"/>
    <x v="177"/>
    <m/>
    <s v="ufficio_ dal 01,11,2025 al 30,10,2026_ DA CONTESTARE "/>
    <x v="13"/>
    <d v="2025-12-31T00:00:00"/>
    <n v="111.58"/>
    <s v="BCC 601461"/>
    <m/>
  </r>
  <r>
    <s v="OK"/>
    <x v="73"/>
    <n v="147"/>
    <d v="2025-01-18T00:00:00"/>
    <d v="2025-01-18T00:00:00"/>
    <x v="0"/>
    <x v="178"/>
    <s v="..\..\Acquisti\2025\EV\FATTURE\EV - DA LEONE DI COSTA CARLO ft 147 del 18-01-2025.pdf"/>
    <s v="Mensa"/>
    <x v="4"/>
    <m/>
    <m/>
    <m/>
    <m/>
  </r>
  <r>
    <s v="OK"/>
    <x v="73"/>
    <n v="694"/>
    <d v="2025-03-18T00:00:00"/>
    <m/>
    <x v="0"/>
    <x v="178"/>
    <s v="..\..\Acquisti\2025\EV\FATTURE\EV - DA LEONE DI COSTA CARLO ft 694 del 18-03-2025.pdf"/>
    <s v="Pasto"/>
    <x v="4"/>
    <m/>
    <m/>
    <m/>
    <m/>
  </r>
  <r>
    <s v="OK"/>
    <x v="73"/>
    <n v="770"/>
    <d v="2025-03-22T00:00:00"/>
    <m/>
    <x v="0"/>
    <x v="179"/>
    <s v="..\..\Acquisti\2025\EV\FATTURE\EV - DA LEONE DI COSTA CARLO ft 770 del 22-03-2025.pdf"/>
    <s v="Pranzo"/>
    <x v="4"/>
    <m/>
    <m/>
    <m/>
    <m/>
  </r>
  <r>
    <s v="OK"/>
    <x v="73"/>
    <n v="822"/>
    <d v="2025-03-29T00:00:00"/>
    <m/>
    <x v="0"/>
    <x v="178"/>
    <s v="..\..\Acquisti\2025\EV\FATTURE\EV - DA LEONE DI COSTA CARLO ft 822 del 29-03-2025.pdf"/>
    <s v="Pranzo"/>
    <x v="4"/>
    <m/>
    <m/>
    <m/>
    <m/>
  </r>
  <r>
    <s v="OK"/>
    <x v="73"/>
    <n v="891"/>
    <d v="2025-04-05T00:00:00"/>
    <m/>
    <x v="0"/>
    <x v="178"/>
    <s v="..\..\Acquisti\2025\EV\FATTURE\EV - DA LEONE DI COSTA CARLO ft 891 del 05-04-2025.pdf"/>
    <s v="Pranzo"/>
    <x v="4"/>
    <m/>
    <m/>
    <m/>
    <m/>
  </r>
  <r>
    <s v="OK"/>
    <x v="73"/>
    <n v="926"/>
    <d v="2025-04-10T00:00:00"/>
    <m/>
    <x v="0"/>
    <x v="178"/>
    <s v="..\..\Acquisti\2025\EV\FATTURE\EV - DA LEONE DI COSTA CARLO ft 926 del 10-04-2025.pdf"/>
    <s v="Pranzo"/>
    <x v="4"/>
    <m/>
    <m/>
    <m/>
    <m/>
  </r>
  <r>
    <s v="OK"/>
    <x v="73"/>
    <n v="936"/>
    <d v="2025-04-11T00:00:00"/>
    <m/>
    <x v="0"/>
    <x v="180"/>
    <s v="..\..\Acquisti\2025\EV\FATTURE\EV - DA LEONE DI COSTA CARLO ft 936 del 11-04-2025.pdf"/>
    <s v="Pranzo"/>
    <x v="4"/>
    <m/>
    <m/>
    <m/>
    <m/>
  </r>
  <r>
    <s v="OK"/>
    <x v="73"/>
    <n v="948"/>
    <d v="2025-04-15T00:00:00"/>
    <m/>
    <x v="0"/>
    <x v="180"/>
    <s v="..\..\Acquisti\2025\EV\FATTURE\EV - DA LEONE DI COSTA CARLO ft 948 del 15-04-2025.pdf"/>
    <s v="pranzo"/>
    <x v="4"/>
    <m/>
    <m/>
    <m/>
    <m/>
  </r>
  <r>
    <s v="OK"/>
    <x v="73"/>
    <n v="960"/>
    <d v="2025-04-16T00:00:00"/>
    <m/>
    <x v="0"/>
    <x v="180"/>
    <s v="..\..\Acquisti\2025\EV\FATTURE\EV - DA LEONE DI COSTA CARLO ft 960 del 16-04-2025.pdf"/>
    <s v="pranzo"/>
    <x v="4"/>
    <m/>
    <m/>
    <m/>
    <m/>
  </r>
  <r>
    <s v="OK"/>
    <x v="73"/>
    <n v="974"/>
    <d v="2025-04-17T00:00:00"/>
    <m/>
    <x v="0"/>
    <x v="181"/>
    <s v="..\..\Acquisti\2025\EV\FATTURE\EV - DA LEONE DI COSTA CARLO ft 974 del 17-04-2025.pdf"/>
    <s v="pranzo"/>
    <x v="4"/>
    <m/>
    <m/>
    <m/>
    <m/>
  </r>
  <r>
    <s v="OK"/>
    <x v="73"/>
    <n v="987"/>
    <d v="2025-04-18T00:00:00"/>
    <m/>
    <x v="0"/>
    <x v="180"/>
    <s v="..\..\Acquisti\2025\EV\FATTURE\EV - DA LEONE DI COSTA CARLO ft 987 del 18-04-2025.pdf"/>
    <s v="pranzo"/>
    <x v="4"/>
    <m/>
    <m/>
    <m/>
    <m/>
  </r>
  <r>
    <s v="OK"/>
    <x v="73"/>
    <n v="1105"/>
    <d v="2025-05-07T00:00:00"/>
    <m/>
    <x v="0"/>
    <x v="178"/>
    <s v="..\..\Acquisti\2025\EV\FATTURE\EV - DA LEONE DI COSTA CARLO ft 1105 del 07-05-2025.pdf"/>
    <s v="pranzo"/>
    <x v="4"/>
    <m/>
    <m/>
    <m/>
    <m/>
  </r>
  <r>
    <s v="OK"/>
    <x v="73"/>
    <n v="1115"/>
    <d v="2025-05-08T00:00:00"/>
    <m/>
    <x v="0"/>
    <x v="178"/>
    <s v="..\..\Acquisti\2025\EV\FATTURE\EV - DA LEONE DI COSTA CARLO ft 1115 del 08-05-2025.pdf"/>
    <s v="pranzo"/>
    <x v="4"/>
    <m/>
    <m/>
    <m/>
    <m/>
  </r>
  <r>
    <s v="OK"/>
    <x v="73"/>
    <n v="1164"/>
    <d v="2025-05-13T00:00:00"/>
    <m/>
    <x v="0"/>
    <x v="179"/>
    <s v="..\..\Acquisti\2025\EV\FATTURE\EV - DA LEONE DI COSTA CARLO ft 1164 del 13-05-2025.pdf"/>
    <s v="Pranzo"/>
    <x v="4"/>
    <m/>
    <m/>
    <m/>
    <m/>
  </r>
  <r>
    <s v="OK"/>
    <x v="73"/>
    <n v="1180"/>
    <d v="2025-05-14T00:00:00"/>
    <m/>
    <x v="0"/>
    <x v="179"/>
    <s v="..\..\Acquisti\2025\EV\FATTURE\EV - DA LEONE DI COSTA CARLO ft 1180 del 14-05-2025.pdf"/>
    <s v="Pranzo"/>
    <x v="4"/>
    <m/>
    <m/>
    <m/>
    <m/>
  </r>
  <r>
    <s v="OK"/>
    <x v="73"/>
    <n v="1365"/>
    <d v="2025-05-31T00:00:00"/>
    <m/>
    <x v="0"/>
    <x v="182"/>
    <s v="..\..\Acquisti\2025\EV\FATTURE\EV - DA LEONE DI COSTA CARLO ft 1365 del 31-05-2025.pdf"/>
    <s v="Pranzo"/>
    <x v="4"/>
    <m/>
    <m/>
    <m/>
    <m/>
  </r>
  <r>
    <s v="OK"/>
    <x v="73"/>
    <n v="1653"/>
    <d v="2025-07-01T00:00:00"/>
    <m/>
    <x v="0"/>
    <x v="183"/>
    <s v="..\..\Acquisti\2025\EV\FATTURE\EV - DA LEONE DI COSTA CARLO ft 1653 del 01-07-2025.pdf"/>
    <s v="Pranzo"/>
    <x v="4"/>
    <m/>
    <m/>
    <m/>
    <m/>
  </r>
  <r>
    <s v="OK"/>
    <x v="73"/>
    <n v="1647"/>
    <d v="2025-07-01T00:00:00"/>
    <m/>
    <x v="0"/>
    <x v="183"/>
    <s v="..\..\Acquisti\2025\EV\FATTURE\EV - DA LEONE DI COSTA CARLO ft 1647 del 01-07-2025.pdf"/>
    <s v="Pranzo"/>
    <x v="4"/>
    <m/>
    <m/>
    <m/>
    <m/>
  </r>
  <r>
    <s v="OK"/>
    <x v="73"/>
    <s v="nc 1652"/>
    <d v="2025-07-01T00:00:00"/>
    <m/>
    <x v="0"/>
    <x v="184"/>
    <s v="..\..\Acquisti\2025\EV\FATTURE\EV - DA LEONE DI COSTA CARLO nc 1652 del 01-07-2025.pdf"/>
    <s v="storno fattura nr 1647"/>
    <x v="4"/>
    <m/>
    <m/>
    <m/>
    <m/>
  </r>
  <r>
    <s v="OK"/>
    <x v="73"/>
    <n v="2180"/>
    <d v="2025-09-19T00:00:00"/>
    <m/>
    <x v="0"/>
    <x v="178"/>
    <s v="..\..\Acquisti\2025\EV\FATTURE\EV - DA LEONE DI COSTA CARLO ft 2180 del 19-09-2025.pdf"/>
    <s v="pranzo"/>
    <x v="4"/>
    <m/>
    <m/>
    <m/>
    <m/>
  </r>
  <r>
    <m/>
    <x v="74"/>
    <s v="bo"/>
    <m/>
    <m/>
    <x v="1"/>
    <x v="185"/>
    <m/>
    <m/>
    <x v="4"/>
    <m/>
    <m/>
    <m/>
    <m/>
  </r>
  <r>
    <s v="MANCA FATTURA E DATI "/>
    <x v="75"/>
    <m/>
    <m/>
    <m/>
    <x v="0"/>
    <x v="69"/>
    <m/>
    <m/>
    <x v="8"/>
    <d v="2025-10-27T00:00:00"/>
    <n v="2000"/>
    <s v="POP SO 2384X38"/>
    <m/>
  </r>
  <r>
    <s v="MANCA FATTURA E DATI "/>
    <x v="75"/>
    <s v="2023/2024"/>
    <m/>
    <d v="2025-10-27T00:00:00"/>
    <x v="0"/>
    <x v="69"/>
    <s v="C/FATTURE "/>
    <s v="BONIFICO "/>
    <x v="37"/>
    <n v="2000"/>
    <s v="POP SO 2384X38"/>
    <m/>
    <m/>
  </r>
  <r>
    <s v="MANCA FATTURA E DATI "/>
    <x v="75"/>
    <s v="2023/2024"/>
    <m/>
    <d v="2026-01-19T00:00:00"/>
    <x v="0"/>
    <x v="69"/>
    <s v="C/FATTURE "/>
    <s v="BONIFICO "/>
    <x v="38"/>
    <n v="2000"/>
    <s v="BCC 601460"/>
    <m/>
    <m/>
  </r>
  <r>
    <s v="ok"/>
    <x v="76"/>
    <n v="17"/>
    <d v="2025-01-31T00:00:00"/>
    <d v="2025-01-31T00:00:00"/>
    <x v="0"/>
    <x v="97"/>
    <s v="..\..\Acquisti\2025\EV\FATTURE\EV- DELTA SRL ft 17 del 31-01-2025.pdf"/>
    <s v="Bergamo, Via Ghislandi"/>
    <x v="7"/>
    <d v="2025-02-24T00:00:00"/>
    <n v="5000"/>
    <s v="BPM"/>
    <m/>
  </r>
  <r>
    <s v="ok"/>
    <x v="76"/>
    <n v="17"/>
    <d v="2025-01-31T00:00:00"/>
    <d v="2025-01-31T00:00:00"/>
    <x v="0"/>
    <x v="186"/>
    <s v="..\..\Acquisti\2025\EV\FATTURE\EV- DELTA SRL ft 17 del 31-01-2025.pdf"/>
    <s v="Bergamo, Via Ghislandi"/>
    <x v="7"/>
    <d v="2025-05-14T00:00:00"/>
    <n v="4000"/>
    <s v="BCC"/>
    <m/>
  </r>
  <r>
    <s v="ok"/>
    <x v="77"/>
    <s v="522000140P"/>
    <d v="2025-01-30T00:00:00"/>
    <d v="2025-01-30T00:00:00"/>
    <x v="0"/>
    <x v="187"/>
    <s v="..\..\Acquisti\2025\EV\FATTURE\EV - DEUTSCHORDENSSCHWESTERN LANA ft 140 del 30-01-2025.pdf"/>
    <s v="Soste parcheggi"/>
    <x v="13"/>
    <d v="2025-01-30T00:00:00"/>
    <n v="2.8"/>
    <s v="banca popolare di sondrio 2384x38"/>
    <m/>
  </r>
  <r>
    <n v="2024"/>
    <x v="78"/>
    <s v="00124FT03300705"/>
    <d v="2024-12-11T00:00:00"/>
    <d v="2024-12-31T00:00:00"/>
    <x v="0"/>
    <x v="188"/>
    <s v="C:\Users\Ufficio\Desktop\Amministrazione\Acquisti\2024\EV\Fatture\EV- Duferco ft 705 del 11-12-2024.pdf"/>
    <s v="Bergamo, Via Ghislandi"/>
    <x v="39"/>
    <m/>
    <m/>
    <s v="pag con conciliazine il 27/10/2025"/>
    <m/>
  </r>
  <r>
    <s v="pagata dove ?? Contabile ??"/>
    <x v="78"/>
    <s v="00125FT00087343"/>
    <d v="2025-01-13T00:00:00"/>
    <d v="2025-02-03T00:00:00"/>
    <x v="0"/>
    <x v="189"/>
    <s v="..\..\Acquisti\2025\EV\FATTURE\EV - DUFERCO ft 87343 del 13-01-2025.pdf"/>
    <s v="Bg, Via Ghislandi"/>
    <x v="39"/>
    <m/>
    <m/>
    <s v="pag con conciliazine il 27/10/2025"/>
    <m/>
  </r>
  <r>
    <s v="pagata dove ?? Contabile ??"/>
    <x v="78"/>
    <s v="00125FT00393783"/>
    <d v="2025-02-10T00:00:00"/>
    <d v="2025-03-03T00:00:00"/>
    <x v="0"/>
    <x v="190"/>
    <s v="..\..\Acquisti\2025\EV\FATTURE\EV - DUFERCO ft 00125FT00393783 del 10-02-2025.pdf"/>
    <s v="Bergamo, Via Ghislandi"/>
    <x v="39"/>
    <m/>
    <m/>
    <s v="pag con conciliazine il 27/10/2025"/>
    <m/>
  </r>
  <r>
    <s v="MANCA NO DATI E FT "/>
    <x v="78"/>
    <s v="conciliazione "/>
    <m/>
    <m/>
    <x v="0"/>
    <x v="191"/>
    <m/>
    <s v="ACCORDO CONCILIATIVO PRATICA 176076_  ft 705-343-783 2024/2025"/>
    <x v="8"/>
    <d v="2025-10-27T00:00:00"/>
    <n v="400"/>
    <s v="POP SO 2384X38"/>
    <m/>
  </r>
  <r>
    <s v="DA PAGARE "/>
    <x v="78"/>
    <s v="00125FT04478151"/>
    <d v="2025-12-10T00:00:00"/>
    <d v="2025-12-30T00:00:00"/>
    <x v="0"/>
    <x v="192"/>
    <m/>
    <s v="MORA RITARDI PAGAMENTI "/>
    <x v="40"/>
    <d v="2026-01-29T00:00:00"/>
    <n v="48.78"/>
    <m/>
    <m/>
  </r>
  <r>
    <m/>
    <x v="79"/>
    <s v="40064096"/>
    <d v="2025-04-01T00:00:00"/>
    <m/>
    <x v="0"/>
    <x v="193"/>
    <s v="..\..\Acquisti\2025\EV\FATTURE\EV - EON ENERGIA ft 40064096 del 01-04-2025.pdf"/>
    <m/>
    <x v="13"/>
    <d v="2025-04-29T00:00:00"/>
    <m/>
    <m/>
    <m/>
  </r>
  <r>
    <m/>
    <x v="79"/>
    <s v="40148857"/>
    <d v="2025-08-01T00:00:00"/>
    <m/>
    <x v="0"/>
    <x v="193"/>
    <s v="..\..\Acquisti\2025\EV\FATTURE\EV - EON ENERGIA ft 40148857 del 01-08-2025.pdf"/>
    <m/>
    <x v="13"/>
    <m/>
    <m/>
    <m/>
    <m/>
  </r>
  <r>
    <s v="DOVE SCENDE? "/>
    <x v="79"/>
    <s v="40240519"/>
    <d v="2025-12-01T00:00:00"/>
    <d v="2025-12-31T00:00:00"/>
    <x v="0"/>
    <x v="194"/>
    <m/>
    <s v="CNTR 89397422 _ DAL 1/07/2025 AL 01/12/2025"/>
    <x v="13"/>
    <d v="2025-12-31T00:00:00"/>
    <n v="81"/>
    <s v="bcc"/>
    <m/>
  </r>
  <r>
    <s v="DOVE SCENDE? "/>
    <x v="79"/>
    <s v="40240519"/>
    <d v="2025-12-01T00:00:00"/>
    <d v="2025-12-31T00:00:00"/>
    <x v="0"/>
    <x v="194"/>
    <m/>
    <s v="CNTR 89397422 _ DAL 1/07/2025 AL 01/12/2025"/>
    <x v="13"/>
    <d v="2025-12-31T00:00:00"/>
    <n v="81"/>
    <s v="??????"/>
    <m/>
  </r>
  <r>
    <m/>
    <x v="80"/>
    <n v="20"/>
    <d v="2025-01-31T00:00:00"/>
    <d v="2025-03-10T00:00:00"/>
    <x v="0"/>
    <x v="195"/>
    <s v="..\..\Acquisti\2025\EV\FATTURE\EV - ECOBERG SRL ft 20 del 31-01-2025.pdf"/>
    <s v="Bergamo, Via Ghislandi"/>
    <x v="7"/>
    <d v="2025-03-14T00:00:00"/>
    <n v="638.42999999999995"/>
    <s v="BPM"/>
    <m/>
  </r>
  <r>
    <m/>
    <x v="80"/>
    <n v="106"/>
    <d v="2025-02-28T00:00:00"/>
    <d v="2025-04-10T00:00:00"/>
    <x v="0"/>
    <x v="196"/>
    <s v="..\..\Acquisti\2025\EV\FATTURE\EV - ECOBERG SRL ft 106 del 28-02-2025.pdf"/>
    <s v="Torre Boldone, via Kennedy"/>
    <x v="11"/>
    <d v="2025-04-10T00:00:00"/>
    <n v="489.71"/>
    <m/>
    <m/>
  </r>
  <r>
    <m/>
    <x v="80"/>
    <n v="173"/>
    <d v="2025-03-31T00:00:00"/>
    <m/>
    <x v="1"/>
    <x v="197"/>
    <m/>
    <m/>
    <x v="4"/>
    <m/>
    <m/>
    <m/>
    <m/>
  </r>
  <r>
    <m/>
    <x v="80"/>
    <n v="287"/>
    <d v="2025-05-31T00:00:00"/>
    <d v="2025-07-10T00:00:00"/>
    <x v="0"/>
    <x v="198"/>
    <s v="..\..\Acquisti\2025\EV\FATTURE\EV - ECOBERG ft 287 del 31-05-2025.pdf"/>
    <s v="Torre Boldone, Via Gaito"/>
    <x v="11"/>
    <m/>
    <m/>
    <m/>
    <m/>
  </r>
  <r>
    <m/>
    <x v="80"/>
    <n v="465"/>
    <d v="2025-07-31T00:00:00"/>
    <d v="2025-09-10T00:00:00"/>
    <x v="0"/>
    <x v="199"/>
    <s v="..\..\Acquisti\2025\EV\FATTURE\EV - ECOBERG ft 465 del 31-07-2025.pdf"/>
    <s v="Torre Boldone, via Gaito"/>
    <x v="11"/>
    <m/>
    <m/>
    <m/>
    <m/>
  </r>
  <r>
    <m/>
    <x v="81"/>
    <s v="7424"/>
    <d v="2024-12-12T00:00:00"/>
    <d v="2025-02-10T00:00:00"/>
    <x v="0"/>
    <x v="200"/>
    <s v="C:\Users\Ufficio\Desktop\Amministrazione\Acquisti\2024\EV\Fatture\EV - ECOTAURUS ft 7424 del 12-12-2024.pdf"/>
    <s v="Kennedy, Torre Boldone"/>
    <x v="29"/>
    <m/>
    <m/>
    <m/>
    <m/>
  </r>
  <r>
    <m/>
    <x v="81"/>
    <s v="7511"/>
    <d v="2024-12-17T00:00:00"/>
    <d v="2025-02-15T00:00:00"/>
    <x v="0"/>
    <x v="200"/>
    <s v="C:\Users\Ufficio\Desktop\Amministrazione\Acquisti\2024\EV\Fatture\EV - ECOTAURUS ft 7511 del 17-12-2024.pdf"/>
    <s v="Bergamo, Via Ghislandi"/>
    <x v="7"/>
    <m/>
    <m/>
    <m/>
    <m/>
  </r>
  <r>
    <m/>
    <x v="81"/>
    <n v="196"/>
    <d v="2025-01-09T00:00:00"/>
    <d v="2025-03-31T00:00:00"/>
    <x v="0"/>
    <x v="200"/>
    <s v="..\..\Acquisti\2025\EV\FATTURE\EV - ECOTAURUS ft 196 del 09-01-2025.pdf"/>
    <s v="Torre Boldone, Via Kennedy"/>
    <x v="7"/>
    <m/>
    <m/>
    <m/>
    <m/>
  </r>
  <r>
    <m/>
    <x v="81"/>
    <n v="293"/>
    <d v="2025-01-14T00:00:00"/>
    <d v="2025-03-31T00:00:00"/>
    <x v="0"/>
    <x v="200"/>
    <s v="..\..\Acquisti\2025\EV\FATTURE\EV - ECOTAURUS ft 293 del 14-01-2025.pdf"/>
    <s v="Bergamo, Via Ghislandi"/>
    <x v="7"/>
    <m/>
    <m/>
    <m/>
    <m/>
  </r>
  <r>
    <m/>
    <x v="81"/>
    <n v="810"/>
    <d v="2025-02-06T00:00:00"/>
    <m/>
    <x v="0"/>
    <x v="200"/>
    <s v="..\..\Acquisti\2025\EV\FATTURE\EV - ESCOTAURUS SRL  ft 810 del 06-02-2025.pdf"/>
    <s v="Torre Boldone, Via Kennedy"/>
    <x v="7"/>
    <m/>
    <m/>
    <m/>
    <m/>
  </r>
  <r>
    <m/>
    <x v="81"/>
    <n v="905"/>
    <d v="2025-02-11T00:00:00"/>
    <m/>
    <x v="0"/>
    <x v="200"/>
    <s v="..\..\Acquisti\2025\EV\FATTURE\EV - ECOTAURUS ft 905 del 11-02-2025.pdf"/>
    <s v="Bergamo,  Via ghislandi"/>
    <x v="7"/>
    <m/>
    <m/>
    <m/>
    <m/>
  </r>
  <r>
    <m/>
    <x v="81"/>
    <n v="1426"/>
    <d v="2025-03-06T00:00:00"/>
    <m/>
    <x v="0"/>
    <x v="200"/>
    <s v="..\..\Acquisti\2025\EV\FATTURE\EV - ECOTAURUS ft 1426 del 06-0-2025.pdf"/>
    <s v="Torre Boldone, Via Kennedy"/>
    <x v="7"/>
    <m/>
    <m/>
    <m/>
    <m/>
  </r>
  <r>
    <m/>
    <x v="81"/>
    <n v="2078"/>
    <d v="2025-04-03T00:00:00"/>
    <m/>
    <x v="0"/>
    <x v="200"/>
    <s v="..\..\Acquisti\2025\EV\FATTURE\EV - ECOTAURUS ft 2078 del 03-04-2025.pdf"/>
    <s v="Torre Boldone, Via Kennedy"/>
    <x v="7"/>
    <d v="2025-11-10T00:00:00"/>
    <n v="634.4"/>
    <s v="bcc"/>
    <m/>
  </r>
  <r>
    <m/>
    <x v="81"/>
    <n v="2723"/>
    <d v="2025-05-01T00:00:00"/>
    <m/>
    <x v="0"/>
    <x v="200"/>
    <s v="..\..\Acquisti\2025\EV\FATTURE\EV - ECOTAURUS ft 2723 del 01-05-2025.pdf"/>
    <s v="Torre Boldone, Via Kennedy"/>
    <x v="7"/>
    <d v="2025-11-10T00:00:00"/>
    <n v="634.4"/>
    <s v="bcc"/>
    <m/>
  </r>
  <r>
    <m/>
    <x v="81"/>
    <n v="3394"/>
    <d v="2025-05-29T00:00:00"/>
    <m/>
    <x v="0"/>
    <x v="200"/>
    <s v="..\..\Acquisti\2025\EV\FATTURE\EV - ECOTAURUS ft 3394 del 29-05-2025.pdf"/>
    <s v="Torre Boldone, Via Kennedy"/>
    <x v="7"/>
    <d v="2025-11-10T00:00:00"/>
    <n v="634.4"/>
    <s v="bcc"/>
    <m/>
  </r>
  <r>
    <m/>
    <x v="81"/>
    <n v="4108"/>
    <d v="2025-06-26T00:00:00"/>
    <m/>
    <x v="0"/>
    <x v="200"/>
    <s v="..\..\Acquisti\2025\EV\FATTURE\EV - CHIURLO SRL ft 19108792 del 25-06-2025.pdf"/>
    <s v="Torre Boldone, via Kennedy"/>
    <x v="7"/>
    <d v="2025-11-10T00:00:00"/>
    <n v="634.4"/>
    <s v="bcc"/>
    <m/>
  </r>
  <r>
    <m/>
    <x v="82"/>
    <s v="66"/>
    <d v="2025-12-31T00:00:00"/>
    <d v="2025-12-31T00:00:00"/>
    <x v="1"/>
    <x v="201"/>
    <m/>
    <s v="LAVORI DI POSA LASTRE FIBROCEMENTO A CORPO ESEGUITI - PRESSO VOSTRO CANTIERE DI SORISOLE | LAVORI DI POSA COPPI DI COPERTURA A CORPO ESEGUITI - PRESSO VS CANTIERE DI SORISOLE"/>
    <x v="16"/>
    <m/>
    <d v="2026-03-01T00:00:00"/>
    <m/>
    <m/>
  </r>
  <r>
    <m/>
    <x v="83"/>
    <s v="pregressi edilcassa"/>
    <m/>
    <m/>
    <x v="0"/>
    <x v="202"/>
    <m/>
    <s v="settembre-ottobre-novembre-dicembre-gennaio"/>
    <x v="41"/>
    <m/>
    <m/>
    <m/>
    <m/>
  </r>
  <r>
    <m/>
    <x v="83"/>
    <m/>
    <m/>
    <d v="2025-02-25T00:00:00"/>
    <x v="0"/>
    <x v="203"/>
    <s v="C:\Users\Ufficio\Documents\20250224161941543.pdf"/>
    <m/>
    <x v="7"/>
    <d v="2025-06-18T00:00:00"/>
    <n v="4000"/>
    <s v="BCC"/>
    <m/>
  </r>
  <r>
    <m/>
    <x v="83"/>
    <m/>
    <m/>
    <d v="2025-03-20T00:00:00"/>
    <x v="0"/>
    <x v="204"/>
    <m/>
    <m/>
    <x v="7"/>
    <d v="2025-06-18T00:00:00"/>
    <n v="4000"/>
    <s v="BCC"/>
    <m/>
  </r>
  <r>
    <m/>
    <x v="83"/>
    <m/>
    <m/>
    <d v="2025-04-22T00:00:00"/>
    <x v="0"/>
    <x v="205"/>
    <m/>
    <m/>
    <x v="7"/>
    <d v="2025-06-18T00:00:00"/>
    <n v="2175.13"/>
    <s v="BPM"/>
    <m/>
  </r>
  <r>
    <m/>
    <x v="83"/>
    <m/>
    <m/>
    <d v="2025-04-22T00:00:00"/>
    <x v="0"/>
    <x v="206"/>
    <m/>
    <m/>
    <x v="7"/>
    <d v="2025-06-18T00:00:00"/>
    <n v="2175.13"/>
    <s v="BPM"/>
    <m/>
  </r>
  <r>
    <m/>
    <x v="83"/>
    <m/>
    <m/>
    <d v="2025-05-20T00:00:00"/>
    <x v="0"/>
    <x v="207"/>
    <m/>
    <m/>
    <x v="7"/>
    <m/>
    <m/>
    <m/>
    <m/>
  </r>
  <r>
    <m/>
    <x v="83"/>
    <m/>
    <m/>
    <d v="2025-05-20T00:00:00"/>
    <x v="0"/>
    <x v="208"/>
    <m/>
    <m/>
    <x v="7"/>
    <m/>
    <m/>
    <m/>
    <m/>
  </r>
  <r>
    <m/>
    <x v="83"/>
    <m/>
    <m/>
    <d v="2025-07-21T00:00:00"/>
    <x v="0"/>
    <x v="209"/>
    <m/>
    <m/>
    <x v="7"/>
    <m/>
    <m/>
    <s v="CESSIONE CREDITO 24300 PLATFON"/>
    <m/>
  </r>
  <r>
    <m/>
    <x v="83"/>
    <m/>
    <m/>
    <m/>
    <x v="0"/>
    <x v="210"/>
    <m/>
    <m/>
    <x v="7"/>
    <m/>
    <n v="2458.96"/>
    <n v="45945"/>
    <m/>
  </r>
  <r>
    <m/>
    <x v="83"/>
    <m/>
    <m/>
    <m/>
    <x v="0"/>
    <x v="211"/>
    <m/>
    <s v="primo assegno"/>
    <x v="41"/>
    <m/>
    <m/>
    <s v="31/11/2025"/>
    <m/>
  </r>
  <r>
    <m/>
    <x v="83"/>
    <m/>
    <m/>
    <m/>
    <x v="0"/>
    <x v="211"/>
    <s v="assegni"/>
    <s v="secondo assegno"/>
    <x v="41"/>
    <m/>
    <m/>
    <d v="2025-12-31T00:00:00"/>
    <m/>
  </r>
  <r>
    <m/>
    <x v="83"/>
    <m/>
    <m/>
    <m/>
    <x v="0"/>
    <x v="211"/>
    <m/>
    <s v="terzo assegno"/>
    <x v="41"/>
    <m/>
    <m/>
    <d v="2025-01-30T00:00:00"/>
    <m/>
  </r>
  <r>
    <m/>
    <x v="83"/>
    <m/>
    <m/>
    <m/>
    <x v="0"/>
    <x v="211"/>
    <m/>
    <s v="quarto assegno"/>
    <x v="41"/>
    <m/>
    <m/>
    <d v="2025-02-28T00:00:00"/>
    <m/>
  </r>
  <r>
    <m/>
    <x v="83"/>
    <m/>
    <m/>
    <m/>
    <x v="1"/>
    <x v="211"/>
    <m/>
    <s v="quinto assegno"/>
    <x v="41"/>
    <m/>
    <m/>
    <d v="2025-03-30T00:00:00"/>
    <m/>
  </r>
  <r>
    <m/>
    <x v="83"/>
    <s v="1025007776A"/>
    <m/>
    <d v="2025-11-20T00:00:00"/>
    <x v="0"/>
    <x v="212"/>
    <m/>
    <s v="01/10/2025"/>
    <x v="8"/>
    <m/>
    <n v="1423"/>
    <n v="45978"/>
    <m/>
  </r>
  <r>
    <s v="ok"/>
    <x v="83"/>
    <s v="112500776A"/>
    <d v="2025-12-22T00:00:00"/>
    <d v="2025-11-01T00:00:00"/>
    <x v="0"/>
    <x v="213"/>
    <m/>
    <s v="PERIODO CONTR. NOVEMBRE 2025"/>
    <x v="4"/>
    <m/>
    <m/>
    <m/>
    <m/>
  </r>
  <r>
    <s v="DA PAGARE "/>
    <x v="83"/>
    <s v="PROT AM/60  752/25"/>
    <m/>
    <m/>
    <x v="0"/>
    <x v="214"/>
    <m/>
    <s v="PERIODO CONTRIBUTIVO SETTEMBRE 2025"/>
    <x v="4"/>
    <m/>
    <m/>
    <m/>
    <m/>
  </r>
  <r>
    <s v="OK"/>
    <x v="83"/>
    <s v="122500776A"/>
    <d v="2025-01-20T00:00:00"/>
    <d v="2025-01-20T00:00:00"/>
    <x v="0"/>
    <x v="215"/>
    <s v="PERIODO CONTR. DICEMBRE 2025"/>
    <s v="Bonifico"/>
    <x v="42"/>
    <n v="1053.32"/>
    <s v="BPER 80875"/>
    <m/>
    <m/>
  </r>
  <r>
    <s v="Ok"/>
    <x v="84"/>
    <n v="46"/>
    <d v="2025-01-15T00:00:00"/>
    <m/>
    <x v="0"/>
    <x v="216"/>
    <s v="..\..\Acquisti\2025\EV\FATTURE\EV - EDILCOMMERCIO ft 46 del 15-01-2025.pdf"/>
    <m/>
    <x v="43"/>
    <m/>
    <m/>
    <s v="CAMBIALE DI 3389.34 DEL 10/06/2025"/>
    <m/>
  </r>
  <r>
    <s v="Ok"/>
    <x v="84"/>
    <n v="46"/>
    <d v="2025-01-15T00:00:00"/>
    <m/>
    <x v="0"/>
    <x v="217"/>
    <s v="..\..\Acquisti\2025\EV\FATTURE\EV - EDILCOMMERCIO ft 46 del 15-01-2025.pdf"/>
    <m/>
    <x v="43"/>
    <m/>
    <m/>
    <s v="CESSIONE CREDITO 24300 PLATFON"/>
    <m/>
  </r>
  <r>
    <s v="Ok"/>
    <x v="84"/>
    <n v="159"/>
    <d v="2025-01-31T00:00:00"/>
    <m/>
    <x v="0"/>
    <x v="218"/>
    <s v="..\..\Acquisti\2025\EV\FATTURE\EV- EDILCOMMERCIO ft 159 del 31-01-2025.pdf"/>
    <m/>
    <x v="43"/>
    <m/>
    <m/>
    <s v="CAMBIALE DI 3389.34 DEL 10/06/2025"/>
    <m/>
  </r>
  <r>
    <s v="Ok"/>
    <x v="84"/>
    <n v="159"/>
    <d v="2025-01-31T00:00:00"/>
    <m/>
    <x v="0"/>
    <x v="219"/>
    <s v="..\..\Acquisti\2025\EV\FATTURE\EV- EDILCOMMERCIO ft 159 del 31-01-2025.pdf"/>
    <m/>
    <x v="43"/>
    <m/>
    <m/>
    <s v="CAMBIALE DI 9542,30 DEL 10/03/2025"/>
    <m/>
  </r>
  <r>
    <s v="Ok"/>
    <x v="84"/>
    <s v="2068/2024"/>
    <d v="2024-10-15T00:00:00"/>
    <d v="2024-10-15T00:00:00"/>
    <x v="0"/>
    <x v="220"/>
    <s v="C:\Users\Ufficio\Desktop\Amministrazione\Acquisti\2024\EV\Fatture\EV - EDILCOMMERCIO ft 2068 del 15-10-2024.pdf"/>
    <s v="TB, BG,Magazzino"/>
    <x v="43"/>
    <m/>
    <m/>
    <s v="CAMBIALE DI 9542,30 DEL 10/03/2025"/>
    <m/>
  </r>
  <r>
    <s v="Ok"/>
    <x v="84"/>
    <s v="2190/2024"/>
    <d v="2024-10-31T00:00:00"/>
    <d v="2024-10-31T00:00:00"/>
    <x v="0"/>
    <x v="221"/>
    <s v="C:\Users\Ufficio\Desktop\Amministrazione\Acquisti\2024\EV\Fatture\EV - EDILCOMMERCIO ft 2190 del 31-10-2024.pdf"/>
    <s v="TB, Bg, Vertova, Colzate"/>
    <x v="43"/>
    <m/>
    <m/>
    <s v="CAMBIALE DI 8898,21 del 10/04/2025"/>
    <m/>
  </r>
  <r>
    <s v="Ok"/>
    <x v="84"/>
    <s v="2430/2024"/>
    <d v="2024-11-30T00:00:00"/>
    <d v="2025-04-10T00:00:00"/>
    <x v="0"/>
    <x v="222"/>
    <s v="C:\Users\Ufficio\Desktop\Amministrazione\Acquisti\2024\EV\Fatture\EV - EDILCOMMERCIO ft 2430 del 30-11-2024.pdf"/>
    <m/>
    <x v="43"/>
    <m/>
    <m/>
    <s v="CAMBIALE DI 8898,21 del 10/04/2025"/>
    <m/>
  </r>
  <r>
    <s v="Ok"/>
    <x v="84"/>
    <s v="2304/2024"/>
    <d v="2024-11-16T00:00:00"/>
    <d v="2025-04-10T00:00:00"/>
    <x v="0"/>
    <x v="223"/>
    <s v="C:\Users\Ufficio\Desktop\Amministrazione\Acquisti\2024\EV\Fatture\EV - EDILCOMMERCIO ft 2304 del 16-11-2024.pdf"/>
    <s v="Vertova"/>
    <x v="43"/>
    <m/>
    <m/>
    <s v="CAMBIALE DI 8898,21 del 10/04/2025"/>
    <m/>
  </r>
  <r>
    <s v="Ok"/>
    <x v="84"/>
    <s v="2587/2024"/>
    <d v="2024-12-20T00:00:00"/>
    <d v="2025-04-10T00:00:00"/>
    <x v="0"/>
    <x v="224"/>
    <s v="C:\Users\Ufficio\Desktop\Amministrazione\Acquisti\2024\EV\Fatture\EV - EDILCOMMERCIO ft 2587 del 20-12-2024.pdf"/>
    <s v="Torre Boldone, Bergamo"/>
    <x v="43"/>
    <m/>
    <m/>
    <s v="CESSIONE CREDITO 8742.92 PLATFON"/>
    <m/>
  </r>
  <r>
    <s v="Ok"/>
    <x v="84"/>
    <s v="508/2025"/>
    <d v="2025-03-15T00:00:00"/>
    <d v="2025-08-10T00:00:00"/>
    <x v="0"/>
    <x v="225"/>
    <s v="..\..\Acquisti\2025\EV\FATTURE\EV- EDILCOMMERCIO  ft 508 del 15-03-2025.pdf"/>
    <m/>
    <x v="43"/>
    <m/>
    <m/>
    <s v="CESSIONE CREDITO + 15883.59 DI CAMBIALE DEL 10/08"/>
    <m/>
  </r>
  <r>
    <s v="Ok"/>
    <x v="84"/>
    <s v="508/2025"/>
    <d v="2025-03-15T00:00:00"/>
    <d v="2025-08-10T00:00:00"/>
    <x v="0"/>
    <x v="226"/>
    <s v="..\..\Acquisti\2025\EV\FATTURE\EV- EDILCOMMERCIO  ft 508 del 15-03-2025.pdf"/>
    <m/>
    <x v="43"/>
    <m/>
    <m/>
    <s v="CESSIONE CREDITO + 15883.59 DI CAMBIALE DEL 10/08"/>
    <m/>
  </r>
  <r>
    <s v="Ok"/>
    <x v="84"/>
    <s v="622/2025"/>
    <d v="2025-03-31T00:00:00"/>
    <d v="2025-08-10T00:00:00"/>
    <x v="0"/>
    <x v="227"/>
    <s v="..\..\Acquisti\2025\EV\FATTURE\EV - EDILCOMMERCIO FT 622 del 31-03-2025.pdf"/>
    <m/>
    <x v="43"/>
    <m/>
    <m/>
    <s v="CESSIONE CREDITO + 10028.72 DI CAMBIALE DEL 10/09"/>
    <m/>
  </r>
  <r>
    <s v="Ok"/>
    <x v="84"/>
    <s v="753/2025"/>
    <d v="2025-04-15T00:00:00"/>
    <d v="2025-09-10T00:00:00"/>
    <x v="0"/>
    <x v="228"/>
    <s v="..\..\Acquisti\2025\EV\FATTURE\EV - EDILCOMMERCIO ft  753 del 15-04-2025.pdf"/>
    <s v="vari cantieri "/>
    <x v="4"/>
    <m/>
    <m/>
    <s v="CESSIONE CREDITO + 10028.72 DI CAMBIALE DEL 10/09"/>
    <m/>
  </r>
  <r>
    <s v="Ok"/>
    <x v="84"/>
    <s v="871/2025"/>
    <d v="2025-04-30T00:00:00"/>
    <d v="2025-09-10T00:00:00"/>
    <x v="0"/>
    <x v="229"/>
    <s v="..\..\Acquisti\2025\EV\FATTURE\EV - EDILCOMMERCIO ft 871 del 30-04-2025.pdf"/>
    <s v="vari cantieri "/>
    <x v="4"/>
    <m/>
    <m/>
    <s v="CESSIONE CREDITO + 10028.72 DI CAMBIALE DEL 10/09"/>
    <m/>
  </r>
  <r>
    <s v="Ok"/>
    <x v="84"/>
    <s v="984/2025"/>
    <d v="2025-05-15T00:00:00"/>
    <d v="2025-10-10T00:00:00"/>
    <x v="0"/>
    <x v="230"/>
    <s v="..\..\Acquisti\2025\EV\FATTURE\EV - EDILCOMMERCIO ft 984 del 15-05-2025.pdf"/>
    <s v="Vertova, Torre Boldone, Cavlera"/>
    <x v="4"/>
    <m/>
    <m/>
    <s v="CAMBIALE 10/10"/>
    <m/>
  </r>
  <r>
    <s v="Ok"/>
    <x v="84"/>
    <s v="1101/2025"/>
    <d v="2025-05-31T00:00:00"/>
    <d v="2025-10-10T00:00:00"/>
    <x v="0"/>
    <x v="231"/>
    <s v="..\..\Acquisti\2025\EV\FATTURE\EV - EDILCOMMERCIO ft 1101 del 31-05-2025.pdf"/>
    <s v="Cavlera, Magazzino"/>
    <x v="4"/>
    <m/>
    <m/>
    <s v="CAMBIALE DEL 10/10"/>
    <m/>
  </r>
  <r>
    <s v="Ok"/>
    <x v="84"/>
    <s v="1218/2025"/>
    <d v="2025-06-15T00:00:00"/>
    <d v="2025-10-30T00:00:00"/>
    <x v="0"/>
    <x v="232"/>
    <s v="..\..\Acquisti\2025\EV\FATTURE\EV - EDILCOMMERCIO ft 1218 del 15-06-2025.pdf"/>
    <s v="Vertova,"/>
    <x v="43"/>
    <m/>
    <n v="388.48"/>
    <n v="45957"/>
    <m/>
  </r>
  <r>
    <s v="Ok"/>
    <x v="84"/>
    <s v="1331/2025"/>
    <d v="2025-06-30T00:00:00"/>
    <d v="2025-10-30T00:00:00"/>
    <x v="0"/>
    <x v="233"/>
    <s v="..\..\Acquisti\2025\EV\FATTURE\EV - EDILCOMMERCIO ft 1331 del 30-05-2025.pdf"/>
    <s v="varie"/>
    <x v="43"/>
    <m/>
    <n v="10148.11"/>
    <n v="45957"/>
    <m/>
  </r>
  <r>
    <s v="Ok"/>
    <x v="84"/>
    <s v="1455/2025"/>
    <d v="2025-07-15T00:00:00"/>
    <m/>
    <x v="0"/>
    <x v="234"/>
    <s v="..\..\Acquisti\2025\EV\FATTURE\EV - EDILCOMMERCIO ft 1455 del 15-07-2025.pdf"/>
    <s v="varie "/>
    <x v="43"/>
    <d v="2026-01-10T00:00:00"/>
    <n v="3068"/>
    <s v="CAMBIALE 10/01"/>
    <m/>
  </r>
  <r>
    <s v="Ok"/>
    <x v="84"/>
    <s v="1582/2025"/>
    <d v="2025-07-31T00:00:00"/>
    <m/>
    <x v="0"/>
    <x v="235"/>
    <s v="..\..\Acquisti\2025\EV\FATTURE\EV - EDILCOMMERCIO ft 1582 del 31-07-2025.pdf"/>
    <s v="Trezzano Rosa"/>
    <x v="43"/>
    <d v="2026-01-10T00:00:00"/>
    <n v="3068"/>
    <s v="CAMBIALE 10/01"/>
    <m/>
  </r>
  <r>
    <s v="Ok"/>
    <x v="84"/>
    <s v="1726/2025"/>
    <d v="2025-08-31T00:00:00"/>
    <m/>
    <x v="0"/>
    <x v="236"/>
    <s v="..\..\Acquisti\2025\EV\FATTURE\EV - EDILCOMMERCIO ft 1726 del 31-08-2025.pdf"/>
    <s v="varie"/>
    <x v="43"/>
    <d v="2026-01-10T00:00:00"/>
    <n v="3068"/>
    <s v="CAMBIALE 10/01"/>
    <m/>
  </r>
  <r>
    <s v="Ok"/>
    <x v="84"/>
    <s v="1860/2025"/>
    <d v="2025-09-15T00:00:00"/>
    <m/>
    <x v="0"/>
    <x v="237"/>
    <s v="..\..\Acquisti\2025\EV\FATTURE\EV - EDILCOMMERCIO ft 1860 del 15-09-2025.pdf"/>
    <s v="RONCO /SORISOLE /CAVLERA "/>
    <x v="43"/>
    <d v="2026-01-10T00:00:00"/>
    <n v="3068"/>
    <s v="CAMBIALE 10/01"/>
    <m/>
  </r>
  <r>
    <s v="Ok"/>
    <x v="84"/>
    <s v="1980/2025"/>
    <d v="2025-09-30T00:00:00"/>
    <m/>
    <x v="0"/>
    <x v="238"/>
    <m/>
    <s v="RONCO /SORISOLE /CAVLERA "/>
    <x v="43"/>
    <d v="2026-01-10T00:00:00"/>
    <n v="3068"/>
    <s v="CAMBIALE 10/01"/>
    <m/>
  </r>
  <r>
    <s v="FARE CAMBIALE "/>
    <x v="84"/>
    <s v="2108/2025"/>
    <d v="2025-10-15T00:00:00"/>
    <d v="2025-10-15T00:00:00"/>
    <x v="1"/>
    <x v="239"/>
    <m/>
    <s v="RONCO"/>
    <x v="43"/>
    <d v="2026-03-10T00:00:00"/>
    <n v="1064.95"/>
    <s v="CAMBIALE 10/03"/>
    <m/>
  </r>
  <r>
    <s v="DA PAGARE "/>
    <x v="84"/>
    <s v="2481/2025"/>
    <d v="2025-11-30T00:00:00"/>
    <d v="2025-11-30T00:00:00"/>
    <x v="1"/>
    <x v="240"/>
    <m/>
    <s v="VIA GHISLANDI "/>
    <x v="43"/>
    <d v="2026-03-10T00:00:00"/>
    <n v="1804.47"/>
    <s v="CAMBIALE 10/03"/>
    <m/>
  </r>
  <r>
    <m/>
    <x v="84"/>
    <s v="2605/2025"/>
    <d v="2025-12-20T00:00:00"/>
    <d v="2025-12-20T00:00:00"/>
    <x v="1"/>
    <x v="241"/>
    <m/>
    <s v="VIA GHISLANDI "/>
    <x v="43"/>
    <d v="2026-04-10T00:00:00"/>
    <m/>
    <m/>
    <m/>
  </r>
  <r>
    <s v="FARE CAMBIALE"/>
    <x v="84"/>
    <s v="2710/2025"/>
    <d v="2025-12-31T00:00:00"/>
    <d v="2025-12-31T00:00:00"/>
    <x v="1"/>
    <x v="242"/>
    <s v="VIA GHISLANDI "/>
    <s v="BONIFICO "/>
    <x v="43"/>
    <d v="2026-04-10T00:00:00"/>
    <m/>
    <m/>
    <m/>
  </r>
  <r>
    <m/>
    <x v="85"/>
    <s v="004364"/>
    <d v="2025-11-30T00:00:00"/>
    <d v="2026-01-10T00:00:00"/>
    <x v="0"/>
    <x v="243"/>
    <m/>
    <s v="VIA GAITO "/>
    <x v="27"/>
    <d v="2025-01-10T00:00:00"/>
    <n v="189.1"/>
    <s v="BCC"/>
    <m/>
  </r>
  <r>
    <m/>
    <x v="86"/>
    <s v="771"/>
    <d v="2024-10-31T00:00:00"/>
    <d v="2024-12-30T00:00:00"/>
    <x v="1"/>
    <x v="244"/>
    <s v="C:\Users\Ufficio\Desktop\Amministrazione\Acquisti\2024\EV\Fatture\EV - EDILNOVA ft 771 del 31-10-2024.pdf"/>
    <s v="Bergamo, via Ghislandi"/>
    <x v="11"/>
    <m/>
    <m/>
    <m/>
    <m/>
  </r>
  <r>
    <m/>
    <x v="87"/>
    <s v="proforma 14"/>
    <d v="2025-05-26T00:00:00"/>
    <d v="2025-05-26T00:00:00"/>
    <x v="1"/>
    <x v="96"/>
    <s v="..\..\Acquisti\2025\EV\FATTURE\EV - EDILSCAVI DI DAMIANO PERANI ft 76 del 26-05-2025.pdf"/>
    <s v="Bg, Via Ghislandi"/>
    <x v="7"/>
    <d v="2025-04-28T00:00:00"/>
    <m/>
    <m/>
    <m/>
  </r>
  <r>
    <s v="OK"/>
    <x v="87"/>
    <s v="1/25"/>
    <d v="2025-03-02T00:00:00"/>
    <m/>
    <x v="0"/>
    <x v="245"/>
    <s v="..\..\Acquisti\2025\EV\FATTURE\EV - EDILSCAVI SRL ft 1 del 02-03-2025.pdf"/>
    <s v="Bergamo, Via Ghislandi"/>
    <x v="7"/>
    <m/>
    <m/>
    <s v="?????"/>
    <m/>
  </r>
  <r>
    <s v="?????????????"/>
    <x v="87"/>
    <s v="prefattura"/>
    <d v="2025-04-30T00:00:00"/>
    <m/>
    <x v="0"/>
    <x v="246"/>
    <m/>
    <m/>
    <x v="7"/>
    <m/>
    <m/>
    <s v="???"/>
    <m/>
  </r>
  <r>
    <s v="OK"/>
    <x v="87"/>
    <s v="5"/>
    <d v="2025-05-26T00:00:00"/>
    <m/>
    <x v="0"/>
    <x v="247"/>
    <s v="..\..\Acquisti\2025\EV\FATTURE\EV - EDILSCAVI SRL ft 5 del 26-05-2025.pdf"/>
    <s v="Vertova - Cavlera"/>
    <x v="7"/>
    <d v="2025-10-15T00:00:00"/>
    <n v="7000"/>
    <s v="bcc"/>
    <m/>
  </r>
  <r>
    <s v="DA PAGARE "/>
    <x v="87"/>
    <s v="76"/>
    <d v="2025-05-26T00:00:00"/>
    <m/>
    <x v="0"/>
    <x v="248"/>
    <s v="..\..\Acquisti\2025\EV\FATTURE\EV - EDILSCAVI SRL ft 5 del 26-05-2025.pdf"/>
    <s v="Vertova - Cavlera"/>
    <x v="7"/>
    <m/>
    <m/>
    <m/>
    <m/>
  </r>
  <r>
    <m/>
    <x v="87"/>
    <s v="PROFORMA 14"/>
    <d v="2023-09-12T00:00:00"/>
    <d v="2023-11-10T00:00:00"/>
    <x v="0"/>
    <x v="249"/>
    <m/>
    <s v="BG lug/ago"/>
    <x v="7"/>
    <m/>
    <m/>
    <m/>
    <m/>
  </r>
  <r>
    <m/>
    <x v="88"/>
    <s v="1/25"/>
    <d v="2025-03-02T00:00:00"/>
    <m/>
    <x v="0"/>
    <x v="245"/>
    <s v="..\..\Acquisti\2025\EV\FATTURE\EV - EDILSCAVI SRL ft 1 del 02-03-2025.pdf"/>
    <s v="Bergamo, Via Ghislandi"/>
    <x v="7"/>
    <m/>
    <m/>
    <m/>
    <m/>
  </r>
  <r>
    <m/>
    <x v="88"/>
    <s v="prefattura"/>
    <d v="2025-04-30T00:00:00"/>
    <m/>
    <x v="0"/>
    <x v="246"/>
    <m/>
    <s v="Torre Boldone, Via Kennedy"/>
    <x v="7"/>
    <m/>
    <m/>
    <m/>
    <m/>
  </r>
  <r>
    <m/>
    <x v="88"/>
    <s v="5"/>
    <d v="2025-05-26T00:00:00"/>
    <m/>
    <x v="0"/>
    <x v="247"/>
    <s v="..\..\Acquisti\2025\EV\FATTURE\EV - EDILSCAVI SRL ft 5 del 26-05-2025.pdf"/>
    <s v="Vertova - Cavlera"/>
    <x v="7"/>
    <d v="2025-10-15T00:00:00"/>
    <n v="7000"/>
    <s v="bcc"/>
    <m/>
  </r>
  <r>
    <m/>
    <x v="88"/>
    <s v="5"/>
    <d v="2025-05-26T00:00:00"/>
    <m/>
    <x v="0"/>
    <x v="248"/>
    <s v="..\..\Acquisti\2025\EV\FATTURE\EV - EDILSCAVI SRL ft 5 del 26-05-2025.pdf"/>
    <s v="Vertova - Cavlera"/>
    <x v="7"/>
    <d v="2025-11-07T00:00:00"/>
    <n v="11000"/>
    <s v="BCC"/>
    <m/>
  </r>
  <r>
    <m/>
    <x v="89"/>
    <n v="26"/>
    <d v="2025-01-22T00:00:00"/>
    <d v="2025-03-23T00:00:00"/>
    <x v="0"/>
    <x v="250"/>
    <s v="..\..\Acquisti\2025\EV\FATTURE\EV - ELETTRAUTO BELOTTI FRANCO &amp; C. ft 26 del 22-01-2025.pdf"/>
    <s v="Batteria Daily nonno"/>
    <x v="7"/>
    <d v="2025-04-28T00:00:00"/>
    <m/>
    <m/>
    <m/>
  </r>
  <r>
    <m/>
    <x v="89"/>
    <s v="561"/>
    <d v="2024-12-12T00:00:00"/>
    <d v="2025-02-28T00:00:00"/>
    <x v="0"/>
    <x v="251"/>
    <s v="C:\Users\Ufficio\Desktop\Amministrazione\Acquisti\2024\EV\Fatture\EV- ELETTRAUTO BELOTTI FRANCO &amp; C. ft 561 del 12-12-2024.pdf"/>
    <s v="manutenzione CX866WW"/>
    <x v="7"/>
    <d v="2025-04-28T00:00:00"/>
    <m/>
    <m/>
    <m/>
  </r>
  <r>
    <m/>
    <x v="90"/>
    <s v="69/2023"/>
    <d v="2025-10-06T00:00:00"/>
    <m/>
    <x v="0"/>
    <x v="252"/>
    <m/>
    <m/>
    <x v="7"/>
    <m/>
    <n v="3885"/>
    <s v="BCC"/>
    <m/>
  </r>
  <r>
    <m/>
    <x v="90"/>
    <s v="80/2023"/>
    <d v="2025-10-06T00:00:00"/>
    <m/>
    <x v="0"/>
    <x v="253"/>
    <m/>
    <m/>
    <x v="7"/>
    <m/>
    <n v="115"/>
    <s v="BCC"/>
    <m/>
  </r>
  <r>
    <m/>
    <x v="90"/>
    <s v="80/2024"/>
    <d v="2025-10-06T00:00:00"/>
    <m/>
    <x v="0"/>
    <x v="254"/>
    <m/>
    <m/>
    <x v="7"/>
    <m/>
    <n v="2656"/>
    <m/>
    <m/>
  </r>
  <r>
    <m/>
    <x v="90"/>
    <s v="95/2023"/>
    <d v="2025-10-06T00:00:00"/>
    <m/>
    <x v="0"/>
    <x v="255"/>
    <m/>
    <m/>
    <x v="7"/>
    <m/>
    <n v="555"/>
    <m/>
    <m/>
  </r>
  <r>
    <m/>
    <x v="90"/>
    <s v="96/2023"/>
    <d v="2025-10-06T00:00:00"/>
    <m/>
    <x v="0"/>
    <x v="256"/>
    <m/>
    <m/>
    <x v="7"/>
    <m/>
    <n v="3387"/>
    <m/>
    <m/>
  </r>
  <r>
    <m/>
    <x v="90"/>
    <s v="154/2023"/>
    <d v="2025-10-06T00:00:00"/>
    <m/>
    <x v="0"/>
    <x v="257"/>
    <m/>
    <m/>
    <x v="7"/>
    <m/>
    <n v="5740"/>
    <m/>
    <m/>
  </r>
  <r>
    <m/>
    <x v="90"/>
    <s v="155/2023"/>
    <d v="2025-10-06T00:00:00"/>
    <m/>
    <x v="0"/>
    <x v="258"/>
    <m/>
    <m/>
    <x v="7"/>
    <m/>
    <n v="7265"/>
    <m/>
    <m/>
  </r>
  <r>
    <m/>
    <x v="91"/>
    <n v="396"/>
    <d v="2025-02-10T00:00:00"/>
    <d v="2025-02-10T00:00:00"/>
    <x v="0"/>
    <x v="259"/>
    <s v="..\..\Acquisti\2025\EV\FATTURE\EV - ESPRESSO TOSCANO ft 396 del 10-02-2025.pdf"/>
    <s v="ufficio"/>
    <x v="14"/>
    <m/>
    <m/>
    <m/>
    <m/>
  </r>
  <r>
    <m/>
    <x v="92"/>
    <n v="3730"/>
    <d v="2025-08-04T00:00:00"/>
    <m/>
    <x v="0"/>
    <x v="260"/>
    <s v="..\..\Acquisti\2025\EV\FATTURE\EV - EUREKA LED DI ZHU MIAO ft 3730 del 04-08-2025.pdf"/>
    <m/>
    <x v="3"/>
    <m/>
    <m/>
    <m/>
    <m/>
  </r>
  <r>
    <m/>
    <x v="93"/>
    <s v="22700-09"/>
    <d v="2025-11-27T00:00:00"/>
    <d v="2025-11-27T00:00:00"/>
    <x v="0"/>
    <x v="261"/>
    <m/>
    <s v="varie _ tv led +trasporto "/>
    <x v="7"/>
    <m/>
    <m/>
    <m/>
    <m/>
  </r>
  <r>
    <m/>
    <x v="94"/>
    <s v="4948"/>
    <d v="2023-12-30T00:00:00"/>
    <d v="2024-04-10T00:00:00"/>
    <x v="0"/>
    <x v="262"/>
    <s v="file:///\\192.168.1.231\..\AppData\Acquisti\2023\EV\Fatture\EV%20-%20F_LLI%20TESTA%20ft%204948%20del%2030-12-2023.pdf"/>
    <s v="Scanzo, BG, Stezzano"/>
    <x v="7"/>
    <m/>
    <m/>
    <m/>
    <m/>
  </r>
  <r>
    <m/>
    <x v="94"/>
    <s v="191"/>
    <d v="2024-01-31T00:00:00"/>
    <d v="2024-04-10T00:00:00"/>
    <x v="0"/>
    <x v="263"/>
    <s v="..\..\..\Acquisti\2024\EV\Fatture\EV - F_LLI TESTA ft 191 del 31-01-2024.pdf"/>
    <s v="Scanzo, BG, Stezzano"/>
    <x v="7"/>
    <d v="2025-06-09T00:00:00"/>
    <n v="5000"/>
    <s v="BPM"/>
    <m/>
  </r>
  <r>
    <m/>
    <x v="94"/>
    <s v="191"/>
    <d v="2024-01-31T00:00:00"/>
    <d v="2024-04-10T00:00:00"/>
    <x v="0"/>
    <x v="264"/>
    <m/>
    <m/>
    <x v="4"/>
    <d v="2025-10-30T00:00:00"/>
    <n v="16000"/>
    <s v="BCC"/>
    <m/>
  </r>
  <r>
    <m/>
    <x v="94"/>
    <s v="191"/>
    <d v="2024-01-31T00:00:00"/>
    <d v="2024-04-10T00:00:00"/>
    <x v="0"/>
    <x v="265"/>
    <s v="..\..\..\Acquisti\2024\EV\Fatture\EV - F_LLI TESTA ft 191 del 31-01-2024.pdf"/>
    <s v="Scanzo, BG, Stezzano"/>
    <x v="7"/>
    <m/>
    <m/>
    <m/>
    <m/>
  </r>
  <r>
    <m/>
    <x v="94"/>
    <n v="857"/>
    <d v="2024-05-30T00:00:00"/>
    <d v="2024-09-10T00:00:00"/>
    <x v="0"/>
    <x v="266"/>
    <s v="C:\Users\Ufficio\Desktop\Amministrazione\Acquisti\2024\EV\Fatture\EV - F_LLI TESTA ft1857 del 31-05-2024.pdf"/>
    <s v="BG, Via Ghislandi"/>
    <x v="11"/>
    <m/>
    <m/>
    <m/>
    <m/>
  </r>
  <r>
    <m/>
    <x v="94"/>
    <s v="accordo di chiusura posizione"/>
    <m/>
    <m/>
    <x v="0"/>
    <x v="267"/>
    <m/>
    <s v="storno necessario per quadrare accordo di 3 tranche di 16k"/>
    <x v="4"/>
    <m/>
    <m/>
    <s v="chiuso a forfait di 48000"/>
    <m/>
  </r>
  <r>
    <m/>
    <x v="94"/>
    <s v="3043"/>
    <d v="2024-08-31T00:00:00"/>
    <d v="2024-11-10T00:00:00"/>
    <x v="0"/>
    <x v="268"/>
    <s v="Amministrazione\Acquisti\2024\EV\Fatture\EV - F_LLI TESTA ft 3043 del 31-08-2024.pdf"/>
    <s v="Bergamo, Torre Boldone"/>
    <x v="11"/>
    <m/>
    <n v="16000"/>
    <s v="BCC"/>
    <m/>
  </r>
  <r>
    <m/>
    <x v="94"/>
    <s v="4048"/>
    <d v="2024-11-30T00:00:00"/>
    <d v="2025-03-10T00:00:00"/>
    <x v="0"/>
    <x v="269"/>
    <s v="C:\Users\Ufficio\Desktop\Amministrazione\Acquisti\2024\EV\Fatture\EV - F_LLI TESTA ft 4048 del 30-11-2024.pdf"/>
    <s v="Bg"/>
    <x v="11"/>
    <d v="2025-03-12T00:00:00"/>
    <e v="#VALUE!"/>
    <s v="BPM"/>
    <m/>
  </r>
  <r>
    <m/>
    <x v="94"/>
    <s v="4350"/>
    <d v="2024-12-19T00:00:00"/>
    <d v="2025-03-10T00:00:00"/>
    <x v="0"/>
    <x v="270"/>
    <s v="C:\Users\Ufficio\Desktop\Amministrazione\Acquisti\2024\EV\Fatture\EV - F_LLI TESTA  ft 4350 del 19-12-2024.pdf"/>
    <s v="Torre Boldone, Via Gaito"/>
    <x v="11"/>
    <d v="2025-03-12T00:00:00"/>
    <e v="#VALUE!"/>
    <s v="BPM"/>
    <m/>
  </r>
  <r>
    <m/>
    <x v="94"/>
    <s v="4350"/>
    <d v="2024-12-19T00:00:00"/>
    <d v="2025-04-10T00:00:00"/>
    <x v="0"/>
    <x v="270"/>
    <s v="C:\Users\Ufficio\Desktop\Amministrazione\Acquisti\2024\EV\Fatture\EV - F_LLI TESTA  ft 4350 del 19-12-2024.pdf"/>
    <s v="Torre Boldone, Via Gaito"/>
    <x v="11"/>
    <d v="2025-10-15T00:00:00"/>
    <n v="16000"/>
    <s v="BCC"/>
    <m/>
  </r>
  <r>
    <m/>
    <x v="94"/>
    <s v="4554"/>
    <d v="2024-12-31T00:00:00"/>
    <d v="2025-03-10T00:00:00"/>
    <x v="0"/>
    <x v="271"/>
    <s v="C:\Users\Ufficio\Desktop\Amministrazione\Acquisti\2024\EV\Fatture\EV-F.LLI TESTA ft 4554 del 31-12-2024.pdf"/>
    <s v="Torre Boldone, Via Gaito"/>
    <x v="11"/>
    <d v="2025-03-12T00:00:00"/>
    <e v="#VALUE!"/>
    <s v="BPM"/>
    <m/>
  </r>
  <r>
    <m/>
    <x v="94"/>
    <s v="4554"/>
    <d v="2024-12-31T00:00:00"/>
    <d v="2025-04-10T00:00:00"/>
    <x v="0"/>
    <x v="272"/>
    <s v="C:\Users\Ufficio\Desktop\Amministrazione\Acquisti\2024\EV\Fatture\EV-F.LLI TESTA ft 4554 del 31-12-2024.pdf"/>
    <s v="Torre Boldone, via Gaito"/>
    <x v="11"/>
    <d v="2025-10-15T00:00:00"/>
    <n v="16000"/>
    <s v="BCC"/>
    <m/>
  </r>
  <r>
    <m/>
    <x v="94"/>
    <n v="62"/>
    <d v="2025-01-31T00:00:00"/>
    <d v="2025-04-10T00:00:00"/>
    <x v="0"/>
    <x v="273"/>
    <s v="..\..\Acquisti\2025\EV\FATTURE\EV - F.LLI TESTA ft 62 del 31-01-2025.pdf"/>
    <s v="Torre Boldone, via Gaito"/>
    <x v="11"/>
    <d v="2025-10-15T00:00:00"/>
    <n v="16000"/>
    <s v="BCC"/>
    <m/>
  </r>
  <r>
    <m/>
    <x v="94"/>
    <n v="62"/>
    <d v="2025-01-31T00:00:00"/>
    <d v="2025-05-10T00:00:00"/>
    <x v="0"/>
    <x v="274"/>
    <s v="..\..\Acquisti\2025\EV\FATTURE\EV - F.LLI TESTA ft 62 del 31-01-2025.pdf"/>
    <s v="Torre Boldone, via Gaito"/>
    <x v="7"/>
    <d v="2025-05-15T00:00:00"/>
    <n v="48000"/>
    <s v="BCC"/>
    <m/>
  </r>
  <r>
    <s v="SALDO PREGRESSO "/>
    <x v="94"/>
    <s v="TUTTE"/>
    <m/>
    <m/>
    <x v="0"/>
    <x v="275"/>
    <m/>
    <s v="ACCORDI PRESI A SALDO DI TUTTI IL PREGRESSO FINO AL 31/11/2025"/>
    <x v="44"/>
    <m/>
    <n v="48000"/>
    <s v="ASS 0014283785-09 DEL 30,09,25-ASS 0014283786-10 DEL 30,10,25- ASS 0014253787-11 DEL 30,11,2025"/>
    <m/>
  </r>
  <r>
    <s v="1 DI 2"/>
    <x v="94"/>
    <s v="1691/1"/>
    <d v="2025-11-29T00:00:00"/>
    <d v="2026-02-10T00:00:00"/>
    <x v="1"/>
    <x v="276"/>
    <m/>
    <s v="SORISOLE "/>
    <x v="27"/>
    <d v="2026-02-10T00:00:00"/>
    <n v="3852.15"/>
    <m/>
    <m/>
  </r>
  <r>
    <s v="2 DI 2"/>
    <x v="94"/>
    <s v="1691/2"/>
    <d v="2025-11-29T00:00:00"/>
    <d v="2026-03-10T00:00:00"/>
    <x v="1"/>
    <x v="276"/>
    <m/>
    <s v="SORISOLE"/>
    <x v="27"/>
    <d v="2026-03-10T00:00:00"/>
    <n v="3852.15"/>
    <m/>
    <m/>
  </r>
  <r>
    <s v="1 DI 2"/>
    <x v="94"/>
    <s v="1855/1"/>
    <d v="2025-12-13T00:00:00"/>
    <d v="2026-03-10T00:00:00"/>
    <x v="1"/>
    <x v="277"/>
    <m/>
    <s v="BERGAMO _ VIA GHISLANDI "/>
    <x v="27"/>
    <d v="2023-03-10T00:00:00"/>
    <n v="1175.78"/>
    <m/>
    <m/>
  </r>
  <r>
    <s v="2 DI 2"/>
    <x v="94"/>
    <s v="1855/1"/>
    <d v="2025-12-13T00:00:00"/>
    <d v="2026-04-10T00:00:00"/>
    <x v="1"/>
    <x v="278"/>
    <m/>
    <s v="BERGAMO _ VIA GHISLANDI "/>
    <x v="27"/>
    <d v="2026-04-10T00:00:00"/>
    <n v="1175.77"/>
    <m/>
    <m/>
  </r>
  <r>
    <m/>
    <x v="95"/>
    <s v="1102"/>
    <d v="2025-12-17T00:00:00"/>
    <d v="2026-01-31T00:00:00"/>
    <x v="1"/>
    <x v="279"/>
    <m/>
    <s v="COMIGNOLO _ VIA GAITO "/>
    <x v="27"/>
    <d v="2026-01-31T00:00:00"/>
    <n v="463.6"/>
    <m/>
    <m/>
  </r>
  <r>
    <n v="2024"/>
    <x v="96"/>
    <s v="01347"/>
    <d v="2024-06-14T00:00:00"/>
    <d v="2024-09-01T00:00:00"/>
    <x v="0"/>
    <x v="280"/>
    <m/>
    <s v="varigotti"/>
    <x v="8"/>
    <d v="2025-10-20T00:00:00"/>
    <m/>
    <s v="pagato a fronte di decreto ing. N 1233/25 rg 2364/25_ 1070,64 euro "/>
    <m/>
  </r>
  <r>
    <n v="2024"/>
    <x v="96"/>
    <s v="01095"/>
    <d v="2024-05-21T00:00:00"/>
    <d v="2024-08-10T00:00:00"/>
    <x v="0"/>
    <x v="281"/>
    <m/>
    <s v="varigotti"/>
    <x v="8"/>
    <d v="2025-10-20T00:00:00"/>
    <m/>
    <s v="pagato a fronte di decreto ing. N 1233/25 rg 2364/25_ 1070,64 euro "/>
    <m/>
  </r>
  <r>
    <m/>
    <x v="97"/>
    <s v="17324"/>
    <d v="2025-11-30T00:00:00"/>
    <d v="2025-11-30T00:00:00"/>
    <x v="1"/>
    <x v="282"/>
    <m/>
    <s v="IDROPULITRICE A NOLEGGIO 4/12/2025"/>
    <x v="8"/>
    <m/>
    <n v="139.08000000000001"/>
    <m/>
    <m/>
  </r>
  <r>
    <s v="OK"/>
    <x v="98"/>
    <s v="719"/>
    <d v="2025-11-07T00:00:00"/>
    <d v="2025-11-07T00:00:00"/>
    <x v="0"/>
    <x v="283"/>
    <m/>
    <s v="MENU "/>
    <x v="28"/>
    <d v="2025-11-07T00:00:00"/>
    <n v="137.6"/>
    <s v="CARTA "/>
    <m/>
  </r>
  <r>
    <s v="OK"/>
    <x v="98"/>
    <s v="755A"/>
    <d v="2025-11-21T00:00:00"/>
    <d v="2025-11-21T00:00:00"/>
    <x v="0"/>
    <x v="284"/>
    <m/>
    <s v="MENU "/>
    <x v="28"/>
    <d v="2025-11-21T00:00:00"/>
    <n v="53.7"/>
    <s v="CARTA "/>
    <m/>
  </r>
  <r>
    <m/>
    <x v="98"/>
    <s v="821A"/>
    <d v="2025-12-23T00:00:00"/>
    <d v="2025-12-23T00:00:00"/>
    <x v="0"/>
    <x v="285"/>
    <m/>
    <s v="MENU "/>
    <x v="5"/>
    <d v="2025-12-23T00:00:00"/>
    <n v="55.2"/>
    <s v="CARTA "/>
    <m/>
  </r>
  <r>
    <s v="OK"/>
    <x v="98"/>
    <s v="37A"/>
    <d v="2026-01-16T00:00:00"/>
    <d v="2026-01-16T00:00:00"/>
    <x v="0"/>
    <x v="286"/>
    <s v="MENU "/>
    <s v="CARTA "/>
    <x v="6"/>
    <n v="56.7"/>
    <s v="CARTA "/>
    <m/>
    <m/>
  </r>
  <r>
    <m/>
    <x v="99"/>
    <n v="1012500475"/>
    <d v="2025-04-30T00:00:00"/>
    <d v="2025-04-30T00:00:00"/>
    <x v="0"/>
    <x v="287"/>
    <s v="..\..\Acquisti\2025\EV\FATTURE\EV - FERRAMENTA 2000 ft 12500475 del 30-04-2025.pdf"/>
    <m/>
    <x v="14"/>
    <d v="2025-02-21T00:00:00"/>
    <m/>
    <s v="BPM"/>
    <m/>
  </r>
  <r>
    <m/>
    <x v="100"/>
    <s v="22/EL"/>
    <d v="2025-02-25T00:00:00"/>
    <d v="2025-02-25T00:00:00"/>
    <x v="0"/>
    <x v="52"/>
    <s v="..\..\Acquisti\2025\EV\FATTURE\EV- FERRARI ALBERTO ft 22 del 25-02-2025.pdf"/>
    <s v="consulenza"/>
    <x v="7"/>
    <m/>
    <m/>
    <m/>
    <m/>
  </r>
  <r>
    <m/>
    <x v="100"/>
    <s v="22/EL"/>
    <d v="2025-02-25T00:00:00"/>
    <d v="2025-03-16T00:00:00"/>
    <x v="0"/>
    <x v="288"/>
    <s v="..\..\Acquisti\2025\EV\FATTURE\EV- FERRARI ALBERTO ft 22 del 25-02-2025.pdf"/>
    <s v="consulenza"/>
    <x v="45"/>
    <m/>
    <m/>
    <m/>
    <m/>
  </r>
  <r>
    <s v="OK"/>
    <x v="101"/>
    <s v="52/F"/>
    <d v="2025-05-31T00:00:00"/>
    <d v="2025-07-31T00:00:00"/>
    <x v="0"/>
    <x v="289"/>
    <s v="..\..\Acquisti\2025\EV\FATTURE\EV - FORNONI MARMI SRL ft 52 del 31-05-2025.pdf"/>
    <m/>
    <x v="7"/>
    <d v="2025-10-15T00:00:00"/>
    <n v="1100"/>
    <s v="BCC"/>
    <m/>
  </r>
  <r>
    <s v="OK"/>
    <x v="101"/>
    <s v="52/F"/>
    <d v="2025-05-31T00:00:00"/>
    <d v="2025-07-31T00:00:00"/>
    <x v="0"/>
    <x v="290"/>
    <m/>
    <m/>
    <x v="8"/>
    <d v="2025-10-30T00:00:00"/>
    <n v="844.92"/>
    <s v="POP SO 2384X38"/>
    <m/>
  </r>
  <r>
    <n v="2024"/>
    <x v="101"/>
    <s v="137/F"/>
    <d v="2024-11-30T00:00:00"/>
    <d v="2025-02-10T00:00:00"/>
    <x v="0"/>
    <x v="291"/>
    <s v="C:\Users\Ufficio\Desktop\Amministrazione\Acquisti\2024\EV\Fatture\EV - FORNONI MARMI ft 137 del 30-11-2024.pdf"/>
    <m/>
    <x v="11"/>
    <d v="2025-02-21T00:00:00"/>
    <n v="513.34"/>
    <s v="BPM"/>
    <m/>
  </r>
  <r>
    <s v="OK"/>
    <x v="101"/>
    <s v="89/F"/>
    <d v="2025-08-30T00:00:00"/>
    <d v="2025-08-30T00:00:00"/>
    <x v="0"/>
    <x v="292"/>
    <s v="..\..\Acquisti\2025\EV\FATTURE\EV - FORNONI MARMI SRL ft 89 del 30-08-2025.pdf"/>
    <m/>
    <x v="11"/>
    <d v="2025-10-30T00:00:00"/>
    <n v="331.46"/>
    <s v="BCC 601460"/>
    <m/>
  </r>
  <r>
    <s v="OK"/>
    <x v="102"/>
    <s v="37/001"/>
    <d v="2025-11-18T00:00:00"/>
    <d v="2025-11-18T00:00:00"/>
    <x v="0"/>
    <x v="293"/>
    <m/>
    <s v="SORISOLE "/>
    <x v="8"/>
    <d v="2025-11-28T00:00:00"/>
    <n v="10000"/>
    <s v="BPER 80875"/>
    <m/>
  </r>
  <r>
    <s v="OK"/>
    <x v="102"/>
    <s v="37/001"/>
    <d v="2025-11-18T00:00:00"/>
    <m/>
    <x v="0"/>
    <x v="96"/>
    <m/>
    <s v="RESIDUO FT 37 AL 28/11/2025"/>
    <x v="4"/>
    <d v="2025-12-25T00:00:00"/>
    <n v="10000"/>
    <s v="BPER 80875"/>
    <m/>
  </r>
  <r>
    <s v="OK"/>
    <x v="102"/>
    <s v="37/001"/>
    <d v="2025-11-18T00:00:00"/>
    <d v="2025-11-18T00:00:00"/>
    <x v="0"/>
    <x v="293"/>
    <m/>
    <s v="SORISOLE "/>
    <x v="8"/>
    <d v="2025-11-28T00:00:00"/>
    <n v="10000"/>
    <s v="BPER 80875"/>
    <m/>
  </r>
  <r>
    <s v="OK"/>
    <x v="102"/>
    <s v="37/001"/>
    <d v="2025-11-18T00:00:00"/>
    <m/>
    <x v="0"/>
    <x v="96"/>
    <m/>
    <s v="RESIDUO FT 37 AL 28/11/2025"/>
    <x v="4"/>
    <m/>
    <m/>
    <m/>
    <m/>
  </r>
  <r>
    <m/>
    <x v="102"/>
    <s v="2/001"/>
    <d v="2026-02-02T00:00:00"/>
    <d v="2026-02-02T00:00:00"/>
    <x v="1"/>
    <x v="172"/>
    <m/>
    <s v="Saldo per lavori edili eseguiti per vs conto e ordine presso il cantiere di Sorisole BG, via Piave, trattasi lavori di demolizione pavimento corsello box"/>
    <x v="16"/>
    <n v="0"/>
    <d v="2026-04-03T00:00:00"/>
    <m/>
    <m/>
  </r>
  <r>
    <s v="OK"/>
    <x v="103"/>
    <s v="34"/>
    <d v="2025-10-06T00:00:00"/>
    <d v="2025-10-06T00:00:00"/>
    <x v="0"/>
    <x v="294"/>
    <s v="..\..\Acquisti\2025\EV\FATTURE\EV - FRATELLI BAGGI SRL ft 34 del 06-10-2025.pdf"/>
    <s v="Sorisole"/>
    <x v="7"/>
    <d v="2025-10-15T00:00:00"/>
    <n v="6000"/>
    <s v="BCC"/>
    <m/>
  </r>
  <r>
    <s v="OK"/>
    <x v="103"/>
    <s v="34"/>
    <d v="2025-10-06T00:00:00"/>
    <d v="2025-10-06T00:00:00"/>
    <x v="0"/>
    <x v="186"/>
    <m/>
    <s v="Sorisole"/>
    <x v="8"/>
    <d v="2025-10-29T00:00:00"/>
    <n v="4000"/>
    <s v="BPER 80875"/>
    <m/>
  </r>
  <r>
    <s v="OK"/>
    <x v="104"/>
    <s v="2/235"/>
    <d v="2025-10-27T00:00:00"/>
    <d v="2025-10-27T00:00:00"/>
    <x v="0"/>
    <x v="295"/>
    <m/>
    <s v="VINO "/>
    <x v="5"/>
    <m/>
    <n v="109.56"/>
    <s v="CASSA ilaria"/>
    <m/>
  </r>
  <r>
    <m/>
    <x v="105"/>
    <s v="V00007 "/>
    <d v="2025-02-27T00:00:00"/>
    <d v="2025-02-21T00:00:00"/>
    <x v="0"/>
    <x v="96"/>
    <s v="..\..\Acquisti\2025\EV\FATTURE\EV - G.M.V. IMPIANTI ELETTRICI  ft 7 del 27-02-2025.pdf"/>
    <s v="Bergamo, via Ghislandi"/>
    <x v="7"/>
    <d v="2025-02-21T00:00:00"/>
    <n v="10000"/>
    <s v="BPM"/>
    <m/>
  </r>
  <r>
    <m/>
    <x v="105"/>
    <s v="V00121"/>
    <d v="2025-11-30T00:00:00"/>
    <d v="2025-11-30T00:00:00"/>
    <x v="0"/>
    <x v="96"/>
    <m/>
    <s v="SCANZOROSCIATE "/>
    <x v="7"/>
    <d v="2025-11-28T00:00:00"/>
    <n v="10000"/>
    <s v="BCC 601460"/>
    <m/>
  </r>
  <r>
    <m/>
    <x v="105"/>
    <s v="FATTURE A RICEVERE"/>
    <m/>
    <m/>
    <x v="1"/>
    <x v="296"/>
    <m/>
    <m/>
    <x v="4"/>
    <m/>
    <m/>
    <m/>
    <m/>
  </r>
  <r>
    <m/>
    <x v="106"/>
    <n v="9"/>
    <d v="2025-03-14T00:00:00"/>
    <d v="2025-03-14T00:00:00"/>
    <x v="0"/>
    <x v="172"/>
    <s v="..\..\Acquisti\2025\EV\FATTURE\EV - IMBERTI DANIELE ft 9 del 14-03-2025.pdf"/>
    <s v="Bergamo, Via Ghislandi"/>
    <x v="7"/>
    <m/>
    <m/>
    <m/>
    <m/>
  </r>
  <r>
    <m/>
    <x v="106"/>
    <n v="9"/>
    <d v="2025-03-14T00:00:00"/>
    <d v="2025-04-16T00:00:00"/>
    <x v="0"/>
    <x v="297"/>
    <s v="..\..\Acquisti\2025\EV\FATTURE\EV - IMBERTI DANIELE ft 9 del 14-03-2025.pdf"/>
    <s v="partite aperte in attesa di fatturare"/>
    <x v="45"/>
    <m/>
    <m/>
    <m/>
    <m/>
  </r>
  <r>
    <s v="attendo fattura"/>
    <x v="106"/>
    <s v="partite aperte in attesa di fatturare"/>
    <m/>
    <m/>
    <x v="1"/>
    <x v="298"/>
    <m/>
    <m/>
    <x v="7"/>
    <d v="2025-10-30T00:00:00"/>
    <n v="3000"/>
    <s v="POP SO 2384X38"/>
    <m/>
  </r>
  <r>
    <m/>
    <x v="106"/>
    <s v="23"/>
    <d v="2025-10-10T00:00:00"/>
    <d v="2025-10-10T00:00:00"/>
    <x v="0"/>
    <x v="299"/>
    <m/>
    <s v="SORISOLE "/>
    <x v="8"/>
    <d v="2025-10-10T00:00:00"/>
    <n v="3300"/>
    <s v="BCC 601460"/>
    <m/>
  </r>
  <r>
    <m/>
    <x v="106"/>
    <s v="23"/>
    <d v="2025-10-10T00:00:00"/>
    <d v="2025-11-16T00:00:00"/>
    <x v="0"/>
    <x v="300"/>
    <m/>
    <s v="vedi &quot;partite aperte in attesa di fatturare&quot;"/>
    <x v="8"/>
    <m/>
    <m/>
    <m/>
    <m/>
  </r>
  <r>
    <m/>
    <x v="106"/>
    <s v="27"/>
    <d v="2025-11-03T00:00:00"/>
    <d v="2025-11-03T00:00:00"/>
    <x v="0"/>
    <x v="172"/>
    <m/>
    <s v="Bergamo, Via Ghislandi"/>
    <x v="7"/>
    <d v="2025-10-30T00:00:00"/>
    <n v="3000"/>
    <s v="POP SO 2384X38"/>
    <m/>
  </r>
  <r>
    <s v="OK"/>
    <x v="107"/>
    <s v="2"/>
    <d v="2025-11-07T00:00:00"/>
    <d v="2025-11-07T00:00:00"/>
    <x v="0"/>
    <x v="301"/>
    <m/>
    <s v="CONSULENZA COND. SORISOLE "/>
    <x v="8"/>
    <m/>
    <n v="4500"/>
    <s v="RESIDUO "/>
    <m/>
  </r>
  <r>
    <s v="OK"/>
    <x v="107"/>
    <s v="2"/>
    <d v="2025-11-07T00:00:00"/>
    <d v="2025-11-07T00:00:00"/>
    <x v="0"/>
    <x v="301"/>
    <m/>
    <s v="CONSULENZA COND. SORISOLE _ ACCONTO 1°"/>
    <x v="8"/>
    <d v="2025-11-11T00:00:00"/>
    <n v="4500"/>
    <s v="pop so "/>
    <m/>
  </r>
  <r>
    <m/>
    <x v="108"/>
    <s v="26VI000695"/>
    <d v="2026-02-24T00:00:00"/>
    <d v="2026-02-24T00:00:00"/>
    <x v="0"/>
    <x v="302"/>
    <m/>
    <s v="DICASA VINO ROSSO ETI NERA | ANDREA VINO ROSSO | ROSSO DELLA TERRA | VEI CAVOUR ETICHETTA ORO | ESCLUSIVO ROSSO PUGLIA IGT | EVENTUS ROSSO | RAGGIANTE ROSSO | DICASA VINO ROSSO | PECORINO TOSCANO D.O."/>
    <x v="3"/>
    <n v="16.420000000000002"/>
    <d v="2026-04-25T00:00:00"/>
    <m/>
    <m/>
  </r>
  <r>
    <m/>
    <x v="109"/>
    <s v="SOTT0001599"/>
    <d v="2024-12-31T00:00:00"/>
    <d v="2025-03-10T00:00:00"/>
    <x v="1"/>
    <x v="303"/>
    <s v="C:\Users\Ufficio\Desktop\Amministrazione\Acquisti\2024\EV\Fatture\EV- GMG ft 1599 del 31-12-2024.pdf"/>
    <s v="Torre Boldone, Via Kennedy"/>
    <x v="11"/>
    <m/>
    <m/>
    <m/>
    <m/>
  </r>
  <r>
    <m/>
    <x v="110"/>
    <n v="20282"/>
    <d v="2025-08-28T00:00:00"/>
    <d v="2025-08-28T00:00:00"/>
    <x v="0"/>
    <x v="304"/>
    <s v="..\..\Acquisti\2025\EV\FATTURE\EV - GRUPPO CARMELI SPA ft 20282 del 28-08-2025.pdf"/>
    <s v="sistemazione Renault Clio FX155TF"/>
    <x v="4"/>
    <m/>
    <m/>
    <m/>
    <m/>
  </r>
  <r>
    <m/>
    <x v="111"/>
    <s v="58-C00920"/>
    <d v="2025-03-26T00:00:00"/>
    <d v="2025-03-26T00:00:00"/>
    <x v="0"/>
    <x v="305"/>
    <s v="..\..\Acquisti\2025\EV\FATTURE\EV - GRUPPO NEGOZI SRL ft 58-C00920 del 26-03-2025.pdf"/>
    <s v="varie"/>
    <x v="3"/>
    <m/>
    <m/>
    <m/>
    <m/>
  </r>
  <r>
    <m/>
    <x v="112"/>
    <s v="665/216"/>
    <d v="2025-06-27T00:00:00"/>
    <m/>
    <x v="0"/>
    <x v="306"/>
    <s v="..\..\Acquisti\2025\EV\FATTURE\EV - GS RUBIERA SRL ft 665-216 del 27-06-2025.pdf"/>
    <s v="pranzo"/>
    <x v="14"/>
    <m/>
    <m/>
    <s v="verificare soggetto"/>
    <m/>
  </r>
  <r>
    <m/>
    <x v="113"/>
    <s v="1/001"/>
    <d v="2025-01-10T00:00:00"/>
    <m/>
    <x v="0"/>
    <x v="307"/>
    <s v="..\..\Acquisti\2025\EV\FATTURE\EV - GUALENI PAOLO ft 001 del 10-01-2025.pdf"/>
    <s v="Bg, Via ghislandi"/>
    <x v="7"/>
    <d v="2025-01-27T00:00:00"/>
    <n v="3459.2"/>
    <s v="BPM"/>
    <m/>
  </r>
  <r>
    <m/>
    <x v="113"/>
    <s v="1/001"/>
    <d v="2025-01-10T00:00:00"/>
    <d v="2025-02-16T00:00:00"/>
    <x v="0"/>
    <x v="308"/>
    <s v="..\..\Acquisti\2025\EV\FATTURE\EV - GUALENI PAOLO ft 001 del 10-01-2025.pdf"/>
    <s v="Bg, Via ghislandi"/>
    <x v="45"/>
    <m/>
    <m/>
    <m/>
    <m/>
  </r>
  <r>
    <m/>
    <x v="114"/>
    <s v="861/25"/>
    <d v="2025-06-17T00:00:00"/>
    <m/>
    <x v="0"/>
    <x v="309"/>
    <s v="..\..\Acquisti\2025\EV\FATTURE\EV - AVV. MARIO GUAFFANTI ft 861 del 17-06-2025.pdf"/>
    <s v="spese legali"/>
    <x v="7"/>
    <d v="2025-06-09T00:00:00"/>
    <n v="196.24"/>
    <s v="BPM"/>
    <m/>
  </r>
  <r>
    <m/>
    <x v="114"/>
    <s v="861/25"/>
    <d v="2025-06-17T00:00:00"/>
    <d v="2025-07-16T00:00:00"/>
    <x v="0"/>
    <x v="310"/>
    <s v="..\..\Acquisti\2025\EV\FATTURE\EV - AVV. MARIO GUAFFANTI ft 861 del 17-06-2025.pdf"/>
    <s v="spese legali"/>
    <x v="45"/>
    <m/>
    <m/>
    <m/>
    <m/>
  </r>
  <r>
    <m/>
    <x v="115"/>
    <n v="28"/>
    <d v="2025-01-27T00:00:00"/>
    <m/>
    <x v="0"/>
    <x v="311"/>
    <s v="..\..\Acquisti\2025\EV\FATTURE\EV - GYPSUM SRL ft 28 del 27-01-2025.pdf"/>
    <s v="Via Kennedy"/>
    <x v="4"/>
    <d v="2024-04-03T00:00:00"/>
    <m/>
    <m/>
    <m/>
  </r>
  <r>
    <m/>
    <x v="115"/>
    <n v="143"/>
    <d v="2025-02-28T00:00:00"/>
    <d v="2025-03-31T00:00:00"/>
    <x v="0"/>
    <x v="312"/>
    <s v="..\..\Acquisti\2025\EV\FATTURE\EV - GYPSUM SRL ft 143 del 28-02-2025.pdf"/>
    <s v="Via Kennedy"/>
    <x v="7"/>
    <m/>
    <m/>
    <m/>
    <m/>
  </r>
  <r>
    <m/>
    <x v="115"/>
    <n v="250"/>
    <d v="2025-04-11T00:00:00"/>
    <d v="2025-05-31T00:00:00"/>
    <x v="0"/>
    <x v="313"/>
    <s v="..\..\Acquisti\2025\EV\FATTURE\EV - GYPSUM SRL ft 250 del 11-04-2025.pdf"/>
    <s v="Via Kennedy"/>
    <x v="11"/>
    <m/>
    <m/>
    <m/>
    <m/>
  </r>
  <r>
    <m/>
    <x v="116"/>
    <n v="869"/>
    <d v="2025-02-11T00:00:00"/>
    <d v="2025-02-11T00:00:00"/>
    <x v="0"/>
    <x v="314"/>
    <s v="..\..\Acquisti\2025\EV\FATTURE\EV - HAPPILY SRL ft 869 del 11-02-2025.pdf"/>
    <s v="Attivazione e manutenzione portale premium"/>
    <x v="7"/>
    <m/>
    <m/>
    <s v="verificare soggetto"/>
    <m/>
  </r>
  <r>
    <m/>
    <x v="116"/>
    <s v="901/E"/>
    <d v="2025-02-12T00:00:00"/>
    <m/>
    <x v="0"/>
    <x v="314"/>
    <s v="..\..\Acquisti\2025\EV\FATTURE\EV- HAPPILY ft 901 del 12-02-2025.pdf"/>
    <s v="Attivazione e manutenzione portale premium"/>
    <x v="7"/>
    <m/>
    <m/>
    <s v="verificare soggetto"/>
    <m/>
  </r>
  <r>
    <m/>
    <x v="116"/>
    <s v="1563/GC"/>
    <d v="2025-04-15T00:00:00"/>
    <m/>
    <x v="0"/>
    <x v="315"/>
    <s v="..\..\Acquisti\2025\EV\FATTURE\EV - HAPPILY SRL ft 1563 del 15-04-2025.pdf"/>
    <s v="Nota di credito"/>
    <x v="7"/>
    <m/>
    <m/>
    <m/>
    <m/>
  </r>
  <r>
    <m/>
    <x v="116"/>
    <s v="1169/IN"/>
    <d v="2025-12-16T00:00:00"/>
    <d v="2025-12-16T00:00:00"/>
    <x v="0"/>
    <x v="316"/>
    <m/>
    <s v="BUONI NATALE PER DIPENDENTI "/>
    <x v="8"/>
    <d v="2025-12-16T00:00:00"/>
    <n v="1858.75"/>
    <s v="BPER 80875"/>
    <m/>
  </r>
  <r>
    <m/>
    <x v="117"/>
    <n v="700210"/>
    <d v="2025-04-23T00:00:00"/>
    <m/>
    <x v="0"/>
    <x v="317"/>
    <s v="..\..\Acquisti\2025\EV\FATTURE\EV - IDRAS SPA ft 700210 del 23-04-2025.pdf"/>
    <m/>
    <x v="2"/>
    <m/>
    <m/>
    <m/>
    <m/>
  </r>
  <r>
    <s v="OK"/>
    <x v="118"/>
    <s v="102"/>
    <d v="2025-11-08T00:00:00"/>
    <d v="2025-11-22T00:00:00"/>
    <x v="0"/>
    <x v="318"/>
    <m/>
    <s v="rifacimento tubazioni acqua e antincendio Sorisole "/>
    <x v="8"/>
    <d v="2025-11-28T00:00:00"/>
    <n v="2837"/>
    <s v="BPER 80875"/>
    <m/>
  </r>
  <r>
    <s v="OK"/>
    <x v="118"/>
    <s v="115"/>
    <d v="2025-12-05T00:00:00"/>
    <d v="2025-12-19T00:00:00"/>
    <x v="0"/>
    <x v="319"/>
    <m/>
    <s v="SPOSTAMENTO TUBAZIONI IN POLIESTERE-. GHISLANDI "/>
    <x v="8"/>
    <m/>
    <n v="410"/>
    <m/>
    <m/>
  </r>
  <r>
    <s v="OK"/>
    <x v="118"/>
    <s v="115"/>
    <d v="2025-12-05T00:00:00"/>
    <d v="2025-12-19T00:00:00"/>
    <x v="0"/>
    <x v="319"/>
    <s v="SPOSTAMENTO TUBAZIONI IN POLIESTERE-. GHISLANDI "/>
    <s v="BONIFICO "/>
    <x v="38"/>
    <n v="410"/>
    <s v="BCC 601460"/>
    <m/>
    <m/>
  </r>
  <r>
    <s v="C"/>
    <x v="119"/>
    <s v="bo"/>
    <m/>
    <m/>
    <x v="2"/>
    <x v="320"/>
    <m/>
    <m/>
    <x v="4"/>
    <m/>
    <m/>
    <m/>
    <m/>
  </r>
  <r>
    <s v="OK"/>
    <x v="120"/>
    <n v="56666"/>
    <d v="2025-07-20T00:00:00"/>
    <m/>
    <x v="0"/>
    <x v="321"/>
    <s v="..\..\Acquisti\2025\EV\FATTURE\EV - IKEA ft 56666 del 20-07-2025.pdf"/>
    <s v="vertova"/>
    <x v="46"/>
    <m/>
    <m/>
    <m/>
    <m/>
  </r>
  <r>
    <s v="OK"/>
    <x v="120"/>
    <n v="65548"/>
    <d v="2025-08-27T00:00:00"/>
    <m/>
    <x v="0"/>
    <x v="322"/>
    <s v="..\..\Acquisti\2025\EV\FATTURE\EV - IKEA ft 65548 del 27-08-2025.pdf"/>
    <s v="Varie Ilaria"/>
    <x v="14"/>
    <m/>
    <m/>
    <m/>
    <m/>
  </r>
  <r>
    <s v="OK"/>
    <x v="120"/>
    <s v="EC-2025-0427172"/>
    <d v="2025-10-25T00:00:00"/>
    <m/>
    <x v="0"/>
    <x v="323"/>
    <m/>
    <s v="VERIE "/>
    <x v="28"/>
    <m/>
    <m/>
    <m/>
    <m/>
  </r>
  <r>
    <s v="OK"/>
    <x v="120"/>
    <s v="EC-2025-0458127"/>
    <d v="2025-11-16T00:00:00"/>
    <d v="2025-11-16T00:00:00"/>
    <x v="0"/>
    <x v="324"/>
    <m/>
    <s v="Varie Ilaria"/>
    <x v="5"/>
    <m/>
    <m/>
    <m/>
    <m/>
  </r>
  <r>
    <m/>
    <x v="121"/>
    <s v="EC_2026_0047862"/>
    <d v="2026-02-05T00:00:00"/>
    <m/>
    <x v="0"/>
    <x v="325"/>
    <m/>
    <s v="Collect at IKEA Store | FLEKKE str let div/2cas 80x200 bianco | AFJALL mat sch 80x200 rigido/bianco"/>
    <x v="4"/>
    <n v="100.44"/>
    <m/>
    <m/>
    <m/>
  </r>
  <r>
    <s v="CONTESTARE"/>
    <x v="122"/>
    <s v="bo"/>
    <m/>
    <m/>
    <x v="2"/>
    <x v="326"/>
    <m/>
    <m/>
    <x v="8"/>
    <m/>
    <m/>
    <m/>
    <m/>
  </r>
  <r>
    <m/>
    <x v="123"/>
    <s v="3"/>
    <d v="2026-01-26T00:00:00"/>
    <d v="2026-01-26T00:00:00"/>
    <x v="0"/>
    <x v="327"/>
    <m/>
    <s v="Prestazioni Professionali per Consulenza Tecnica Piano di Sicurezza Cantiere Modifica rampa di Accesso ai  BOX realizzata presso Vostri  Immobili  Siti in Bergamo (BG) Via Vittore Ghislandi n° sn ."/>
    <x v="16"/>
    <n v="462"/>
    <d v="2026-03-27T00:00:00"/>
    <m/>
    <m/>
  </r>
  <r>
    <s v="C"/>
    <x v="124"/>
    <s v="bo"/>
    <m/>
    <m/>
    <x v="2"/>
    <x v="97"/>
    <m/>
    <m/>
    <x v="4"/>
    <m/>
    <m/>
    <m/>
    <m/>
  </r>
  <r>
    <m/>
    <x v="125"/>
    <n v="25060472"/>
    <d v="2025-10-03T00:00:00"/>
    <d v="2025-10-03T00:00:00"/>
    <x v="0"/>
    <x v="328"/>
    <s v="..\..\Acquisti\2025\EV\FATTURE\EV - INFOCAMERE ft 25060472 del 03-10-2025.pdf"/>
    <m/>
    <x v="3"/>
    <m/>
    <m/>
    <m/>
    <m/>
  </r>
  <r>
    <m/>
    <x v="126"/>
    <s v="365"/>
    <d v="2024-12-16T00:00:00"/>
    <d v="2025-01-16T00:00:00"/>
    <x v="1"/>
    <x v="247"/>
    <s v="C:\Users\Ufficio\Desktop\Amministrazione\Acquisti\2024\EV\Fatture\EV - INTESA HOME ft 365 del 16-12-2024.pdf"/>
    <s v="Bg, Via Ghislandi"/>
    <x v="7"/>
    <m/>
    <m/>
    <m/>
    <m/>
  </r>
  <r>
    <m/>
    <x v="126"/>
    <s v="6"/>
    <d v="2026-01-20T00:00:00"/>
    <d v="2026-01-20T00:00:00"/>
    <x v="1"/>
    <x v="329"/>
    <m/>
    <s v="Bg, Via Ghislandi"/>
    <x v="7"/>
    <m/>
    <m/>
    <m/>
    <m/>
  </r>
  <r>
    <m/>
    <x v="127"/>
    <s v="01S620252800204378"/>
    <d v="2025-04-15T00:00:00"/>
    <d v="2025-05-15T00:00:00"/>
    <x v="0"/>
    <x v="330"/>
    <s v="..\..\Acquisti\2025\EV\FATTURE\EV - INTESA SAN PAOLO ft 204378 del 15-04-2025.pdf"/>
    <m/>
    <x v="13"/>
    <m/>
    <m/>
    <m/>
    <m/>
  </r>
  <r>
    <m/>
    <x v="127"/>
    <s v="01S620252800319780"/>
    <d v="2025-07-15T00:00:00"/>
    <d v="2025-08-14T00:00:00"/>
    <x v="0"/>
    <x v="330"/>
    <s v="..\..\Acquisti\2025\EV\FATTURE\EV - INTESA SAN PAOLO ft 319780 del 15-07-2025.pdf"/>
    <s v="canone mensile "/>
    <x v="13"/>
    <m/>
    <m/>
    <m/>
    <m/>
  </r>
  <r>
    <s v="OK"/>
    <x v="127"/>
    <s v="01S620262800004186"/>
    <d v="2026-01-15T00:00:00"/>
    <d v="2026-02-14T00:00:00"/>
    <x v="0"/>
    <x v="330"/>
    <m/>
    <s v="CANONE 4° TRIMETSRE 2025"/>
    <x v="13"/>
    <m/>
    <m/>
    <m/>
    <m/>
  </r>
  <r>
    <m/>
    <x v="128"/>
    <s v="01S620252800006071"/>
    <d v="2025-01-15T00:00:00"/>
    <m/>
    <x v="0"/>
    <x v="331"/>
    <s v="..\..\Acquisti\2025\EV\FATTURE\EV - INTESA SAN PAOLO ft 6071 del 15-01-2025.pdf"/>
    <m/>
    <x v="4"/>
    <m/>
    <m/>
    <m/>
    <m/>
  </r>
  <r>
    <m/>
    <x v="129"/>
    <s v="558616"/>
    <d v="2026-03-02T00:00:00"/>
    <d v="2026-03-03T00:00:00"/>
    <x v="0"/>
    <x v="332"/>
    <m/>
    <s v="PRIMULA ARMADIO 3 ANTE BATTENTI CON CHIU | PRIMULA COMO 3 CASSETTI L.108 P.47 H.80 | Spese Trasporto"/>
    <x v="14"/>
    <n v="98.53"/>
    <d v="2026-03-03T00:00:00"/>
    <m/>
    <m/>
  </r>
  <r>
    <m/>
    <x v="129"/>
    <s v="558617"/>
    <d v="2026-03-02T00:00:00"/>
    <d v="2026-03-03T00:00:00"/>
    <x v="0"/>
    <x v="333"/>
    <m/>
    <s v="SERVI ABITO SALISCENDI L.89 P.50 H.7 | Spese Trasporto"/>
    <x v="14"/>
    <n v="20.13"/>
    <d v="2026-03-03T00:00:00"/>
    <m/>
    <m/>
  </r>
  <r>
    <s v="OK"/>
    <x v="129"/>
    <n v="2170097"/>
    <d v="2025-08-26T00:00:00"/>
    <d v="2025-08-26T00:00:00"/>
    <x v="0"/>
    <x v="334"/>
    <s v="..\..\Acquisti\2025\EV\FATTURE\EV - IRIS MOBILI SRL ft 2170097 del 26-08-2025.pdf"/>
    <s v="varie Ilaria"/>
    <x v="14"/>
    <m/>
    <m/>
    <m/>
    <m/>
  </r>
  <r>
    <s v="OK"/>
    <x v="129"/>
    <n v="2440506"/>
    <d v="2025-09-23T00:00:00"/>
    <m/>
    <x v="0"/>
    <x v="335"/>
    <s v="..\..\Acquisti\2025\EV\FATTURE\EV - IRIS MOBILI SRL ft 2440506 del 23-09-2025.pdf"/>
    <s v="varie Ilaria"/>
    <x v="14"/>
    <m/>
    <m/>
    <m/>
    <m/>
  </r>
  <r>
    <s v="OK"/>
    <x v="129"/>
    <n v="2440505"/>
    <d v="2025-09-23T00:00:00"/>
    <m/>
    <x v="0"/>
    <x v="336"/>
    <s v="..\..\Acquisti\2025\EV\FATTURE\EV - IRIS MOBILI SRL ft 2440505 del 23-09-2025.pdf"/>
    <s v="varie Ilaria"/>
    <x v="14"/>
    <m/>
    <m/>
    <m/>
    <m/>
  </r>
  <r>
    <s v="OK"/>
    <x v="129"/>
    <n v="2440504"/>
    <d v="2025-09-23T00:00:00"/>
    <m/>
    <x v="0"/>
    <x v="337"/>
    <s v="..\..\Acquisti\2025\EV\FATTURE\EV - IRIS MOBILI SRL ft 2440504 del 23-09-2025.pdf"/>
    <s v="varie Ilaria"/>
    <x v="14"/>
    <m/>
    <m/>
    <m/>
    <m/>
  </r>
  <r>
    <s v="OK"/>
    <x v="129"/>
    <n v="2440503"/>
    <d v="2025-09-23T00:00:00"/>
    <m/>
    <x v="0"/>
    <x v="338"/>
    <s v="..\..\Acquisti\2025\EV\FATTURE\EV - IRIS MOBILI SRL ft 2440503 del 23-09-2025.pdf"/>
    <s v="Varie Ilaria"/>
    <x v="14"/>
    <m/>
    <m/>
    <m/>
    <m/>
  </r>
  <r>
    <s v="OK"/>
    <x v="129"/>
    <n v="2440502"/>
    <d v="2025-09-23T00:00:00"/>
    <m/>
    <x v="0"/>
    <x v="339"/>
    <s v="..\..\Acquisti\2025\EV\FATTURE\EV - IRIS MOBILI SRL ft 2440502 del 23-09-2025.pdf"/>
    <s v="Varie Ilaria"/>
    <x v="14"/>
    <m/>
    <m/>
    <m/>
    <m/>
  </r>
  <r>
    <s v="OK"/>
    <x v="129"/>
    <n v="2790466"/>
    <d v="2025-10-25T00:00:00"/>
    <d v="2025-10-25T00:00:00"/>
    <x v="0"/>
    <x v="340"/>
    <m/>
    <s v="materasso mamma ilaria"/>
    <x v="5"/>
    <m/>
    <m/>
    <m/>
    <m/>
  </r>
  <r>
    <s v="OK"/>
    <x v="130"/>
    <s v="F195202500340"/>
    <d v="2025-10-28T00:00:00"/>
    <d v="2025-10-28T00:00:00"/>
    <x v="0"/>
    <x v="341"/>
    <m/>
    <s v="ILARIA "/>
    <x v="5"/>
    <m/>
    <n v="215.54"/>
    <s v="CARTA "/>
    <m/>
  </r>
  <r>
    <s v="OK"/>
    <x v="130"/>
    <s v="Ff195202500348"/>
    <d v="2025-11-01T00:00:00"/>
    <d v="2025-11-01T00:00:00"/>
    <x v="0"/>
    <x v="342"/>
    <m/>
    <s v="ilaria "/>
    <x v="28"/>
    <m/>
    <n v="295.95"/>
    <s v="CARTA "/>
    <m/>
  </r>
  <r>
    <m/>
    <x v="131"/>
    <s v="PJ11164463"/>
    <d v="2026-02-28T00:00:00"/>
    <m/>
    <x v="1"/>
    <x v="343"/>
    <m/>
    <s v="GASOLIO | GASOLIO | GASOLIO | GASOLIO | GASOLIO | SUPER SENZA PB | SUPER SENZA PB | GASOLIO | FEE"/>
    <x v="12"/>
    <n v="99.3"/>
    <m/>
    <m/>
    <m/>
  </r>
  <r>
    <s v="OK"/>
    <x v="131"/>
    <s v="PJ09397306"/>
    <d v="2025-01-15T00:00:00"/>
    <m/>
    <x v="0"/>
    <x v="344"/>
    <s v="..\..\Acquisti\2025\EV\FATTURE\EV - KUWAIT PETROLEUM ft 7306 del 15-01-2025.pdf"/>
    <s v="fornitura fino al 15/01/2025"/>
    <x v="13"/>
    <m/>
    <m/>
    <m/>
    <m/>
  </r>
  <r>
    <s v="OK"/>
    <x v="131"/>
    <s v="PJ09440238"/>
    <d v="2025-01-31T00:00:00"/>
    <d v="2025-01-31T00:00:00"/>
    <x v="0"/>
    <x v="345"/>
    <s v="..\..\Acquisti\2025\EV\FATTURE\EV- KUWAIT PETROLEUM ft 9440238 del 31-01-2025.pdf"/>
    <s v="fornitura fino al 31/01"/>
    <x v="13"/>
    <d v="2025-03-20T00:00:00"/>
    <n v="916.36"/>
    <s v="BPM"/>
    <m/>
  </r>
  <r>
    <s v="OK"/>
    <x v="131"/>
    <s v="PJ09525901"/>
    <d v="2025-02-15T00:00:00"/>
    <d v="2025-03-08T00:00:00"/>
    <x v="0"/>
    <x v="346"/>
    <s v="..\..\Acquisti\2025\EV\FATTURE\EV - KUWAIT PETROLEUM ft PJ09526901 del 15-02-2025.pdf"/>
    <s v="Fornitura fino al 15/02"/>
    <x v="13"/>
    <d v="2025-03-21T00:00:00"/>
    <n v="916.36"/>
    <s v="BCC 601460"/>
    <m/>
  </r>
  <r>
    <s v="OK"/>
    <x v="131"/>
    <s v="PJ09570709"/>
    <d v="2025-02-28T00:00:00"/>
    <m/>
    <x v="0"/>
    <x v="347"/>
    <s v="..\..\Acquisti\2025\EV\FATTURE\EV - KUWAIT PETROLEUM ft PJ09570709 del 28-02-2025.pdf"/>
    <s v="fornitura fino al 28/02"/>
    <x v="13"/>
    <d v="2025-04-16T00:00:00"/>
    <n v="749.5"/>
    <s v="BCC 601460"/>
    <m/>
  </r>
  <r>
    <s v="OK"/>
    <x v="131"/>
    <s v="PJ09657762"/>
    <d v="2025-03-15T00:00:00"/>
    <m/>
    <x v="0"/>
    <x v="348"/>
    <s v="..\..\Acquisti\2025\EV\FATTURE\EV - KUWAIT PETROLEUM ft 7762 del 15-03-2025.pdf"/>
    <s v="fornitura fino al 15/03"/>
    <x v="13"/>
    <d v="2025-04-16T00:00:00"/>
    <n v="729.96"/>
    <s v="BCC 601460"/>
    <m/>
  </r>
  <r>
    <s v="OK"/>
    <x v="131"/>
    <s v="PJ09741477"/>
    <d v="2025-03-31T00:00:00"/>
    <m/>
    <x v="0"/>
    <x v="349"/>
    <s v="..\..\Acquisti\2025\EV\FATTURE\EV - KUWAIT PETROLEUM ft 09741477 del 31-03-2025.pdf"/>
    <s v="fornitura fino al 31/03"/>
    <x v="13"/>
    <d v="2025-05-06T00:00:00"/>
    <n v="828.84"/>
    <s v="BCC 601460"/>
    <m/>
  </r>
  <r>
    <s v="OK"/>
    <x v="131"/>
    <s v="PJ09790213"/>
    <d v="2025-04-15T00:00:00"/>
    <m/>
    <x v="0"/>
    <x v="350"/>
    <s v="..\..\Acquisti\2025\EV\FATTURE\EV - KUWAIT PETROLEUM ft 09790213 del 15-04-2025.pdf"/>
    <s v="fornitura fino al 15/04"/>
    <x v="13"/>
    <d v="2025-05-23T00:00:00"/>
    <n v="846.19"/>
    <s v="BCC 601460"/>
    <m/>
  </r>
  <r>
    <s v="OK"/>
    <x v="131"/>
    <s v="PJ09834777"/>
    <d v="2025-04-30T00:00:00"/>
    <m/>
    <x v="0"/>
    <x v="351"/>
    <s v="..\..\Acquisti\2025\EV\FATTURE\EV- KUWAIT PETROLEUM ft 09834777 del 30-04-2025.pdf"/>
    <s v="fornitura fino al 30/04"/>
    <x v="13"/>
    <d v="2025-06-16T00:00:00"/>
    <n v="615.79999999999995"/>
    <s v="BCC 601460"/>
    <m/>
  </r>
  <r>
    <s v="OK"/>
    <x v="131"/>
    <s v="PJ09922790"/>
    <d v="2025-05-15T00:00:00"/>
    <m/>
    <x v="0"/>
    <x v="352"/>
    <s v="..\..\Acquisti\2025\EV\FATTURE\EV - KUWAIT PETROLEUM ft 9922790 del 15-05-2025.pdf"/>
    <s v="Fornitura fino al 15/05"/>
    <x v="13"/>
    <d v="2025-06-23T00:00:00"/>
    <n v="568.62"/>
    <s v="BCC 601460"/>
    <m/>
  </r>
  <r>
    <s v="OK"/>
    <x v="131"/>
    <s v="PJ10006930"/>
    <d v="2025-05-31T00:00:00"/>
    <d v="2025-06-21T00:00:00"/>
    <x v="0"/>
    <x v="353"/>
    <s v="..\..\Acquisti\2025\EV\FATTURE\EV - KUWAIT PETROLEUM ft 006930 del 31-05-2025.pdf"/>
    <s v="fornitura fino al 31/05"/>
    <x v="13"/>
    <m/>
    <n v="942.34"/>
    <s v="BCC 601460"/>
    <m/>
  </r>
  <r>
    <s v="OK"/>
    <x v="131"/>
    <s v="PJ10056457"/>
    <d v="2025-06-15T00:00:00"/>
    <m/>
    <x v="0"/>
    <x v="354"/>
    <s v="..\..\Acquisti\2025\EV\FATTURE\EV - KUWAIT PETROLEUM ft PJ10056457 del 15-06-2025.pdf"/>
    <s v="fornitura fino al 15/06"/>
    <x v="47"/>
    <m/>
    <n v="579.76"/>
    <s v="BCC 601460"/>
    <m/>
  </r>
  <r>
    <s v="OK"/>
    <x v="131"/>
    <s v="PJ10140636"/>
    <d v="2025-06-30T00:00:00"/>
    <m/>
    <x v="0"/>
    <x v="355"/>
    <s v="..\..\Acquisti\2025\EV\FATTURE\EV - KUWAIT PETROLEUM ft 10140636 del 30-06-2025.pdf"/>
    <s v="fornitura fino al 30/06"/>
    <x v="13"/>
    <d v="2025-07-20T00:00:00"/>
    <n v="738.19"/>
    <s v="BCC 601460"/>
    <m/>
  </r>
  <r>
    <s v="OK"/>
    <x v="131"/>
    <s v="PJ10190079"/>
    <d v="2025-07-15T00:00:00"/>
    <m/>
    <x v="0"/>
    <x v="356"/>
    <s v="..\..\Acquisti\2025\EV\FATTURE\EV - KUWAIT PETROLEUM ft PJ10190079 del 15-07-2025.pdf"/>
    <s v="fornitura fino al 15/07"/>
    <x v="13"/>
    <d v="2025-08-05T00:00:00"/>
    <n v="1247.81"/>
    <s v="BCC 601460"/>
    <m/>
  </r>
  <r>
    <s v="OK"/>
    <x v="131"/>
    <s v="PJ10235437"/>
    <d v="2025-07-31T00:00:00"/>
    <m/>
    <x v="0"/>
    <x v="357"/>
    <s v="..\..\Acquisti\2025\EV\FATTURE\EV - KUWAIT PETROLEUM ft 235437 del 31-07-2025.pdf"/>
    <s v="fornitura fino al 30/07"/>
    <x v="13"/>
    <d v="2025-08-20T00:00:00"/>
    <n v="986.36"/>
    <s v="BCC 601460"/>
    <m/>
  </r>
  <r>
    <s v="OK"/>
    <x v="131"/>
    <s v="PJ10323778"/>
    <d v="2025-08-15T00:00:00"/>
    <m/>
    <x v="0"/>
    <x v="358"/>
    <s v="..\..\Acquisti\2025\EV\FATTURE\EV - KUWAIT PETROLEUM ft PJ10323778 del 15-08-2025.pdf"/>
    <s v="Fornitura fino al 15/08"/>
    <x v="13"/>
    <d v="2025-09-05T00:00:00"/>
    <n v="1157.67"/>
    <s v="BCC 601460"/>
    <m/>
  </r>
  <r>
    <s v="OK"/>
    <x v="131"/>
    <s v="PJ10366897"/>
    <d v="2025-08-31T00:00:00"/>
    <m/>
    <x v="0"/>
    <x v="359"/>
    <s v="..\..\Acquisti\2025\EV\FATTURE\EV - KUWAIT PETROLEUM ft 366897 del 31-08-2025.pdf"/>
    <s v="Fornitura fino al 31/08"/>
    <x v="13"/>
    <d v="2025-09-20T00:00:00"/>
    <n v="748.7"/>
    <s v="BCC 601460"/>
    <m/>
  </r>
  <r>
    <s v="OK"/>
    <x v="131"/>
    <s v="PJ10452503"/>
    <d v="2025-09-15T00:00:00"/>
    <m/>
    <x v="0"/>
    <x v="360"/>
    <s v="..\..\Acquisti\2025\EV\FATTURE\EV - KUWAIT PETROLEUM ft PJ10452503 del 15-09-2025.pdf"/>
    <s v="Fornitura fino al 15/09"/>
    <x v="13"/>
    <d v="2025-10-05T00:00:00"/>
    <n v="662.09"/>
    <s v="BCC 601460"/>
    <m/>
  </r>
  <r>
    <s v="OK"/>
    <x v="131"/>
    <s v="PJ10536722"/>
    <d v="2025-09-30T00:00:00"/>
    <m/>
    <x v="0"/>
    <x v="361"/>
    <s v="..\..\Acquisti\2025\EV\FATTURE\EV - KUWAIT PETROLEUM ft PJ10536722 del 30-09-2025.pdf"/>
    <s v="fornitura fino al 30/09"/>
    <x v="13"/>
    <d v="2025-10-20T00:00:00"/>
    <n v="620.88"/>
    <s v="BCC 601460"/>
    <m/>
  </r>
  <r>
    <m/>
    <x v="131"/>
    <s v="PJ10631845"/>
    <d v="2025-10-31T00:00:00"/>
    <d v="2025-10-15T00:00:00"/>
    <x v="0"/>
    <x v="362"/>
    <s v="fornitura fino al 31/10"/>
    <s v="fornitura fino al 15/10"/>
    <x v="13"/>
    <d v="2025-11-10T00:00:00"/>
    <n v="328.43"/>
    <s v="BCC 601460"/>
    <m/>
  </r>
  <r>
    <s v="pagata???"/>
    <x v="131"/>
    <s v="PJ10631845"/>
    <d v="2025-10-31T00:00:00"/>
    <d v="2025-10-30T00:00:00"/>
    <x v="0"/>
    <x v="363"/>
    <m/>
    <s v="fornitura fino al 31/10"/>
    <x v="13"/>
    <d v="2025-11-20T00:00:00"/>
    <n v="758.4"/>
    <s v="BCC 601460"/>
    <m/>
  </r>
  <r>
    <m/>
    <x v="131"/>
    <s v="PJ10899325"/>
    <d v="2025-12-31T00:00:00"/>
    <d v="2025-12-31T00:00:00"/>
    <x v="0"/>
    <x v="364"/>
    <m/>
    <s v="fornitura fino al 31/12"/>
    <x v="13"/>
    <d v="2025-12-31T00:00:00"/>
    <m/>
    <s v="BCC 601460"/>
    <m/>
  </r>
  <r>
    <s v="OK"/>
    <x v="131"/>
    <s v="PJ10720334"/>
    <d v="2025-11-15T00:00:00"/>
    <d v="2025-11-15T00:00:00"/>
    <x v="0"/>
    <x v="365"/>
    <m/>
    <s v="fornitura fino al 31/11"/>
    <x v="13"/>
    <d v="2025-12-10T00:00:00"/>
    <n v="415.6"/>
    <s v="BCC 601460"/>
    <m/>
  </r>
  <r>
    <s v="OK"/>
    <x v="131"/>
    <s v="PJ10765593"/>
    <d v="2025-11-30T00:00:00"/>
    <d v="2025-11-30T00:00:00"/>
    <x v="0"/>
    <x v="366"/>
    <m/>
    <m/>
    <x v="13"/>
    <d v="2025-12-20T00:00:00"/>
    <n v="764.62"/>
    <s v="BCC 601460"/>
    <m/>
  </r>
  <r>
    <s v="OK"/>
    <x v="131"/>
    <s v="PJ10854034"/>
    <d v="2025-12-15T00:00:00"/>
    <d v="2025-12-15T00:00:00"/>
    <x v="0"/>
    <x v="367"/>
    <m/>
    <s v="fornitura fino al 31/12"/>
    <x v="13"/>
    <d v="2026-01-05T00:00:00"/>
    <n v="560.03"/>
    <s v="BCC 601460"/>
    <m/>
  </r>
  <r>
    <s v="OK"/>
    <x v="131"/>
    <s v="PJ10987035"/>
    <d v="2026-01-15T00:00:00"/>
    <d v="2026-01-15T00:00:00"/>
    <x v="0"/>
    <x v="368"/>
    <s v="fornitura fino al 15,01,26"/>
    <s v="Sepa direct"/>
    <x v="4"/>
    <m/>
    <m/>
    <m/>
    <m/>
  </r>
  <r>
    <m/>
    <x v="131"/>
    <s v="PJ11031386"/>
    <d v="2026-01-31T00:00:00"/>
    <d v="2026-02-25T00:00:00"/>
    <x v="0"/>
    <x v="369"/>
    <m/>
    <s v="SUPER SENZA PB | SUPER SENZA PB | GASOLIO | GASOLIO | GASOLIO | GASOLIO | GASOLIO | SUPER SENZA PB | GASOLIO | SUPER SENZA PB | GASOLIO | GASOLIO | SUPER SENZA PB | SUPER SENZA PB | FEE"/>
    <x v="12"/>
    <n v="159.38999999999999"/>
    <m/>
    <m/>
    <m/>
  </r>
  <r>
    <m/>
    <x v="131"/>
    <s v="PJ11119355"/>
    <d v="2026-02-15T00:00:00"/>
    <d v="2026-03-15T00:00:00"/>
    <x v="1"/>
    <x v="370"/>
    <m/>
    <s v="SUPER SENZA PB | GASOLIO | GASOLIO | GASOLIO | GASOLIO | GASOLIO | GASOLIO | SUPER SENZA PB"/>
    <x v="12"/>
    <n v="101.31"/>
    <m/>
    <m/>
    <m/>
  </r>
  <r>
    <m/>
    <x v="132"/>
    <s v="90"/>
    <d v="2026-01-20T00:00:00"/>
    <d v="2026-02-10T00:00:00"/>
    <x v="1"/>
    <x v="371"/>
    <m/>
    <s v="CARRO PER GRU FM VS GRU FM 13.48 CTY DA 3,80X3,80 COMPLETO DI ZAVORRE | PRIMO ELEMENTO DI RACCORDO CARRO TORRE PER VS GRU FM 13.48 CTY | Nolo dal 08/12/2025 al 07/01/2026 --- Rif ddt nolo nr 5434 del "/>
    <x v="16"/>
    <n v="77"/>
    <d v="2026-02-10T00:00:00"/>
    <m/>
    <m/>
  </r>
  <r>
    <m/>
    <x v="133"/>
    <n v="144"/>
    <d v="2025-01-20T00:00:00"/>
    <m/>
    <x v="0"/>
    <x v="371"/>
    <s v="..\..\Acquisti\2025\EV\FATTURE\EV - LA PIAZZONI ft 144 del 20-01-2025.pdf"/>
    <m/>
    <x v="7"/>
    <m/>
    <m/>
    <m/>
    <m/>
  </r>
  <r>
    <m/>
    <x v="133"/>
    <n v="2864"/>
    <d v="2024-04-22T00:00:00"/>
    <m/>
    <x v="0"/>
    <x v="372"/>
    <m/>
    <s v="nolo carro gru"/>
    <x v="4"/>
    <m/>
    <m/>
    <m/>
    <m/>
  </r>
  <r>
    <m/>
    <x v="133"/>
    <s v="2994"/>
    <d v="2024-04-30T00:00:00"/>
    <m/>
    <x v="0"/>
    <x v="373"/>
    <s v="C:\Users\Ufficio\Desktop\Amministrazione\Acquisti\2024\EV\Fatture\EV - LA PIAZZONI ft 2994 del 30-04-2024.pdf"/>
    <s v="nolo base gru 13,50 dal 02/05 al 01/07"/>
    <x v="7"/>
    <m/>
    <m/>
    <m/>
    <m/>
  </r>
  <r>
    <m/>
    <x v="133"/>
    <s v="4245"/>
    <d v="2024-05-31T00:00:00"/>
    <m/>
    <x v="0"/>
    <x v="372"/>
    <s v="C:\Users\Ufficio\Desktop\Amministrazione\Acquisti\2024\EV\Fatture\EV - LA PIAZZONI ft 4245 del 31-05-2024.pdf"/>
    <s v="nolo base gru 13,50 dal 02/07 al 01/09"/>
    <x v="7"/>
    <d v="2025-02-21T00:00:00"/>
    <n v="0"/>
    <s v="BPM"/>
    <m/>
  </r>
  <r>
    <m/>
    <x v="133"/>
    <m/>
    <m/>
    <d v="2024-11-10T00:00:00"/>
    <x v="0"/>
    <x v="97"/>
    <m/>
    <m/>
    <x v="4"/>
    <d v="2025-02-21T00:00:00"/>
    <n v="0"/>
    <s v="BPM"/>
    <m/>
  </r>
  <r>
    <m/>
    <x v="133"/>
    <m/>
    <m/>
    <d v="2024-12-10T00:00:00"/>
    <x v="0"/>
    <x v="97"/>
    <m/>
    <m/>
    <x v="4"/>
    <d v="2025-06-18T00:00:00"/>
    <n v="25000"/>
    <m/>
    <m/>
  </r>
  <r>
    <m/>
    <x v="133"/>
    <m/>
    <m/>
    <d v="2025-01-25T00:00:00"/>
    <x v="0"/>
    <x v="374"/>
    <m/>
    <m/>
    <x v="7"/>
    <m/>
    <m/>
    <m/>
    <m/>
  </r>
  <r>
    <m/>
    <x v="133"/>
    <s v="6079"/>
    <d v="2024-08-31T00:00:00"/>
    <d v="2024-09-10T00:00:00"/>
    <x v="0"/>
    <x v="372"/>
    <s v="C:\Users\Ufficio\Desktop\Amministrazione\Acquisti\2024\EV\Fatture\EV - LA PIAZZONI ft 6079 del 31-08-2024.pdf"/>
    <s v="nolo blocchi zavorra - DDT 4060 del 02/05/2022"/>
    <x v="7"/>
    <m/>
    <m/>
    <m/>
    <m/>
  </r>
  <r>
    <m/>
    <x v="133"/>
    <s v="8156"/>
    <d v="2024-11-20T00:00:00"/>
    <d v="2024-12-10T00:00:00"/>
    <x v="0"/>
    <x v="375"/>
    <s v="C:\Users\Ufficio\Desktop\Amministrazione\Acquisti\2024\EV\Fatture\EV - LA PIAZZONI ft 8156 del 20-11-2024.pdf"/>
    <s v="nolo blocchi zavorra - ddt 4060 del 02/05/2022"/>
    <x v="7"/>
    <m/>
    <m/>
    <m/>
    <m/>
  </r>
  <r>
    <m/>
    <x v="133"/>
    <s v="9271"/>
    <d v="2024-12-27T00:00:00"/>
    <d v="2025-01-10T00:00:00"/>
    <x v="0"/>
    <x v="371"/>
    <s v="C:\Users\Ufficio\Desktop\Amministrazione\Acquisti\2024\EV\Fatture\EV - LA PIAZZONI ft 9271 del 27-12-2024.pdf"/>
    <m/>
    <x v="7"/>
    <m/>
    <m/>
    <m/>
    <m/>
  </r>
  <r>
    <m/>
    <x v="133"/>
    <s v="1289"/>
    <d v="2025-02-28T00:00:00"/>
    <d v="2025-03-10T00:00:00"/>
    <x v="0"/>
    <x v="376"/>
    <s v="..\..\Acquisti\2025\EV\FATTURE\EV - LA PIAZZONI nc 1289 del 28-02-2025.pdf"/>
    <m/>
    <x v="7"/>
    <m/>
    <m/>
    <m/>
    <m/>
  </r>
  <r>
    <m/>
    <x v="133"/>
    <s v="4980"/>
    <d v="2025-07-31T00:00:00"/>
    <d v="2025-08-10T00:00:00"/>
    <x v="1"/>
    <x v="377"/>
    <s v="..\..\Acquisti\2025\EV\FATTURE\EV - LA PIAZZONI ft 4980 del 31-07-2025.pdf"/>
    <s v="noleggio per Trezzano Rosa"/>
    <x v="7"/>
    <d v="2025-01-28T00:00:00"/>
    <n v="0"/>
    <s v="BPM"/>
    <m/>
  </r>
  <r>
    <m/>
    <x v="133"/>
    <s v="5501"/>
    <d v="2025-08-31T00:00:00"/>
    <d v="2025-09-10T00:00:00"/>
    <x v="1"/>
    <x v="371"/>
    <s v="..\..\Acquisti\2025\EV\FATTURE\EV - LA PIAZZONI ft 5501 del 31-08-2025.pdf"/>
    <s v="Dichiarazione di idoneità piano di appoggio gru - Trezzano Rosa"/>
    <x v="7"/>
    <m/>
    <m/>
    <m/>
    <m/>
  </r>
  <r>
    <m/>
    <x v="133"/>
    <s v="5820"/>
    <d v="2025-09-17T00:00:00"/>
    <d v="2025-10-10T00:00:00"/>
    <x v="0"/>
    <x v="378"/>
    <s v="..\..\Acquisti\2025\EV\FATTURE\EV - LA PIAZZONI ft 5820 del 17-09-2025.pdf"/>
    <s v="Addebito per saldo residuo e interessi di mora"/>
    <x v="7"/>
    <m/>
    <m/>
    <m/>
    <m/>
  </r>
  <r>
    <m/>
    <x v="133"/>
    <s v="6447"/>
    <d v="2025-09-30T00:00:00"/>
    <d v="2025-10-10T00:00:00"/>
    <x v="1"/>
    <x v="372"/>
    <s v="..\..\Acquisti\2025\EV\FATTURE\EV - LA PIAZZONI ft 6447 del 30-09-2025.pdf"/>
    <s v="Trezzano Rosa"/>
    <x v="7"/>
    <m/>
    <m/>
    <m/>
    <m/>
  </r>
  <r>
    <m/>
    <x v="133"/>
    <s v="6404"/>
    <d v="2025-09-30T00:00:00"/>
    <d v="2025-12-10T00:00:00"/>
    <x v="1"/>
    <x v="379"/>
    <s v="..\..\Acquisti\2025\EV\FATTURE\EV - LA PIAZZONI ft 6404 del 30-09-2025.pdf"/>
    <s v="ATTREZZATURA PONTEGGIO ALZANO "/>
    <x v="11"/>
    <d v="2025-12-10T00:00:00"/>
    <n v="2598.6"/>
    <s v="BCC 601460"/>
    <m/>
  </r>
  <r>
    <s v="ok"/>
    <x v="133"/>
    <s v="6638"/>
    <d v="2025-10-20T00:00:00"/>
    <d v="2025-11-10T00:00:00"/>
    <x v="1"/>
    <x v="372"/>
    <m/>
    <s v="Trezzano Rosa_  nolo gru dsl 8/09/25 al 7/11/25"/>
    <x v="27"/>
    <d v="2025-11-10T00:00:00"/>
    <n v="854"/>
    <m/>
    <m/>
  </r>
  <r>
    <m/>
    <x v="133"/>
    <s v="7827"/>
    <d v="2025-11-30T00:00:00"/>
    <d v="2025-12-10T00:00:00"/>
    <x v="1"/>
    <x v="371"/>
    <m/>
    <s v="Trezzano Rosa_  nolo CARO gru dal 8,11,25 al 7/12/2025"/>
    <x v="8"/>
    <d v="2025-12-10T00:00:00"/>
    <n v="427"/>
    <m/>
    <m/>
  </r>
  <r>
    <s v="contestato"/>
    <x v="134"/>
    <s v="410/A"/>
    <d v="2025-03-31T00:00:00"/>
    <d v="2025-05-30T00:00:00"/>
    <x v="1"/>
    <x v="380"/>
    <s v="..\..\Acquisti\2025\EV\FATTURE\EV - LANFRANCHI MARCO ft 410 del 31-03-2025.pdf"/>
    <m/>
    <x v="4"/>
    <m/>
    <m/>
    <m/>
    <m/>
  </r>
  <r>
    <m/>
    <x v="134"/>
    <s v="502/A"/>
    <d v="2025-04-30T00:00:00"/>
    <m/>
    <x v="1"/>
    <x v="381"/>
    <s v="..\..\Acquisti\2025\EV\FATTURE\EV - LANFRANCHI MARCO ft 502 del 30-04-2025.pdf"/>
    <m/>
    <x v="4"/>
    <m/>
    <m/>
    <m/>
    <m/>
  </r>
  <r>
    <m/>
    <x v="134"/>
    <s v="637/A"/>
    <d v="2025-05-31T00:00:00"/>
    <m/>
    <x v="1"/>
    <x v="382"/>
    <s v="..\..\Acquisti\2025\EV\FATTURE\EV - LANFRANCHI MARCO ft 637 del 31-05-2025+.pdf"/>
    <m/>
    <x v="4"/>
    <m/>
    <m/>
    <s v="Ilaria"/>
    <m/>
  </r>
  <r>
    <m/>
    <x v="135"/>
    <n v="926"/>
    <d v="2025-06-24T00:00:00"/>
    <m/>
    <x v="0"/>
    <x v="383"/>
    <s v="..\..\Acquisti\2025\EV\FATTURE\EV - LANZI FLOROVIVAISTICA ft 926 del 24-06-2025.pdf"/>
    <m/>
    <x v="4"/>
    <m/>
    <m/>
    <s v="Ilaria"/>
    <m/>
  </r>
  <r>
    <m/>
    <x v="135"/>
    <n v="953"/>
    <d v="2025-06-30T00:00:00"/>
    <m/>
    <x v="0"/>
    <x v="54"/>
    <s v="..\..\Acquisti\2025\EV\FATTURE\EV - LANZI FLOROVIVAISTICA ft 953 del 30-06-2025.pdf"/>
    <m/>
    <x v="14"/>
    <m/>
    <m/>
    <m/>
    <m/>
  </r>
  <r>
    <s v="OK"/>
    <x v="136"/>
    <s v="PROF 234"/>
    <d v="2025-05-16T00:00:00"/>
    <m/>
    <x v="1"/>
    <x v="384"/>
    <m/>
    <s v="elaborazione contabilità e servizi_ 2° trimestre  2025 "/>
    <x v="4"/>
    <m/>
    <m/>
    <m/>
    <m/>
  </r>
  <r>
    <s v="OK"/>
    <x v="136"/>
    <s v="PROF 487"/>
    <d v="2025-07-28T00:00:00"/>
    <m/>
    <x v="1"/>
    <x v="385"/>
    <m/>
    <s v="elaborazione contabilità e servizi_ 3° trimestre  2025 "/>
    <x v="4"/>
    <m/>
    <m/>
    <m/>
    <m/>
  </r>
  <r>
    <s v="OK"/>
    <x v="136"/>
    <s v="FT 737"/>
    <d v="2025-10-17T00:00:00"/>
    <m/>
    <x v="0"/>
    <x v="301"/>
    <m/>
    <m/>
    <x v="8"/>
    <d v="2025-10-30T00:00:00"/>
    <n v="4500"/>
    <s v="POP SO "/>
    <m/>
  </r>
  <r>
    <s v="OK"/>
    <x v="136"/>
    <s v="760"/>
    <d v="2025-11-03T00:00:00"/>
    <m/>
    <x v="0"/>
    <x v="386"/>
    <m/>
    <s v="elaborazione contabilità e servizi"/>
    <x v="8"/>
    <d v="2025-10-31T00:00:00"/>
    <n v="4500"/>
    <s v="POP SO _ UNICO BONIFICO DA 4500"/>
    <m/>
  </r>
  <r>
    <s v="OK"/>
    <x v="136"/>
    <s v="759"/>
    <d v="2025-11-03T00:00:00"/>
    <m/>
    <x v="0"/>
    <x v="387"/>
    <s v="file:///\\192.168.1.231\..\AppData\Acquisti\2023\EV\Proforme\Bellini%20173-edilvertova-prog-via%20ghislandiBG-L10.pdf"/>
    <s v="elaborazione contabilità e servizi"/>
    <x v="8"/>
    <d v="2025-10-31T00:00:00"/>
    <n v="4500"/>
    <s v="POP SO _ UNICO BONIFICO DA 4500"/>
    <m/>
  </r>
  <r>
    <s v="OK"/>
    <x v="136"/>
    <s v="ft???"/>
    <m/>
    <m/>
    <x v="1"/>
    <x v="388"/>
    <s v="file:///\\192.168.1.231\..\AppData\Acquisti\2023\EV\Proforme\Bellini%20173-edilvertova-prog-via%20ghislandiBG-L10.pdf"/>
    <s v="elaborazione contabilità e servizi_ 4° trimestre 2025"/>
    <x v="4"/>
    <m/>
    <m/>
    <m/>
    <m/>
  </r>
  <r>
    <n v="2024"/>
    <x v="136"/>
    <n v="41"/>
    <d v="2025-01-29T00:00:00"/>
    <m/>
    <x v="0"/>
    <x v="389"/>
    <s v="..\..\Acquisti\2025\EV\FATTURE\EV - LEADERS SRL ft 41 del 29-01-2025.pdf"/>
    <s v="Elaborazione contabilità e servizi IV trimestre 2024"/>
    <x v="7"/>
    <d v="2025-01-28T00:00:00"/>
    <n v="0"/>
    <s v="BPM"/>
    <m/>
  </r>
  <r>
    <n v="2024"/>
    <x v="136"/>
    <n v="40"/>
    <d v="2025-01-29T00:00:00"/>
    <m/>
    <x v="0"/>
    <x v="390"/>
    <s v="..\..\Acquisti\2025\EV\FATTURE\EV - LEADERS SRL ft 40 del 29-01-2025.pdf"/>
    <s v="elaborazione contabilità e servizi III trimestre 2024"/>
    <x v="7"/>
    <m/>
    <m/>
    <m/>
    <m/>
  </r>
  <r>
    <m/>
    <x v="137"/>
    <n v="98"/>
    <d v="2025-05-27T00:00:00"/>
    <m/>
    <x v="0"/>
    <x v="391"/>
    <s v="..\..\Acquisti\2025\EV\FATTURE\EV - LEON D'ORO ft 98 del 27-05-2025.pdf"/>
    <s v="pranzo"/>
    <x v="3"/>
    <m/>
    <m/>
    <m/>
    <m/>
  </r>
  <r>
    <s v="OK"/>
    <x v="138"/>
    <s v="041-026775"/>
    <d v="2025-06-07T00:00:00"/>
    <d v="2025-06-09T00:00:00"/>
    <x v="0"/>
    <x v="392"/>
    <s v="..\..\Acquisti\2025\EV\FATTURE\EV - LEROY MERLIN ft 041-026775 del 07-06-2025.pdf"/>
    <s v="Varie Ilaria"/>
    <x v="3"/>
    <m/>
    <m/>
    <m/>
    <m/>
  </r>
  <r>
    <s v="OK"/>
    <x v="138"/>
    <s v="041-031572"/>
    <d v="2025-07-02T00:00:00"/>
    <m/>
    <x v="0"/>
    <x v="393"/>
    <s v="..\..\Acquisti\2025\EV\FATTURE\EV - LEROY MERLIN ft 31572 del 02-07-2025.pdf"/>
    <s v="vertova"/>
    <x v="46"/>
    <m/>
    <m/>
    <m/>
    <m/>
  </r>
  <r>
    <s v="OK"/>
    <x v="138"/>
    <s v="041-033921"/>
    <d v="2025-07-16T00:00:00"/>
    <m/>
    <x v="0"/>
    <x v="394"/>
    <s v="..\..\Acquisti\2025\EV\FATTURE\EV - LEROY MERLIN ft 33921 del 16-07-2025.pdf"/>
    <s v="vertova"/>
    <x v="46"/>
    <m/>
    <m/>
    <m/>
    <m/>
  </r>
  <r>
    <s v="OK"/>
    <x v="138"/>
    <s v="041-036214"/>
    <d v="2025-07-30T00:00:00"/>
    <m/>
    <x v="0"/>
    <x v="395"/>
    <s v="..\..\Acquisti\2025\EV\FATTURE\EV - LEROY MERLIN ft 041-036214 del 30-07-2025.pdf"/>
    <s v="varie "/>
    <x v="46"/>
    <d v="2025-07-15T00:00:00"/>
    <n v="150.01"/>
    <m/>
    <m/>
  </r>
  <r>
    <s v="OK"/>
    <x v="138"/>
    <s v="041-038114"/>
    <d v="2025-08-11T00:00:00"/>
    <m/>
    <x v="0"/>
    <x v="396"/>
    <s v="..\..\Acquisti\2025\EV\FATTURE\EV - LEROY MERLIN ft 038114 del 11-08-2025.pdf"/>
    <s v="varie"/>
    <x v="46"/>
    <m/>
    <m/>
    <m/>
    <m/>
  </r>
  <r>
    <s v="OK"/>
    <x v="138"/>
    <s v="041-052108"/>
    <d v="2025-11-05T00:00:00"/>
    <d v="2025-11-05T00:00:00"/>
    <x v="0"/>
    <x v="397"/>
    <s v="file:///\\192.168.1.231\..\AppData\Acquisti\2023\EV\Proforme\BELLOLI%204162%20nota%2027.10.23%20-%20Colombini_Gagliolo.pdf"/>
    <s v="VARIE "/>
    <x v="46"/>
    <m/>
    <m/>
    <m/>
    <m/>
  </r>
  <r>
    <s v="OK"/>
    <x v="138"/>
    <s v="041-052116"/>
    <d v="2025-11-05T00:00:00"/>
    <d v="2025-11-05T00:00:00"/>
    <x v="0"/>
    <x v="398"/>
    <s v="file:///\\192.168.1.231\..\AppData\Acquisti\2023\EV\Proforme\BELLOLI%204162%20nota%2027.10.23%20-%20Colombini_Gagliolo.pdf"/>
    <s v="VARIE "/>
    <x v="46"/>
    <m/>
    <m/>
    <m/>
    <m/>
  </r>
  <r>
    <s v="OK"/>
    <x v="138"/>
    <s v="041-054936"/>
    <d v="2025-11-21T00:00:00"/>
    <d v="2025-11-21T00:00:00"/>
    <x v="0"/>
    <x v="399"/>
    <s v="file:///\\192.168.1.231\..\AppData\Acquisti\2023\EV\Proforme\BELLOLI%204162%20nota%2027.10.23%20-%20Colombini_Gagliolo.pdf"/>
    <s v="VARIE "/>
    <x v="46"/>
    <d v="2025-11-21T00:00:00"/>
    <n v="121.53"/>
    <s v="CARTA /ONLINE "/>
    <m/>
  </r>
  <r>
    <s v="OK"/>
    <x v="138"/>
    <s v="041-055369"/>
    <d v="2025-11-24T00:00:00"/>
    <d v="2025-11-24T00:00:00"/>
    <x v="0"/>
    <x v="400"/>
    <s v="file:///\\192.168.1.231\..\AppData\Acquisti\2023\EV\Proforme\BELLOLI%204162%20nota%2027.10.23%20-%20Colombini_Gagliolo.pdf"/>
    <s v="VARIE "/>
    <x v="46"/>
    <d v="2025-11-24T00:00:00"/>
    <n v="355.82"/>
    <s v="CARTA /ONLINE "/>
    <m/>
  </r>
  <r>
    <s v="OK"/>
    <x v="138"/>
    <s v="041-057252"/>
    <d v="2025-12-04T00:00:00"/>
    <d v="2025-12-04T00:00:00"/>
    <x v="0"/>
    <x v="401"/>
    <s v="file:///\\192.168.1.231\..\AppData\Acquisti\2023\EV\Proforme\BELLOLI%204162%20nota%2027.10.23%20-%20Colombini_Gagliolo.pdf"/>
    <s v="VARIE "/>
    <x v="5"/>
    <m/>
    <n v="39.89"/>
    <s v="CARTA /ONLINE "/>
    <m/>
  </r>
  <r>
    <s v="NOTA DI CREDITO "/>
    <x v="138"/>
    <s v="NC 041-003594"/>
    <d v="2025-12-11T00:00:00"/>
    <d v="2025-12-11T00:00:00"/>
    <x v="0"/>
    <x v="402"/>
    <s v="file:///\\192.168.1.231\..\AppData\Acquisti\2023\EV\Proforme\BELLOLI%204162%20nota%2027.10.23%20-%20Colombini_Gagliolo.pdf"/>
    <s v="NOTA DI CREDITO "/>
    <x v="4"/>
    <m/>
    <m/>
    <m/>
    <m/>
  </r>
  <r>
    <m/>
    <x v="139"/>
    <s v="FEIM000117"/>
    <d v="2025-01-15T00:00:00"/>
    <d v="2025-03-16T00:00:00"/>
    <x v="0"/>
    <x v="403"/>
    <s v="..\..\Acquisti\2025\EV\FATTURE\EV - LIBRERIA AMMINISTRATIVA ft 117 del 15-01-2025 .pdf"/>
    <s v="Ufficio"/>
    <x v="7"/>
    <m/>
    <m/>
    <m/>
    <m/>
  </r>
  <r>
    <s v="OK"/>
    <x v="139"/>
    <s v="FEIM001697"/>
    <d v="2025-11-13T00:00:00"/>
    <m/>
    <x v="0"/>
    <x v="404"/>
    <s v="file:///\\192.168.1.231\..\AppData\Acquisti\2023\EV\Proforme\BELLOLI%204162%20nota%2027.10.23%20-%20Colombini_Gagliolo.pdf"/>
    <s v="UFFICIO "/>
    <x v="8"/>
    <m/>
    <m/>
    <m/>
    <m/>
  </r>
  <r>
    <m/>
    <x v="140"/>
    <s v="F-0106"/>
    <d v="2025-01-29T00:00:00"/>
    <m/>
    <x v="0"/>
    <x v="405"/>
    <s v="..\..\Acquisti\2025\EV\FATTURE\EV - LOCANDA ROSA SAS ft 106 del 29-01-2025.pdf"/>
    <s v="Pasto"/>
    <x v="14"/>
    <m/>
    <m/>
    <m/>
    <m/>
  </r>
  <r>
    <m/>
    <x v="140"/>
    <s v="407/F"/>
    <d v="2025-04-14T00:00:00"/>
    <m/>
    <x v="0"/>
    <x v="406"/>
    <s v="..\..\Acquisti\2025\EV\FATTURE\EV - LOCANDA ROSA SAS ft 407 del 14-04-2025.pdf"/>
    <s v="pranzo"/>
    <x v="3"/>
    <m/>
    <m/>
    <m/>
    <m/>
  </r>
  <r>
    <m/>
    <x v="140"/>
    <s v="623/F"/>
    <d v="2025-06-17T00:00:00"/>
    <m/>
    <x v="0"/>
    <x v="407"/>
    <s v="..\..\Acquisti\2025\EV\FATTURE\EV - LOCANDA ROSA SAS ft 623 del 17-06-2025.pdf"/>
    <s v="pranzo"/>
    <x v="3"/>
    <m/>
    <m/>
    <m/>
    <m/>
  </r>
  <r>
    <s v="OK"/>
    <x v="141"/>
    <n v="161"/>
    <d v="2025-01-31T00:00:00"/>
    <d v="2025-04-01T00:00:00"/>
    <x v="0"/>
    <x v="408"/>
    <s v="..\..\Acquisti\2025\EV\FATTURE\EV - LUCE IN ft 161 del 31-01-2025.pdf"/>
    <s v="Bergamo, Via Ghislandi_ ACCONTO "/>
    <x v="7"/>
    <d v="2025-03-14T00:00:00"/>
    <n v="5000"/>
    <s v="BPM"/>
    <m/>
  </r>
  <r>
    <s v="OK"/>
    <x v="141"/>
    <n v="161"/>
    <d v="2025-01-31T00:00:00"/>
    <d v="2025-04-01T00:00:00"/>
    <x v="0"/>
    <x v="408"/>
    <s v="..\..\Acquisti\2025\EV\FATTURE\EV - LUCE IN ft 161 del 31-01-2025.pdf"/>
    <s v="Bergamo, Via Ghislandi_ SALDO "/>
    <x v="7"/>
    <d v="2025-10-15T00:00:00"/>
    <n v="2210"/>
    <s v="POS SONDRIO"/>
    <m/>
  </r>
  <r>
    <s v="OK"/>
    <x v="141"/>
    <n v="390"/>
    <d v="2025-02-28T00:00:00"/>
    <m/>
    <x v="0"/>
    <x v="409"/>
    <s v="..\..\Acquisti\2025\EV\FATTURE\EV - LUCE IN ft 390 del 28-02-2025.pdf"/>
    <s v="Bergamo, Torre Boldone Via Kennedy"/>
    <x v="7"/>
    <d v="2025-10-30T00:00:00"/>
    <n v="2024"/>
    <s v="POP SO 2384X38 _ ACCONTO FT 390 E FT 1659"/>
    <m/>
  </r>
  <r>
    <s v="OK"/>
    <x v="141"/>
    <n v="581"/>
    <d v="2025-03-31T00:00:00"/>
    <m/>
    <x v="0"/>
    <x v="410"/>
    <s v="..\..\Acquisti\2025\EV\FATTURE\EV - LUCE IN ft 581 del 31-03-2025.pdf"/>
    <s v="Torre Boldone, via Kennedy"/>
    <x v="7"/>
    <d v="2025-10-30T00:00:00"/>
    <m/>
    <m/>
    <m/>
  </r>
  <r>
    <s v="OK"/>
    <x v="141"/>
    <n v="1659"/>
    <d v="2025-09-24T00:00:00"/>
    <d v="2025-09-24T00:00:00"/>
    <x v="0"/>
    <x v="411"/>
    <s v="..\..\Acquisti\2025\EV\FATTURE\EV - LUCE IN ft 1659 del 24-09-2025.pdf"/>
    <s v="GHISLANDI "/>
    <x v="7"/>
    <m/>
    <n v="186.1400000000001"/>
    <m/>
    <m/>
  </r>
  <r>
    <s v="OK"/>
    <x v="142"/>
    <n v="1659"/>
    <d v="2025-09-24T00:00:00"/>
    <d v="2025-09-24T00:00:00"/>
    <x v="0"/>
    <x v="412"/>
    <s v="file:///\\192.168.1.231\..\AppData\Acquisti\2023\EV\Proforme\BELLOLI%20doc%204185%20del%2020-11-2023-dm.pdf"/>
    <s v="GHISLANDI "/>
    <x v="48"/>
    <d v="2026-01-23T00:00:00"/>
    <m/>
    <m/>
    <m/>
  </r>
  <r>
    <s v="OK"/>
    <x v="141"/>
    <s v="NC1780"/>
    <d v="2025-09-30T00:00:00"/>
    <d v="2025-09-30T00:00:00"/>
    <x v="0"/>
    <x v="413"/>
    <s v="..\..\Acquisti\2025\EV\FATTURE\EV - LUCE IN nc 1780 del 30-09-2025.pdf"/>
    <s v="nota di credito per merce non consegnata FATTURA 581"/>
    <x v="7"/>
    <m/>
    <m/>
    <m/>
    <m/>
  </r>
  <r>
    <n v="2024"/>
    <x v="143"/>
    <s v="000105-2024"/>
    <d v="2024-12-23T00:00:00"/>
    <d v="2025-02-28T00:00:00"/>
    <x v="0"/>
    <x v="414"/>
    <s v="C:\Users\Ufficio\Desktop\Amministrazione\Acquisti\2024\EV\Fatture\EV - MADASCHI GIUSEPPE ft 105 del 23-12-204.pdf"/>
    <s v="Mezzi: GD763GG - FL041BG -"/>
    <x v="7"/>
    <d v="2025-03-14T00:00:00"/>
    <n v="1236.1199999999999"/>
    <s v="BPM "/>
    <m/>
  </r>
  <r>
    <s v="Ok"/>
    <x v="143"/>
    <s v="000009-2025"/>
    <d v="2025-02-28T00:00:00"/>
    <d v="2025-04-30T00:00:00"/>
    <x v="0"/>
    <x v="415"/>
    <s v="..\..\Acquisti\2025\EV\FATTURE\EV - MADASCHI GIUSEPPE ft 9 del 28-02-2025.pdf"/>
    <s v="Renault Clio FX155TF"/>
    <x v="7"/>
    <d v="2025-07-30T00:00:00"/>
    <n v="563.63"/>
    <s v="bcc 601460"/>
    <m/>
  </r>
  <r>
    <s v="Ok"/>
    <x v="143"/>
    <s v="000016-2025"/>
    <d v="2025-03-31T00:00:00"/>
    <d v="2025-05-30T00:00:00"/>
    <x v="0"/>
    <x v="416"/>
    <s v="..\..\Acquisti\2025\EV\FATTURE\EV - MADASCHI GIUSEPPE ft 16 del 31-03-2025.pdf"/>
    <s v="Doblò FL041BG"/>
    <x v="7"/>
    <d v="2025-07-30T00:00:00"/>
    <n v="2300.9"/>
    <s v="bcc 601460"/>
    <m/>
  </r>
  <r>
    <s v="Ok"/>
    <x v="143"/>
    <s v="000049-2025"/>
    <d v="2025-07-21T00:00:00"/>
    <d v="2025-09-30T00:00:00"/>
    <x v="0"/>
    <x v="417"/>
    <s v="..\..\Acquisti\2025\EV\FATTURE\EV - MADASCHI GIUSEPPE ft 49 del 21-07-2025.pdf"/>
    <s v="manutenzione clio FX155Tf - Doblò GD763GG - Daily CX866WW"/>
    <x v="7"/>
    <d v="2025-10-20T00:00:00"/>
    <n v="2409.5500000000002"/>
    <s v="POP SO 2384X38"/>
    <m/>
  </r>
  <r>
    <m/>
    <x v="143"/>
    <s v="000112-2025"/>
    <d v="2025-12-23T00:00:00"/>
    <d v="2025-12-23T00:00:00"/>
    <x v="1"/>
    <x v="418"/>
    <m/>
    <s v="manutenzione clio FX155Tf - Doblò GD763GG - Daily CX866WW"/>
    <x v="8"/>
    <m/>
    <m/>
    <m/>
    <m/>
  </r>
  <r>
    <s v="OK"/>
    <x v="144"/>
    <s v="2007"/>
    <d v="2025-11-04T00:00:00"/>
    <d v="2025-11-04T00:00:00"/>
    <x v="0"/>
    <x v="419"/>
    <s v="file:///\\192.168.1.231\..\AppData\Acquisti\2023\EV\Proforme\BELLOLI%20doc%204185%20del%2020-11-2023-dm.pdf"/>
    <s v="ROTTAMAZIONE "/>
    <x v="49"/>
    <d v="2025-11-04T00:00:00"/>
    <n v="110"/>
    <s v="CASSA "/>
    <m/>
  </r>
  <r>
    <m/>
    <x v="145"/>
    <s v="2352"/>
    <d v="2025-06-07T00:00:00"/>
    <d v="2025-06-07T00:00:00"/>
    <x v="0"/>
    <x v="259"/>
    <s v="..\..\Acquisti\2025\EV\FATTURE\EV - MALTO &amp; LUPPOLO BAR LIU ft 2352 del 07-06-2025.pdf"/>
    <s v="Pranzo"/>
    <x v="7"/>
    <d v="2025-03-17T00:00:00"/>
    <m/>
    <m/>
    <m/>
  </r>
  <r>
    <s v="OK"/>
    <x v="145"/>
    <s v="4844"/>
    <d v="2025-11-27T00:00:00"/>
    <d v="2025-11-27T00:00:00"/>
    <x v="0"/>
    <x v="420"/>
    <s v="file:///\\192.168.1.231\..\AppData\Acquisti\2023\EV\Proforme\BELLOLI%20doc%204185%20del%2020-11-2023-dm.pdf"/>
    <s v="vearie "/>
    <x v="50"/>
    <d v="2025-11-27T00:00:00"/>
    <n v="59"/>
    <s v="CARTA /ONLINE "/>
    <m/>
  </r>
  <r>
    <s v="OK"/>
    <x v="146"/>
    <s v="108"/>
    <d v="2025-10-22T00:00:00"/>
    <d v="2025-10-22T00:00:00"/>
    <x v="0"/>
    <x v="421"/>
    <s v="file:///\\192.168.1.231\..\AppData\Acquisti\2023\EV\Proforme\BELLOLI%20doc%204185%20del%2020-11-2023-dm.pdf"/>
    <s v="ass. legale proc. 4054-2023"/>
    <x v="8"/>
    <d v="2025-10-21T00:00:00"/>
    <n v="2500"/>
    <s v="bcc 601460"/>
    <m/>
  </r>
  <r>
    <s v="DA PAGARE "/>
    <x v="147"/>
    <s v="PROF 52/2025"/>
    <d v="2025-12-15T00:00:00"/>
    <d v="2025-12-19T00:00:00"/>
    <x v="1"/>
    <x v="422"/>
    <s v="RICORSO DECRETO INGIUNTIVO EDILVERTOVA VS. IMMOBILIARE 72"/>
    <s v="BONIFICO "/>
    <x v="4"/>
    <n v="6145.6"/>
    <m/>
    <m/>
    <m/>
  </r>
  <r>
    <s v="Ok"/>
    <x v="148"/>
    <s v="442"/>
    <d v="2025-09-30T00:00:00"/>
    <d v="2025-11-30T00:00:00"/>
    <x v="0"/>
    <x v="423"/>
    <s v="..\..\Acquisti\2025\EV\FATTURE\EV - MARKOLOR SRL ft 442 del 30-09-2025.pdf"/>
    <s v="VIA KENNEDY TORRE BOLDONE "/>
    <x v="11"/>
    <m/>
    <m/>
    <m/>
    <m/>
  </r>
  <r>
    <s v="OK"/>
    <x v="149"/>
    <n v="1"/>
    <d v="2025-01-13T00:00:00"/>
    <d v="2025-03-31T00:00:00"/>
    <x v="0"/>
    <x v="424"/>
    <s v="..\..\Acquisti\2025\EV\FATTURE\EV - MAZZOLENI RUDY ft 1 del 13-01-2025.pdf"/>
    <s v="Bergamo, Via Ghislandi"/>
    <x v="7"/>
    <d v="2025-06-07T00:00:00"/>
    <s v="BPM"/>
    <m/>
    <m/>
  </r>
  <r>
    <s v="OK"/>
    <x v="149"/>
    <n v="5"/>
    <d v="2025-02-17T00:00:00"/>
    <d v="2025-04-18T00:00:00"/>
    <x v="0"/>
    <x v="425"/>
    <s v="..\..\Acquisti\2025\EV\FATTURE\EV - MAZZOLENI RUDY ft 5 del 17-02-2025.pdf"/>
    <s v="Bergamo, Via Ghislandi"/>
    <x v="7"/>
    <m/>
    <m/>
    <m/>
    <m/>
  </r>
  <r>
    <s v="OK"/>
    <x v="150"/>
    <n v="59"/>
    <d v="2025-07-03T00:00:00"/>
    <m/>
    <x v="0"/>
    <x v="426"/>
    <s v="..\..\Acquisti\2025\EV\FATTURE\EV - MAZZUCCHELLI NADIA ft 59 del 03-07-2025.pdf"/>
    <s v="cena di lavoro"/>
    <x v="46"/>
    <m/>
    <m/>
    <m/>
    <m/>
  </r>
  <r>
    <s v="OK"/>
    <x v="151"/>
    <n v="100363"/>
    <d v="2025-07-09T00:00:00"/>
    <d v="2025-07-09T00:00:00"/>
    <x v="0"/>
    <x v="427"/>
    <s v="..\..\Acquisti\2025\EV\FATTURE\EV - MEDIAMARKET ft 100363 del 09-07-2025.pdf"/>
    <s v="Ilaria"/>
    <x v="3"/>
    <m/>
    <m/>
    <m/>
    <m/>
  </r>
  <r>
    <s v="OK"/>
    <x v="151"/>
    <n v="99899"/>
    <d v="2025-07-09T00:00:00"/>
    <d v="2025-07-09T00:00:00"/>
    <x v="0"/>
    <x v="428"/>
    <s v="..\..\Acquisti\2025\EV\FATTURE\EV - MEDIAMARKET ft 99899 del 09-07-2025.pdf"/>
    <s v="Ilaria"/>
    <x v="3"/>
    <m/>
    <m/>
    <m/>
    <m/>
  </r>
  <r>
    <s v="OK"/>
    <x v="152"/>
    <n v="125000782"/>
    <d v="2025-04-14T00:00:00"/>
    <m/>
    <x v="0"/>
    <x v="180"/>
    <s v="..\..\Acquisti\2025\EV\FATTURE\EV - MERELLI ANNAMARIA ft 125000782 del 14-04-2025.pdf"/>
    <s v="Pranzo"/>
    <x v="14"/>
    <m/>
    <m/>
    <m/>
    <m/>
  </r>
  <r>
    <s v="OK"/>
    <x v="152"/>
    <n v="125000914"/>
    <d v="2025-05-12T00:00:00"/>
    <m/>
    <x v="0"/>
    <x v="178"/>
    <s v="..\..\Acquisti\2025\EV\FATTURE\EV - MERELLI ANNAMARIA ft 125000914 del 12-05-2025.pdf"/>
    <s v="pranzo"/>
    <x v="14"/>
    <m/>
    <m/>
    <m/>
    <m/>
  </r>
  <r>
    <s v="OK"/>
    <x v="153"/>
    <s v="VE25-036949"/>
    <d v="2025-01-16T00:00:00"/>
    <d v="2025-01-31T00:00:00"/>
    <x v="0"/>
    <x v="429"/>
    <s v="..\..\Acquisti\2025\EV\FATTURE\EV - MET ENERGIA ITALIA ft 36949 del 16-01-2025.pdf"/>
    <s v="Ufficio"/>
    <x v="13"/>
    <m/>
    <m/>
    <m/>
    <m/>
  </r>
  <r>
    <s v="OK"/>
    <x v="153"/>
    <s v="VE25-052072"/>
    <d v="2025-02-17T00:00:00"/>
    <d v="2025-04-03T00:00:00"/>
    <x v="0"/>
    <x v="430"/>
    <s v="..\..\Acquisti\2025\EV\FATTURE\MET ENERGIA ft 52072 del 17-02-2025.pdf"/>
    <s v="Ufficio"/>
    <x v="13"/>
    <d v="2025-04-11T00:00:00"/>
    <n v="1270"/>
    <m/>
    <m/>
  </r>
  <r>
    <m/>
    <x v="153"/>
    <s v="VE25-090247 "/>
    <d v="2025-03-14T00:00:00"/>
    <d v="2025-03-31T00:00:00"/>
    <x v="1"/>
    <x v="431"/>
    <s v="\\192.168.1.231\scambio\AMMINISTRAZIONE\Acquisti\2025\EV\FATTURE\EV - MET ENERGIA SRL ft 90247 del 14-03-2025.pdf"/>
    <s v="ufficio"/>
    <x v="13"/>
    <m/>
    <m/>
    <s v="verificare pagamento"/>
    <m/>
  </r>
  <r>
    <s v="OK"/>
    <x v="153"/>
    <s v="VE25-127818 "/>
    <d v="2025-04-15T00:00:00"/>
    <d v="2025-04-30T00:00:00"/>
    <x v="0"/>
    <x v="432"/>
    <s v="..\..\Acquisti\2025\EV\FATTURE\EV - MET ENERGIA ITALIA ft 127818 del 15-04-2025.pdf"/>
    <s v="ufficio"/>
    <x v="13"/>
    <d v="2025-04-30T00:00:00"/>
    <m/>
    <m/>
    <m/>
  </r>
  <r>
    <s v="OK"/>
    <x v="154"/>
    <s v="83/3/2691"/>
    <d v="2025-03-08T00:00:00"/>
    <m/>
    <x v="0"/>
    <x v="433"/>
    <s v="..\..\Acquisti\2025\EV\FATTURE\EV - METRO ft 2691 del 08-03-2025.pdf"/>
    <s v="varie"/>
    <x v="14"/>
    <m/>
    <m/>
    <m/>
    <m/>
  </r>
  <r>
    <s v="OK"/>
    <x v="154"/>
    <s v="83/5/12293"/>
    <d v="2025-06-14T00:00:00"/>
    <m/>
    <x v="0"/>
    <x v="434"/>
    <s v="..\..\Acquisti\2025\EV\FATTURE\EV - METRO ft 12293 del 14-06-2025.pdf"/>
    <s v="varie"/>
    <x v="4"/>
    <m/>
    <m/>
    <m/>
    <m/>
  </r>
  <r>
    <s v="OK"/>
    <x v="154"/>
    <s v="83/5/15471"/>
    <d v="2025-07-22T00:00:00"/>
    <m/>
    <x v="0"/>
    <x v="435"/>
    <s v="..\..\Acquisti\2025\EV\FATTURE\EV - METRO ft 15471 del 22-07-2025.pdf"/>
    <s v="varie"/>
    <x v="14"/>
    <m/>
    <m/>
    <m/>
    <m/>
  </r>
  <r>
    <s v="ok"/>
    <x v="155"/>
    <s v="330048724568899010"/>
    <d v="2025-11-26T00:00:00"/>
    <d v="2025-12-26T00:00:00"/>
    <x v="0"/>
    <x v="436"/>
    <m/>
    <s v="pratica ricorso decreto ing. Imm. 72- Edilvertova cbill nr 30048724568899177"/>
    <x v="0"/>
    <d v="2025-11-26T00:00:00"/>
    <n v="870"/>
    <s v="bcc"/>
    <m/>
  </r>
  <r>
    <m/>
    <x v="156"/>
    <s v="856/001"/>
    <d v="2023-11-27T00:00:00"/>
    <m/>
    <x v="0"/>
    <x v="437"/>
    <s v="file:///\\192.168.1.231\..\AppData\Acquisti\2023\EV\Fatture\EV%20-%20MOIOLI%20ft%20856%20del%2027-11-2023.pdf"/>
    <s v="Visite mediche Donati, Priori, Rodigari 25/11/2023"/>
    <x v="15"/>
    <m/>
    <m/>
    <m/>
    <m/>
  </r>
  <r>
    <m/>
    <x v="156"/>
    <s v="972/001"/>
    <d v="2023-12-22T00:00:00"/>
    <m/>
    <x v="0"/>
    <x v="419"/>
    <s v="file:///\\192.168.1.231\..\AppData\Acquisti\2023\EV\Fatture\EV%20-%20MOIOLI%20ft%20972%20del%2022-12-2023.pdf"/>
    <s v="OT23, adempimenti d.lgs 81/2008"/>
    <x v="15"/>
    <m/>
    <m/>
    <m/>
    <m/>
  </r>
  <r>
    <m/>
    <x v="156"/>
    <s v="247/001"/>
    <d v="2024-04-30T00:00:00"/>
    <m/>
    <x v="0"/>
    <x v="438"/>
    <s v="file:///\\192.168.1.231\..\AppData\Acquisti\2024\EV\Fatture\EV%20-%20MOIOLI%20ft%20247%20del%2030-04-2024.pdf"/>
    <s v="Visita medica Giovanni + dimissioni Gonella, Morosini, Bilaj, Arrigoni"/>
    <x v="15"/>
    <m/>
    <m/>
    <m/>
    <m/>
  </r>
  <r>
    <m/>
    <x v="156"/>
    <s v="946/001"/>
    <d v="2024-12-17T00:00:00"/>
    <m/>
    <x v="0"/>
    <x v="439"/>
    <s v="file:///\\192.168.1.231\..\AppData\Acquisti\2024\EV\Fatture\EV%20-%20MOIOLI%20ft%20247%20del%2030-04-2024.pdf"/>
    <s v="visita medica del 14 e 21 dicembre"/>
    <x v="15"/>
    <m/>
    <m/>
    <m/>
    <m/>
  </r>
  <r>
    <s v="OK"/>
    <x v="156"/>
    <s v="351/001"/>
    <d v="2025-05-15T00:00:00"/>
    <m/>
    <x v="0"/>
    <x v="440"/>
    <s v="..\..\Acquisti\2025\EV\FATTURE\EV - MOIOLI VALERIO ft 351 del 15-05-2025.pdf"/>
    <s v="Visita medica del 14/5 Lanfranchi giovanni"/>
    <x v="7"/>
    <m/>
    <m/>
    <m/>
    <m/>
  </r>
  <r>
    <m/>
    <x v="156"/>
    <s v="351/001"/>
    <d v="2025-05-15T00:00:00"/>
    <d v="2025-06-16T00:00:00"/>
    <x v="0"/>
    <x v="441"/>
    <s v="..\..\Acquisti\2025\EV\FATTURE\EV - MOIOLI VALERIO ft 351 del 15-05-2025.pdf"/>
    <s v="Visita medica del 14/5 Lanfranchi giovanni"/>
    <x v="51"/>
    <m/>
    <m/>
    <m/>
    <m/>
  </r>
  <r>
    <m/>
    <x v="156"/>
    <s v="1031/001"/>
    <d v="2025-12-11T00:00:00"/>
    <d v="2026-01-31T00:00:00"/>
    <x v="0"/>
    <x v="442"/>
    <m/>
    <s v="VISITA MEDICA DONATI ALBERTO E RODIGARI FABRIZIO "/>
    <x v="8"/>
    <m/>
    <m/>
    <m/>
    <m/>
  </r>
  <r>
    <m/>
    <x v="156"/>
    <s v="1100/001"/>
    <d v="2025-12-29T00:00:00"/>
    <d v="2026-01-31T00:00:00"/>
    <x v="1"/>
    <x v="443"/>
    <m/>
    <s v="VISITA MEDICA SAVOLDELLI NICOLAS "/>
    <x v="8"/>
    <m/>
    <m/>
    <m/>
    <m/>
  </r>
  <r>
    <s v="OK"/>
    <x v="157"/>
    <s v="563"/>
    <d v="2025-03-09T00:00:00"/>
    <m/>
    <x v="0"/>
    <x v="444"/>
    <s v="..\..\Acquisti\2025\EV\FATTURE\EV - MYA SRL ft 562 del 09-03-2025.pdf"/>
    <s v="Pranzo"/>
    <x v="14"/>
    <m/>
    <m/>
    <m/>
    <m/>
  </r>
  <r>
    <m/>
    <x v="158"/>
    <s v="2001/260030378"/>
    <d v="2026-02-28T00:00:00"/>
    <d v="2026-03-31T00:00:00"/>
    <x v="1"/>
    <x v="445"/>
    <m/>
    <s v="Rif. ns. BOLLA  N E1     32242 04/02/26 spedita a EDILVERTOVA SRL VIA CESARE BATTISTI 104 24025 GAZZANIGA - BG | IJ ORIG.H.P.N72 GRIGIO ML.130     C9374A | CARTA X FOT. A4 G.80 DOLPHIN   F.500 | POUCH"/>
    <x v="11"/>
    <n v="27.69"/>
    <d v="2026-03-31T00:00:00"/>
    <m/>
    <m/>
  </r>
  <r>
    <s v="OK"/>
    <x v="158"/>
    <s v="2001/250009528"/>
    <d v="2025-01-30T00:00:00"/>
    <d v="2025-02-28T00:00:00"/>
    <x v="0"/>
    <x v="446"/>
    <s v="..\..\Acquisti\2025\EV\FATTURE\EV - MYO ft 9528 del 30-01-2025.pdf"/>
    <s v="Cancelleria ufficio"/>
    <x v="11"/>
    <m/>
    <m/>
    <m/>
    <m/>
  </r>
  <r>
    <s v="OK"/>
    <x v="158"/>
    <s v="2001/250033148"/>
    <d v="2025-02-28T00:00:00"/>
    <d v="2025-03-31T00:00:00"/>
    <x v="0"/>
    <x v="447"/>
    <s v="..\..\Acquisti\2025\EV\FATTURE\EV - MYO ft 33148 del 28-02-2025.pdf"/>
    <s v="Cancelleria ufficio"/>
    <x v="11"/>
    <m/>
    <m/>
    <m/>
    <m/>
  </r>
  <r>
    <s v="OK"/>
    <x v="158"/>
    <s v="2001/250107142"/>
    <d v="2025-06-30T00:00:00"/>
    <d v="2025-07-31T00:00:00"/>
    <x v="0"/>
    <x v="448"/>
    <s v="..\..\Acquisti\2025\EV\FATTURE\EV - MYO ft 107142 del 30-06-2025.pdf"/>
    <s v="Cancelleria ufficio"/>
    <x v="11"/>
    <m/>
    <m/>
    <m/>
    <m/>
  </r>
  <r>
    <s v="BANCA DI APPOGGIO???"/>
    <x v="158"/>
    <s v="2001/250792664"/>
    <d v="2025-11-30T00:00:00"/>
    <d v="2025-12-31T00:00:00"/>
    <x v="0"/>
    <x v="449"/>
    <m/>
    <s v="Cancelleria ufficio"/>
    <x v="11"/>
    <m/>
    <n v="227.51"/>
    <m/>
    <m/>
  </r>
  <r>
    <s v="OK"/>
    <x v="159"/>
    <n v="531"/>
    <d v="2025-03-20T00:00:00"/>
    <m/>
    <x v="0"/>
    <x v="450"/>
    <s v="..\..\Acquisti\2025\EV\FATTURE\EV - NAGOYA CURNO SRL ft 531 del 20-03-2025.pdf"/>
    <s v="Pranzo"/>
    <x v="14"/>
    <m/>
    <m/>
    <m/>
    <m/>
  </r>
  <r>
    <s v="OK"/>
    <x v="159"/>
    <n v="2201"/>
    <d v="2025-10-03T00:00:00"/>
    <m/>
    <x v="0"/>
    <x v="451"/>
    <s v="..\..\Acquisti\2025\EV\FATTURE\EV - NAGOYA CURNO SRL ft 2201 del 03-10-2025.pdf"/>
    <s v="Pranzo"/>
    <x v="3"/>
    <m/>
    <m/>
    <m/>
    <m/>
  </r>
  <r>
    <s v="OK"/>
    <x v="160"/>
    <n v="30722800085"/>
    <d v="2025-03-14T00:00:00"/>
    <m/>
    <x v="0"/>
    <x v="452"/>
    <s v="..\..\Acquisti\2025\EV\FATTURE\EV - NEWTEAM SRL ft 30722800085 del 14-03-2025.pdf"/>
    <s v="Forno a microonde"/>
    <x v="14"/>
    <m/>
    <m/>
    <m/>
    <m/>
  </r>
  <r>
    <s v="OK"/>
    <x v="160"/>
    <n v="30722800360"/>
    <d v="2025-10-08T00:00:00"/>
    <m/>
    <x v="0"/>
    <x v="453"/>
    <s v="..\..\Acquisti\2025\EV\FATTURE\EV - NEWTEAM SRL ft 00360 del 08-10-2025.pdf"/>
    <s v="Lavatrice 8kg"/>
    <x v="14"/>
    <m/>
    <m/>
    <m/>
    <m/>
  </r>
  <r>
    <s v="OK"/>
    <x v="161"/>
    <s v="14"/>
    <d v="2024-11-16T00:00:00"/>
    <d v="2025-01-16T00:00:00"/>
    <x v="0"/>
    <x v="454"/>
    <s v="C:\Users\Ufficio\Desktop\Amministrazione\Acquisti\2024\EV\Fatture\EV - NODARI ft 14 del 16-11-2024.pdf"/>
    <s v="Ottobre - Scanzo, via trento"/>
    <x v="7"/>
    <d v="2025-03-13T00:00:00"/>
    <e v="#VALUE!"/>
    <s v="BPM"/>
    <m/>
  </r>
  <r>
    <s v="OK"/>
    <x v="161"/>
    <s v="17"/>
    <d v="2024-12-18T00:00:00"/>
    <d v="2025-01-17T00:00:00"/>
    <x v="0"/>
    <x v="455"/>
    <s v="C:\Users\Ufficio\Desktop\Amministrazione\Acquisti\2024\EV\Fatture\EV - NODARI ft 17 del 18-12-2024.pdf"/>
    <s v="Scanzorosciate"/>
    <x v="7"/>
    <d v="2025-03-13T00:00:00"/>
    <e v="#VALUE!"/>
    <s v="BPM"/>
    <m/>
  </r>
  <r>
    <m/>
    <x v="161"/>
    <s v="2"/>
    <d v="2026-02-09T00:00:00"/>
    <d v="2026-02-09T00:00:00"/>
    <x v="1"/>
    <x v="173"/>
    <m/>
    <s v="Vi emettiamo fattura - per lavori eseguiti di fornitura e posa in opera barriera e trasporto materiali presso il cantiere di Via Ghislandi 51, Bergamo"/>
    <x v="16"/>
    <n v="0"/>
    <d v="2026-04-10T00:00:00"/>
    <m/>
    <m/>
  </r>
  <r>
    <m/>
    <x v="162"/>
    <s v="1954"/>
    <d v="2025-09-30T00:00:00"/>
    <d v="2025-10-31T00:00:00"/>
    <x v="0"/>
    <x v="456"/>
    <s v="..\..\Acquisti\2025\EV\FATTURE\EV - NSA ft 1954 del 30-09-2025.pdf"/>
    <m/>
    <x v="7"/>
    <m/>
    <m/>
    <m/>
    <m/>
  </r>
  <r>
    <s v="OK"/>
    <x v="163"/>
    <s v="469"/>
    <d v="2025-12-23T00:00:00"/>
    <d v="2025-12-23T00:00:00"/>
    <x v="0"/>
    <x v="457"/>
    <m/>
    <s v="VIA GHISLANDI "/>
    <x v="52"/>
    <d v="2025-12-23T00:00:00"/>
    <n v="665.56"/>
    <s v="ASSEGNO 0013803086-11 BCC MILANO "/>
    <m/>
  </r>
  <r>
    <s v="OK"/>
    <x v="164"/>
    <s v="E5-0043714"/>
    <d v="2025-01-13T00:00:00"/>
    <m/>
    <x v="0"/>
    <x v="458"/>
    <s v="..\..\Acquisti\2025\EV\FATTURE\EV - OLIMPIA SRL ft 43714 del 13-01-2025.pdf"/>
    <m/>
    <x v="13"/>
    <d v="2025-02-27T00:00:00"/>
    <m/>
    <m/>
    <m/>
  </r>
  <r>
    <s v="OK"/>
    <x v="164"/>
    <s v="E5-0129107"/>
    <d v="2025-02-07T00:00:00"/>
    <m/>
    <x v="0"/>
    <x v="459"/>
    <s v="..\..\Acquisti\2025\EV\FATTURE\EV - OLIMPIA ft 0129107 del 07-02-2025.pdf"/>
    <m/>
    <x v="13"/>
    <d v="2025-02-27T00:00:00"/>
    <m/>
    <m/>
    <m/>
  </r>
  <r>
    <s v="OK"/>
    <x v="164"/>
    <s v="E5-0216656"/>
    <d v="2025-03-11T00:00:00"/>
    <m/>
    <x v="0"/>
    <x v="460"/>
    <s v="..\..\Acquisti\2025\EV\FATTURE\EV - OLIMPIA SRL ft 216656 del 11-03-2025.pdf"/>
    <s v="ufficio"/>
    <x v="13"/>
    <d v="2025-04-29T00:00:00"/>
    <m/>
    <m/>
    <m/>
  </r>
  <r>
    <s v="OK"/>
    <x v="164"/>
    <s v="E5-0302157"/>
    <d v="2025-04-09T00:00:00"/>
    <m/>
    <x v="0"/>
    <x v="461"/>
    <s v="..\..\Acquisti\2025\EV\FATTURE\EV - OLIMPIA SRL ft 302157 del 09-04-2025.pdf"/>
    <s v="Ufficio"/>
    <x v="13"/>
    <m/>
    <m/>
    <m/>
    <m/>
  </r>
  <r>
    <s v="OK"/>
    <x v="164"/>
    <s v="E5-0386046"/>
    <d v="2025-05-12T00:00:00"/>
    <d v="2025-06-03T00:00:00"/>
    <x v="0"/>
    <x v="462"/>
    <s v="..\..\Acquisti\2025\EV\FATTURE\EV - OLIMPIA SRL ft 356046 del 12-05-2025.pdf"/>
    <s v="ufficio"/>
    <x v="13"/>
    <m/>
    <m/>
    <m/>
    <m/>
  </r>
  <r>
    <s v="OK"/>
    <x v="164"/>
    <s v="E5-0386042"/>
    <d v="2025-05-12T00:00:00"/>
    <d v="2025-06-03T00:00:00"/>
    <x v="0"/>
    <x v="463"/>
    <s v="..\..\Acquisti\2025\EV\FATTURE\EV - OLIMPIA SRL ft 386042 del 12-05-2025.pdf"/>
    <s v="ufficio"/>
    <x v="13"/>
    <m/>
    <m/>
    <m/>
    <m/>
  </r>
  <r>
    <s v="OK"/>
    <x v="164"/>
    <s v="E5-0467962"/>
    <d v="2025-06-09T00:00:00"/>
    <m/>
    <x v="0"/>
    <x v="464"/>
    <s v="..\..\Acquisti\2025\EV\FATTURE\EV - OLIMPIA ft 467962 del 09-06-2025.pdf"/>
    <s v="ufficio"/>
    <x v="13"/>
    <m/>
    <m/>
    <m/>
    <m/>
  </r>
  <r>
    <s v="OK"/>
    <x v="164"/>
    <s v="E5-0467958"/>
    <d v="2025-06-09T00:00:00"/>
    <m/>
    <x v="0"/>
    <x v="465"/>
    <s v="..\..\Acquisti\2025\EV\FATTURE\EV - OLIMPIA ft 467958 del 09-06-2025.pdf"/>
    <s v="ufficio"/>
    <x v="13"/>
    <m/>
    <m/>
    <m/>
    <m/>
  </r>
  <r>
    <s v="OK"/>
    <x v="164"/>
    <s v="E5- 0550944"/>
    <d v="2025-07-10T00:00:00"/>
    <m/>
    <x v="0"/>
    <x v="466"/>
    <s v="..\..\Acquisti\2025\EV\FATTURE\EV - OLIMPIA ft 550944 del 10-07-2025.pdf"/>
    <s v="ufficio"/>
    <x v="13"/>
    <m/>
    <m/>
    <m/>
    <m/>
  </r>
  <r>
    <s v="OK"/>
    <x v="164"/>
    <s v="E5-0550939"/>
    <d v="2025-07-10T00:00:00"/>
    <m/>
    <x v="0"/>
    <x v="467"/>
    <s v="..\..\Acquisti\2025\EV\FATTURE\EV - OLIMPIA ft 550939 del 10-07-2025.pdf"/>
    <s v="ufficio"/>
    <x v="13"/>
    <m/>
    <m/>
    <m/>
    <m/>
  </r>
  <r>
    <s v="OK"/>
    <x v="164"/>
    <s v="E5-0633852"/>
    <d v="2025-08-07T00:00:00"/>
    <m/>
    <x v="0"/>
    <x v="468"/>
    <s v="..\..\Acquisti\2025\EV\FATTURE\EV - OLIMPIA ft 0633852 del 07-08-2025.pdf"/>
    <s v="ufficio"/>
    <x v="13"/>
    <m/>
    <m/>
    <m/>
    <m/>
  </r>
  <r>
    <s v="OK"/>
    <x v="164"/>
    <s v="E5-0633847"/>
    <d v="2025-08-07T00:00:00"/>
    <m/>
    <x v="0"/>
    <x v="469"/>
    <s v="..\..\Acquisti\2025\EV\FATTURE\EV - OLIMPIA ft 0633847 del 07-08-2025.pdf"/>
    <s v="ufficio"/>
    <x v="13"/>
    <m/>
    <m/>
    <m/>
    <m/>
  </r>
  <r>
    <s v="OK"/>
    <x v="164"/>
    <s v="E5-0716778"/>
    <d v="2025-09-09T00:00:00"/>
    <m/>
    <x v="0"/>
    <x v="470"/>
    <s v="..\..\Acquisti\2025\EV\FATTURE\EV - OLIMPIA ft 0716778 del 09-09-2025.pdf"/>
    <s v="ufficio"/>
    <x v="13"/>
    <d v="2025-09-29T00:00:00"/>
    <s v="BCC"/>
    <m/>
    <m/>
  </r>
  <r>
    <s v="OK"/>
    <x v="164"/>
    <s v="E5-0716774"/>
    <d v="2025-09-09T00:00:00"/>
    <m/>
    <x v="0"/>
    <x v="471"/>
    <s v="..\..\Acquisti\2025\EV\FATTURE\EV - OLIMPIA SRL ft 0716774 del 09-09-2025.pdf"/>
    <s v="ufficio"/>
    <x v="13"/>
    <d v="2025-09-29T00:00:00"/>
    <s v="BCC"/>
    <m/>
    <m/>
  </r>
  <r>
    <s v="OK"/>
    <x v="164"/>
    <s v="E5-0799640"/>
    <d v="2025-10-08T00:00:00"/>
    <d v="2025-10-28T00:00:00"/>
    <x v="0"/>
    <x v="472"/>
    <s v="..\..\Acquisti\2025\EV\FATTURE\EV - OLIMPIA SRL ft 799640 del 08-10-2025.pdf"/>
    <s v="ufficio"/>
    <x v="13"/>
    <d v="2025-10-28T00:00:00"/>
    <s v="BCC"/>
    <m/>
    <m/>
  </r>
  <r>
    <s v="OK"/>
    <x v="164"/>
    <s v="E5-0799636"/>
    <d v="2025-10-08T00:00:00"/>
    <d v="2025-10-28T00:00:00"/>
    <x v="0"/>
    <x v="473"/>
    <s v="..\..\Acquisti\2025\EV\FATTURE\EV - OLIMPIA SRL ft 799636 del 08-10-2025.pdf"/>
    <s v="ufficio"/>
    <x v="13"/>
    <d v="2025-10-28T00:00:00"/>
    <s v="BCC"/>
    <m/>
    <m/>
  </r>
  <r>
    <s v="OK"/>
    <x v="164"/>
    <s v="E5-0884510"/>
    <d v="2025-11-07T00:00:00"/>
    <d v="2025-11-28T00:00:00"/>
    <x v="0"/>
    <x v="474"/>
    <m/>
    <s v="UFFICIO GAZZANIGA _OTTOBRE 25"/>
    <x v="13"/>
    <m/>
    <m/>
    <m/>
    <m/>
  </r>
  <r>
    <s v="OK"/>
    <x v="164"/>
    <s v="E5-0884514"/>
    <d v="2025-11-07T00:00:00"/>
    <d v="2025-11-28T00:00:00"/>
    <x v="0"/>
    <x v="475"/>
    <m/>
    <s v="VIA CESARE BATTISTI 102_ GAZZANIGA _ OTTOBRE 25"/>
    <x v="53"/>
    <m/>
    <m/>
    <m/>
    <m/>
  </r>
  <r>
    <s v="OK"/>
    <x v="164"/>
    <s v="E5-0966676"/>
    <d v="2025-12-10T00:00:00"/>
    <d v="2025-12-30T00:00:00"/>
    <x v="0"/>
    <x v="476"/>
    <m/>
    <s v="UFFICIO GAZZANIGA _NOVEMBRE  25"/>
    <x v="53"/>
    <d v="2025-12-30T00:00:00"/>
    <n v="60.99"/>
    <s v="bcc"/>
    <m/>
  </r>
  <r>
    <s v="OK"/>
    <x v="164"/>
    <s v="E5-0966679"/>
    <d v="2025-12-10T00:00:00"/>
    <d v="2025-12-30T00:00:00"/>
    <x v="0"/>
    <x v="477"/>
    <m/>
    <s v="VIA CESARE BATTISTI 102_ GAZZANIGA _ NOVEMBRE 25"/>
    <x v="53"/>
    <d v="2025-12-30T00:00:00"/>
    <n v="754.95"/>
    <s v="bcc"/>
    <m/>
  </r>
  <r>
    <s v="OK"/>
    <x v="164"/>
    <s v="E6-0033150"/>
    <d v="2026-01-12T00:00:00"/>
    <d v="2026-02-02T00:00:00"/>
    <x v="0"/>
    <x v="478"/>
    <s v="VIA CESARE BATTISTI 102_ GAZZANIGA _ DICEMBRE 25"/>
    <s v="SEPA DIRECT "/>
    <x v="54"/>
    <n v="887.49"/>
    <s v="BCC"/>
    <m/>
    <m/>
  </r>
  <r>
    <s v="OK"/>
    <x v="164"/>
    <s v="E6-0033147"/>
    <d v="2026-01-12T00:00:00"/>
    <d v="2026-02-02T00:00:00"/>
    <x v="0"/>
    <x v="479"/>
    <s v="UFFICIO GAZZANIGA _ DICEMBRE 2025"/>
    <s v="SEPA DIRECT "/>
    <x v="54"/>
    <n v="67.38"/>
    <s v="BCC"/>
    <m/>
    <m/>
  </r>
  <r>
    <m/>
    <x v="164"/>
    <s v="E6-0117637"/>
    <d v="2026-02-10T00:00:00"/>
    <d v="2026-03-02T00:00:00"/>
    <x v="1"/>
    <x v="480"/>
    <m/>
    <s v="Quota per consumi | Quota fissa | Quota potenza | Altre partite - Oneri amministrativi | Altre partite - Sconto spedizione bolletta via mail | Imposte"/>
    <x v="12"/>
    <n v="205.4"/>
    <d v="2026-03-02T00:00:00"/>
    <m/>
    <m/>
  </r>
  <r>
    <m/>
    <x v="164"/>
    <s v="E6-0117633"/>
    <d v="2026-02-10T00:00:00"/>
    <d v="2026-03-02T00:00:00"/>
    <x v="1"/>
    <x v="481"/>
    <m/>
    <s v="Quota per consumi | Quota fissa | Quota potenza | Altre partite - Oneri amministrativi | Altre partite - Sconto spedizione bolletta via mail | Imposte"/>
    <x v="12"/>
    <n v="22.37"/>
    <d v="2026-03-02T00:00:00"/>
    <m/>
    <m/>
  </r>
  <r>
    <s v="OK"/>
    <x v="165"/>
    <n v="11"/>
    <d v="2025-02-14T00:00:00"/>
    <m/>
    <x v="0"/>
    <x v="482"/>
    <s v="..\..\Acquisti\2025\EV\FATTURE\EV - OLTREVINO DI ANTONIO LACERENZA ft 11 del 14-02-2025.pdf"/>
    <m/>
    <x v="4"/>
    <m/>
    <m/>
    <m/>
    <m/>
  </r>
  <r>
    <s v="OK"/>
    <x v="166"/>
    <n v="465"/>
    <d v="2025-04-15T00:00:00"/>
    <m/>
    <x v="0"/>
    <x v="483"/>
    <s v="..\..\Acquisti\2025\EV\FATTURE\EV - ORIGINAL SALADS ft 465 del 15-04-2025.pdf"/>
    <s v="pranzo"/>
    <x v="3"/>
    <m/>
    <m/>
    <m/>
    <m/>
  </r>
  <r>
    <s v="OK"/>
    <x v="166"/>
    <n v="767"/>
    <d v="2025-06-18T00:00:00"/>
    <m/>
    <x v="0"/>
    <x v="484"/>
    <s v="..\..\Acquisti\2025\EV\FATTURE\EV - ORIGINAL SALADS ft 767 del 18-06-2025.pdf"/>
    <s v="pranzo"/>
    <x v="3"/>
    <m/>
    <m/>
    <m/>
    <m/>
  </r>
  <r>
    <m/>
    <x v="167"/>
    <s v="1149B"/>
    <d v="2025-10-03T00:00:00"/>
    <d v="2025-11-30T00:00:00"/>
    <x v="0"/>
    <x v="485"/>
    <s v="..\..\Acquisti\2025\EV\FATTURE\EV - P&amp;P LMC SRL ft 1149+ del 03-10-2025.pdf"/>
    <s v="Torre Boldone, Via Kennedy"/>
    <x v="7"/>
    <d v="2025-12-11T00:00:00"/>
    <m/>
    <m/>
    <m/>
  </r>
  <r>
    <m/>
    <x v="167"/>
    <s v="1432B"/>
    <d v="2025-12-12T00:00:00"/>
    <d v="2025-01-31T00:00:00"/>
    <x v="1"/>
    <x v="486"/>
    <m/>
    <s v="VIA CAVLERA _ VERTOVA "/>
    <x v="8"/>
    <m/>
    <n v="361.07"/>
    <m/>
    <m/>
  </r>
  <r>
    <s v="OK"/>
    <x v="168"/>
    <n v="498"/>
    <d v="2025-09-12T00:00:00"/>
    <m/>
    <x v="0"/>
    <x v="487"/>
    <s v="..\..\Acquisti\2025\EV\FATTURE\EV - P.F.A. SAS ft 498 del 12-09-2025.pdf"/>
    <m/>
    <x v="3"/>
    <m/>
    <m/>
    <m/>
    <m/>
  </r>
  <r>
    <m/>
    <x v="169"/>
    <s v="000000108005867P"/>
    <d v="2026-02-28T00:00:00"/>
    <d v="2026-02-28T00:00:00"/>
    <x v="0"/>
    <x v="488"/>
    <m/>
    <s v="SOSTE PARCHEGGI"/>
    <x v="12"/>
    <n v="3.37"/>
    <d v="2026-04-29T00:00:00"/>
    <m/>
    <m/>
  </r>
  <r>
    <s v="OK"/>
    <x v="169"/>
    <s v="602000269P"/>
    <d v="2025-01-30T00:00:00"/>
    <d v="2025-01-30T00:00:00"/>
    <x v="0"/>
    <x v="489"/>
    <s v="..\..\Acquisti\2025\EV\FATTURE\EV - PARCHEGGI ITALIA SPA  ft 269 del 30-01-2025"/>
    <s v="Soste parcheggi"/>
    <x v="13"/>
    <m/>
    <m/>
    <s v="pop sondrio "/>
    <m/>
  </r>
  <r>
    <s v="OK"/>
    <x v="169"/>
    <s v="214000311P"/>
    <d v="2025-01-30T00:00:00"/>
    <d v="2025-01-30T00:00:00"/>
    <x v="0"/>
    <x v="490"/>
    <s v="..\..\Acquisti\2025\EV\FATTURE\EV - PARCHEGGI ITALIA SPA ft 311 del 30-01-2025.pdf"/>
    <s v="Soste parcheggi"/>
    <x v="13"/>
    <m/>
    <m/>
    <s v="pop sondrio "/>
    <m/>
  </r>
  <r>
    <s v="OK"/>
    <x v="169"/>
    <s v="166001227P"/>
    <d v="2025-01-30T00:00:00"/>
    <d v="2025-01-30T00:00:00"/>
    <x v="0"/>
    <x v="491"/>
    <s v="..\..\Acquisti\2025\EV\FATTURE\EV - PARCHEGGI ITALIA SPA ft 1227 del 30-01-2025.pdf"/>
    <s v="Soste parcheggi"/>
    <x v="13"/>
    <m/>
    <m/>
    <s v="pop sondrio "/>
    <m/>
  </r>
  <r>
    <s v="OK"/>
    <x v="169"/>
    <s v="108000613P"/>
    <d v="2025-01-30T00:00:00"/>
    <d v="2025-01-30T00:00:00"/>
    <x v="0"/>
    <x v="492"/>
    <s v="..\..\Acquisti\2025\EV\FATTURE\EV - PARCHEGGI ITALIA SPA ft 613 del 30-01-2025.pdf"/>
    <s v="Soste parcheggi"/>
    <x v="13"/>
    <m/>
    <m/>
    <s v="pop sondrio "/>
    <m/>
  </r>
  <r>
    <s v="OK"/>
    <x v="169"/>
    <s v="108006460P"/>
    <d v="2025-02-28T00:00:00"/>
    <m/>
    <x v="0"/>
    <x v="493"/>
    <s v="..\..\Acquisti\2025\EV\FATTURE\EV - PARCHEGGI ITALIA SPA ft 6460 del 28-02-2025.pdf"/>
    <s v="Soste Parcheggi"/>
    <x v="13"/>
    <m/>
    <m/>
    <s v="pop sondrio "/>
    <m/>
  </r>
  <r>
    <s v="OK"/>
    <x v="169"/>
    <s v="602003164P"/>
    <d v="2025-03-30T00:00:00"/>
    <m/>
    <x v="0"/>
    <x v="494"/>
    <s v="..\..\Acquisti\2025\EV\FATTURE\EV - PARCHEGGI ITALIA SPA ft 602003164 del 30-03-2025.pdf"/>
    <s v="Soste parcheggi"/>
    <x v="13"/>
    <m/>
    <m/>
    <s v="pop sondrio "/>
    <m/>
  </r>
  <r>
    <s v="OK"/>
    <x v="169"/>
    <s v="108007679P"/>
    <d v="2025-03-30T00:00:00"/>
    <m/>
    <x v="0"/>
    <x v="495"/>
    <s v="..\..\Acquisti\2025\EV\FATTURE\EV - PARCHEGGI ITALIA SPA ft 108007679 del 30-03-2025.pdf"/>
    <s v="soste parcheggi"/>
    <x v="13"/>
    <m/>
    <m/>
    <s v="pop sondrio "/>
    <m/>
  </r>
  <r>
    <s v="OK"/>
    <x v="169"/>
    <s v="108011494P"/>
    <d v="2025-04-30T00:00:00"/>
    <m/>
    <x v="0"/>
    <x v="496"/>
    <s v="..\..\Acquisti\2025\EV\FATTURE\EV - PARCHEGGI ITALIA SPA ft 108011494 del 30-04-2025.pdf"/>
    <s v="Soste parcheggi"/>
    <x v="13"/>
    <m/>
    <m/>
    <s v="pop sondrio "/>
    <m/>
  </r>
  <r>
    <s v="OK"/>
    <x v="169"/>
    <s v="214007200P"/>
    <d v="2025-06-30T00:00:00"/>
    <m/>
    <x v="0"/>
    <x v="490"/>
    <s v="..\..\Acquisti\2025\EV\FATTURE\EV - PARCHEGGI ITALIA SPA ft 7200 del 30-06-2025.pdf"/>
    <s v="soste parcheggi"/>
    <x v="13"/>
    <m/>
    <m/>
    <s v="pop sondrio "/>
    <m/>
  </r>
  <r>
    <s v="OK"/>
    <x v="169"/>
    <s v="108018888P"/>
    <d v="2025-06-30T00:00:00"/>
    <m/>
    <x v="0"/>
    <x v="497"/>
    <s v="..\..\Acquisti\2025\EV\FATTURE\EV - PARCHEGGI ITALIA SPA ft 18888 del 30-06-2025.pdf"/>
    <s v="soste parcheggi"/>
    <x v="13"/>
    <m/>
    <m/>
    <s v="pop sondrio "/>
    <m/>
  </r>
  <r>
    <s v="OK"/>
    <x v="169"/>
    <s v="602011310P"/>
    <d v="2025-08-30T00:00:00"/>
    <m/>
    <x v="0"/>
    <x v="494"/>
    <s v="..\..\Acquisti\2025\EV\FATTURE\EV - PARCHEGGI ITALIA SPA ft 602011310P fdel 30-08-2025.pdf"/>
    <s v="soste parcheggi"/>
    <x v="13"/>
    <m/>
    <m/>
    <s v="pop sondrio "/>
    <m/>
  </r>
  <r>
    <s v="OK"/>
    <x v="169"/>
    <s v="108023561P"/>
    <d v="2025-08-30T00:00:00"/>
    <m/>
    <x v="0"/>
    <x v="498"/>
    <s v="..\..\Acquisti\2025\EV\FATTURE\EV - PARCHEGGI ITALIA SPA ft 108023561P del 30-08-2025.pdf"/>
    <s v="soste parcheggi"/>
    <x v="13"/>
    <m/>
    <m/>
    <s v="pop sondrio "/>
    <m/>
  </r>
  <r>
    <s v="OK"/>
    <x v="169"/>
    <s v="108024826P"/>
    <d v="2025-09-30T00:00:00"/>
    <m/>
    <x v="0"/>
    <x v="499"/>
    <s v="..\..\Acquisti\2025\EV\FATTURE\EV - PARCHEGGI ITALIA SPA ft 108024826P del 30-09-2025.pdf"/>
    <s v="soste parcheggi"/>
    <x v="13"/>
    <m/>
    <m/>
    <s v="pop sondrio "/>
    <m/>
  </r>
  <r>
    <s v="OK"/>
    <x v="169"/>
    <s v="108028086P"/>
    <d v="2025-10-30T00:00:00"/>
    <m/>
    <x v="0"/>
    <x v="500"/>
    <m/>
    <s v="soste parcheggi"/>
    <x v="13"/>
    <m/>
    <m/>
    <s v="pop sondrio "/>
    <m/>
  </r>
  <r>
    <m/>
    <x v="169"/>
    <s v="108032058P"/>
    <d v="2025-11-30T00:00:00"/>
    <m/>
    <x v="0"/>
    <x v="501"/>
    <m/>
    <s v="soste parcheggi"/>
    <x v="13"/>
    <m/>
    <m/>
    <s v="pop sondrio "/>
    <m/>
  </r>
  <r>
    <m/>
    <x v="169"/>
    <s v="214013111P"/>
    <d v="2025-12-30T00:00:00"/>
    <d v="2025-12-30T00:00:00"/>
    <x v="0"/>
    <x v="502"/>
    <m/>
    <s v="soste parcheggi"/>
    <x v="13"/>
    <d v="2025-12-30T00:00:00"/>
    <n v="5.2"/>
    <s v="pop sondrio "/>
    <m/>
  </r>
  <r>
    <m/>
    <x v="169"/>
    <s v="602017587P"/>
    <d v="2025-12-30T00:00:00"/>
    <d v="2025-12-30T00:00:00"/>
    <x v="0"/>
    <x v="494"/>
    <m/>
    <s v="soste parcheggi"/>
    <x v="13"/>
    <d v="2025-12-30T00:00:00"/>
    <n v="6.6"/>
    <s v="pop sondrio "/>
    <m/>
  </r>
  <r>
    <m/>
    <x v="169"/>
    <s v="18034386P"/>
    <d v="2025-12-30T00:00:00"/>
    <d v="2025-12-30T00:00:00"/>
    <x v="0"/>
    <x v="503"/>
    <m/>
    <s v="soste parcheggi"/>
    <x v="13"/>
    <d v="2025-12-30T00:00:00"/>
    <n v="11"/>
    <s v="pop sondrio "/>
    <m/>
  </r>
  <r>
    <m/>
    <x v="169"/>
    <s v="000000108002430P"/>
    <d v="2026-01-30T00:00:00"/>
    <d v="2026-01-30T00:00:00"/>
    <x v="0"/>
    <x v="490"/>
    <m/>
    <s v="SOSTE PARCHEGGI"/>
    <x v="12"/>
    <n v="0.4"/>
    <d v="2026-03-31T00:00:00"/>
    <m/>
    <m/>
  </r>
  <r>
    <s v="OK"/>
    <x v="170"/>
    <s v="214003223P"/>
    <d v="2025-03-30T00:00:00"/>
    <m/>
    <x v="0"/>
    <x v="490"/>
    <s v="..\..\Acquisti\2025\EV\FATTURE\EV - PARCHEGGI ITALIA SPA ft 214003223 del 30-03-2025.pdf"/>
    <s v="Soste Parcheggi"/>
    <x v="13"/>
    <m/>
    <m/>
    <s v="pop sondrio "/>
    <m/>
  </r>
  <r>
    <s v="OK"/>
    <x v="170"/>
    <n v="108015281"/>
    <d v="2025-05-30T00:00:00"/>
    <m/>
    <x v="0"/>
    <x v="504"/>
    <s v="..\..\Acquisti\2025\EV\FATTURE\EV - PARCHEGGI ITALIA SPA ft 108015281 del 30-05-2025.pdf"/>
    <s v="Soste parcheggi"/>
    <x v="13"/>
    <m/>
    <m/>
    <s v="pop sondrio "/>
    <m/>
  </r>
  <r>
    <s v="OK"/>
    <x v="170"/>
    <s v="108019866P"/>
    <d v="2025-07-30T00:00:00"/>
    <m/>
    <x v="0"/>
    <x v="505"/>
    <s v="..\..\Acquisti\2025\EV\FATTURE\EV - PARCHEGGI ITALIA ft 1080019866P del 30-07-2025.pdf"/>
    <s v="soste parcheggi"/>
    <x v="13"/>
    <m/>
    <m/>
    <s v="pop sondrio "/>
    <m/>
  </r>
  <r>
    <s v="OK"/>
    <x v="170"/>
    <s v="214009126P"/>
    <d v="2025-09-30T00:00:00"/>
    <m/>
    <x v="0"/>
    <x v="490"/>
    <s v="..\..\Acquisti\2025\EV\FATTURE\EV - PARCHEGGI ITALIA SPA ft 214009126P del 30-09-2025.pdf"/>
    <s v="soste parcheggi"/>
    <x v="13"/>
    <m/>
    <m/>
    <s v="pop sondrio "/>
    <m/>
  </r>
  <r>
    <s v="OK"/>
    <x v="171"/>
    <s v="FPR15/25"/>
    <d v="2025-03-31T00:00:00"/>
    <m/>
    <x v="1"/>
    <x v="506"/>
    <s v="..\..\Acquisti\2025\EV\FATTURE\EV - PC GENESI ft 15 del 31-03-2025.pdf"/>
    <s v="ufficio"/>
    <x v="7"/>
    <m/>
    <m/>
    <m/>
    <m/>
  </r>
  <r>
    <m/>
    <x v="171"/>
    <s v="FPR 83/25"/>
    <d v="2025-12-31T00:00:00"/>
    <d v="2026-01-31T00:00:00"/>
    <x v="1"/>
    <x v="507"/>
    <m/>
    <s v="Consulenza informatico effettuata per Vs. conto"/>
    <x v="16"/>
    <n v="0"/>
    <d v="2026-01-31T00:00:00"/>
    <m/>
    <m/>
  </r>
  <r>
    <s v="OK"/>
    <x v="172"/>
    <s v="FVI2500079"/>
    <d v="2025-01-27T00:00:00"/>
    <d v="2025-03-10T00:00:00"/>
    <x v="0"/>
    <x v="508"/>
    <s v="..\..\Acquisti\2025\EV\FATTURE\EV - PEDRETTI SRL ft 79 del 27-01-2025.pdf"/>
    <s v="Bergamo, via Ghislandi"/>
    <x v="55"/>
    <d v="2025-10-15T00:00:00"/>
    <n v="13000"/>
    <s v="bcc"/>
    <m/>
  </r>
  <r>
    <s v="OK"/>
    <x v="172"/>
    <s v="FVI2500079"/>
    <d v="2025-01-27T00:00:00"/>
    <d v="2025-03-10T00:00:00"/>
    <x v="0"/>
    <x v="508"/>
    <s v="Bergamo, via Ghislandi"/>
    <s v="Bergamo, via Ghislandi"/>
    <x v="55"/>
    <d v="2025-10-15T00:00:00"/>
    <n v="13000"/>
    <s v="bcc"/>
    <m/>
  </r>
  <r>
    <m/>
    <x v="172"/>
    <s v="FVI2500079"/>
    <d v="2025-01-27T00:00:00"/>
    <d v="2025-03-10T00:00:00"/>
    <x v="1"/>
    <x v="509"/>
    <s v="..\..\Acquisti\2025\EV\FATTURE\EV - PEDRETTI SRL ft 79 del 27-01-2025.pdf"/>
    <s v="Bergamo, via Ghislandi"/>
    <x v="55"/>
    <m/>
    <m/>
    <s v="tranche di 13k di ottobre e novembre"/>
    <m/>
  </r>
  <r>
    <m/>
    <x v="172"/>
    <s v="FVI2500079"/>
    <d v="2025-01-27T00:00:00"/>
    <d v="2025-04-10T00:00:00"/>
    <x v="1"/>
    <x v="510"/>
    <s v="..\..\Acquisti\2025\EV\FATTURE\EV - PEDRETTI SRL ft 79 del 27-01-2025.pdf"/>
    <s v="Bergamo, via Ghislandi"/>
    <x v="55"/>
    <m/>
    <m/>
    <m/>
    <m/>
  </r>
  <r>
    <m/>
    <x v="173"/>
    <s v="FR A26\237"/>
    <d v="2026-02-02T00:00:00"/>
    <m/>
    <x v="0"/>
    <x v="511"/>
    <m/>
    <s v="MENU FISSO"/>
    <x v="3"/>
    <n v="41.36"/>
    <m/>
    <m/>
    <m/>
  </r>
  <r>
    <s v="OK"/>
    <x v="174"/>
    <s v="258"/>
    <d v="2025-08-01T00:00:00"/>
    <m/>
    <x v="0"/>
    <x v="512"/>
    <s v="..\..\Acquisti\2025\EV\FATTURE\EV _ PER PIU SOLUZIONI ft 258 del 01-08-2025.pdf"/>
    <s v="pranzo _ LA PATTA "/>
    <x v="7"/>
    <m/>
    <m/>
    <m/>
    <m/>
  </r>
  <r>
    <s v="OK"/>
    <x v="174"/>
    <s v="431"/>
    <d v="2025-09-01T00:00:00"/>
    <m/>
    <x v="0"/>
    <x v="513"/>
    <s v="..\..\Acquisti\2025\EV\FATTURE\EV - PER PIU SOLUZIONI ft 431 del 01-09-2025.pdf"/>
    <s v="pranzo _ LA PATTA "/>
    <x v="3"/>
    <m/>
    <m/>
    <m/>
    <m/>
  </r>
  <r>
    <s v="OK"/>
    <x v="174"/>
    <s v="689"/>
    <d v="2025-09-30T00:00:00"/>
    <m/>
    <x v="0"/>
    <x v="514"/>
    <s v="..\..\Acquisti\2025\EV\FATTURE\EV - PER PIU SOLUZIONI ft 689 del 30-09-2025.pdf"/>
    <s v="Pranzo _ LA PATTA "/>
    <x v="3"/>
    <m/>
    <m/>
    <m/>
    <m/>
  </r>
  <r>
    <s v="OK"/>
    <x v="174"/>
    <s v="1323"/>
    <d v="2025-12-03T00:00:00"/>
    <d v="2025-12-03T00:00:00"/>
    <x v="0"/>
    <x v="515"/>
    <m/>
    <s v="MENU FISSO _ LA PATTA "/>
    <x v="3"/>
    <m/>
    <n v="520"/>
    <s v="PAGATO CON CARTA PREPAGATA "/>
    <m/>
  </r>
  <r>
    <s v="OK"/>
    <x v="174"/>
    <s v="1054"/>
    <d v="2025-11-04T00:00:00"/>
    <d v="2025-11-04T00:00:00"/>
    <x v="0"/>
    <x v="516"/>
    <m/>
    <s v="MENU FISSO _ LA PATTA "/>
    <x v="3"/>
    <m/>
    <n v="611"/>
    <s v="PAGATO CON CARTA PREPAGATA "/>
    <m/>
  </r>
  <r>
    <m/>
    <x v="174"/>
    <s v="1539"/>
    <d v="2025-12-31T00:00:00"/>
    <m/>
    <x v="0"/>
    <x v="517"/>
    <m/>
    <s v="MENU FISSO _ LA PATTA "/>
    <x v="3"/>
    <m/>
    <n v="351"/>
    <s v="PAGATO CON CARTA PREPAGATA "/>
    <m/>
  </r>
  <r>
    <s v="ATT.FATTURA "/>
    <x v="175"/>
    <s v="PARCELLA"/>
    <d v="2025-10-21T00:00:00"/>
    <d v="2025-10-21T00:00:00"/>
    <x v="0"/>
    <x v="518"/>
    <m/>
    <s v="Finale Ligure"/>
    <x v="8"/>
    <d v="2025-10-27T00:00:00"/>
    <n v="4200"/>
    <s v="POP SO 2384X38"/>
    <m/>
  </r>
  <r>
    <s v="OK"/>
    <x v="175"/>
    <s v="10/25"/>
    <d v="2025-11-11T00:00:00"/>
    <d v="2025-11-11T00:00:00"/>
    <x v="0"/>
    <x v="518"/>
    <m/>
    <s v="Finale Ligure"/>
    <x v="8"/>
    <d v="2025-10-27T00:00:00"/>
    <n v="4200"/>
    <s v="POP SO 2384X38"/>
    <m/>
  </r>
  <r>
    <s v="PAGAMENTO FATTO ALLA COLLEGA "/>
    <x v="175"/>
    <s v="9/25"/>
    <d v="2025-11-11T00:00:00"/>
    <d v="2025-11-11T00:00:00"/>
    <x v="0"/>
    <x v="319"/>
    <m/>
    <s v="RELAZIONE RRE FINALE LIGURE "/>
    <x v="8"/>
    <m/>
    <m/>
    <m/>
    <m/>
  </r>
  <r>
    <s v="OK"/>
    <x v="176"/>
    <s v="9"/>
    <d v="2025-10-20T00:00:00"/>
    <d v="2025-10-20T00:00:00"/>
    <x v="0"/>
    <x v="519"/>
    <m/>
    <s v="vendita app. finale ligure _ ASS. NR 0210438639-08"/>
    <x v="52"/>
    <d v="2025-10-23T00:00:00"/>
    <n v="2850"/>
    <s v="bpm"/>
    <m/>
  </r>
  <r>
    <s v="OK"/>
    <x v="177"/>
    <s v="9"/>
    <d v="2025-10-20T00:00:00"/>
    <d v="2025-10-20T00:00:00"/>
    <x v="0"/>
    <x v="519"/>
    <m/>
    <s v="vendita app. finale ligure _ ASS. NR 0210438639-08"/>
    <x v="52"/>
    <d v="2025-10-23T00:00:00"/>
    <n v="2850"/>
    <s v="bpm"/>
    <m/>
  </r>
  <r>
    <m/>
    <x v="178"/>
    <s v="1641"/>
    <s v="21/10/2025"/>
    <s v="21/10/2025"/>
    <x v="0"/>
    <x v="520"/>
    <m/>
    <s v="faro ducia duster _ incidente Gabriele "/>
    <x v="7"/>
    <d v="2025-10-20T00:00:00"/>
    <n v="284.89999999999998"/>
    <s v="BCC 601460"/>
    <m/>
  </r>
  <r>
    <m/>
    <x v="178"/>
    <s v="22/25"/>
    <s v="28/11/2025"/>
    <s v="28/11/2025"/>
    <x v="0"/>
    <x v="521"/>
    <m/>
    <s v="faro ducia duster _ incidente Gabriele "/>
    <x v="7"/>
    <d v="2025-10-20T00:00:00"/>
    <n v="284.89999999999998"/>
    <s v="BCC 601460"/>
    <m/>
  </r>
  <r>
    <s v="OK"/>
    <x v="179"/>
    <s v="7251143137"/>
    <d v="2025-02-26T00:00:00"/>
    <m/>
    <x v="0"/>
    <x v="522"/>
    <s v="..\..\Acquisti\2025\EV\FATTURE\EV - PIXARTRINTING ft 7251143137 del 26-02-2025.pdf"/>
    <s v="ufficio"/>
    <x v="29"/>
    <d v="2025-06-09T00:00:00"/>
    <n v="2216.0500000000002"/>
    <m/>
    <m/>
  </r>
  <r>
    <m/>
    <x v="180"/>
    <s v="proforma 34/2020"/>
    <d v="2020-06-18T00:00:00"/>
    <m/>
    <x v="0"/>
    <x v="523"/>
    <s v="file:///\\192.168.1.231\..\AppData\Acquisti\2020\Fatture\EV%20-%20proforme\EV%20-%20Poggio%20Carlo%20npf%2034_2020%20del%2018-06-2020.pdf"/>
    <s v="Bernareggio"/>
    <x v="15"/>
    <m/>
    <m/>
    <m/>
    <m/>
  </r>
  <r>
    <s v="OK"/>
    <x v="181"/>
    <s v="85/25"/>
    <d v="2025-02-28T00:00:00"/>
    <m/>
    <x v="0"/>
    <x v="524"/>
    <s v="..\..\Acquisti\2025\EV\FATTURE\EV - POKER DI GRASSI DANILO ft 85 del 28-02-2025.pdf"/>
    <s v="Torre Boldone"/>
    <x v="11"/>
    <d v="2025-07-15T00:00:00"/>
    <m/>
    <s v="BCC"/>
    <m/>
  </r>
  <r>
    <s v="OK"/>
    <x v="181"/>
    <s v="85/25"/>
    <d v="2025-02-28T00:00:00"/>
    <m/>
    <x v="0"/>
    <x v="525"/>
    <s v="..\..\Acquisti\2025\EV\FATTURE\EV - POKER DI GRASSI DANILO ft 85 del 28-02-2025.pdf"/>
    <s v="Torre Boldone"/>
    <x v="11"/>
    <d v="2025-06-09T00:00:00"/>
    <m/>
    <s v="BPM"/>
    <m/>
  </r>
  <r>
    <s v="OK"/>
    <x v="182"/>
    <s v="852"/>
    <d v="2025-03-13T00:00:00"/>
    <m/>
    <x v="0"/>
    <x v="526"/>
    <s v="..\..\Acquisti\2025\EV\FATTURE\EV - POMA MARIO SRL ft 852 del 13-03-2025.pdf"/>
    <m/>
    <x v="14"/>
    <m/>
    <m/>
    <m/>
    <m/>
  </r>
  <r>
    <s v="OK"/>
    <x v="183"/>
    <n v="679"/>
    <d v="2025-01-14T00:00:00"/>
    <d v="2025-02-28T00:00:00"/>
    <x v="0"/>
    <x v="527"/>
    <s v="..\..\Acquisti\2025\EV\FATTURE\EV - PREAN ft 679 del 14-01-2025.pdf"/>
    <s v="Ufficio"/>
    <x v="11"/>
    <m/>
    <m/>
    <m/>
    <m/>
  </r>
  <r>
    <m/>
    <x v="183"/>
    <n v="11223"/>
    <d v="2025-06-20T00:00:00"/>
    <m/>
    <x v="0"/>
    <x v="22"/>
    <s v="..\..\Acquisti\2025\EV\FATTURE\EV - PREAN ft 11223 del 20-06-2025.pdf"/>
    <s v="ufficio"/>
    <x v="7"/>
    <d v="2025-11-20T00:00:00"/>
    <m/>
    <m/>
    <m/>
  </r>
  <r>
    <s v="OK"/>
    <x v="184"/>
    <s v="73/E"/>
    <d v="2025-04-14T00:00:00"/>
    <d v="2025-05-31T00:00:00"/>
    <x v="0"/>
    <x v="528"/>
    <s v="..\..\Acquisti\2025\EV\FATTURE\EV - PROJECT SRL ft 73 del 14-04-2025.pdf"/>
    <s v="Bergamo, Via Ghislandi"/>
    <x v="7"/>
    <d v="2025-07-16T00:00:00"/>
    <n v="1378.6"/>
    <s v="BCC"/>
    <m/>
  </r>
  <r>
    <s v="OK"/>
    <x v="185"/>
    <n v="225"/>
    <d v="2025-07-19T00:00:00"/>
    <d v="2025-08-31T00:00:00"/>
    <x v="0"/>
    <x v="373"/>
    <s v="..\..\Acquisti\2025\EV\FATTURE\EV - PUNTO GRU DI ROMANO GIUSEPPE ft 225 del 19-07-2025.pdf"/>
    <s v="verifica funi trimestrale"/>
    <x v="11"/>
    <m/>
    <m/>
    <m/>
    <m/>
  </r>
  <r>
    <s v="OK"/>
    <x v="186"/>
    <n v="125000068"/>
    <d v="2025-06-11T00:00:00"/>
    <m/>
    <x v="0"/>
    <x v="529"/>
    <s v="..\..\Acquisti\2025\EV\FATTURE\EV - RAZ SNC ft 125000068 del 11-06-2025.pdf"/>
    <s v="pranzo"/>
    <x v="4"/>
    <m/>
    <m/>
    <s v="CESSIONE FISCALE"/>
    <m/>
  </r>
  <r>
    <m/>
    <x v="187"/>
    <s v="08"/>
    <d v="2024-01-31T00:00:00"/>
    <d v="2024-05-10T00:00:00"/>
    <x v="1"/>
    <x v="530"/>
    <s v="..\..\..\Acquisti\2024\EV\Fatture\EV - RBP ft 08 del 31-01-2024.pdf"/>
    <s v="BG, Scanzo"/>
    <x v="56"/>
    <d v="2025-03-12T00:00:00"/>
    <e v="#VALUE!"/>
    <m/>
    <m/>
  </r>
  <r>
    <s v="OK"/>
    <x v="187"/>
    <s v="08"/>
    <d v="2024-01-31T00:00:00"/>
    <d v="2024-05-10T00:00:00"/>
    <x v="0"/>
    <x v="531"/>
    <s v="..\..\..\Acquisti\2024\EV\Fatture\EV - RBP ft 08 del 31-01-2024.pdf"/>
    <s v="BG, Scanzo"/>
    <x v="7"/>
    <m/>
    <m/>
    <m/>
    <m/>
  </r>
  <r>
    <m/>
    <x v="187"/>
    <s v="08"/>
    <d v="2024-01-31T00:00:00"/>
    <d v="2024-05-10T00:00:00"/>
    <x v="1"/>
    <x v="532"/>
    <s v="..\..\..\Acquisti\2024\EV\Fatture\EV - RBP ft 08 del 31-01-2024.pdf"/>
    <s v="BG, Scanzo"/>
    <x v="7"/>
    <d v="2025-03-12T00:00:00"/>
    <e v="#VALUE!"/>
    <m/>
    <m/>
  </r>
  <r>
    <s v="OK"/>
    <x v="187"/>
    <s v="238"/>
    <d v="2024-04-30T00:00:00"/>
    <d v="2024-08-10T00:00:00"/>
    <x v="0"/>
    <x v="533"/>
    <s v="..\..\..\Acquisti\2024\EV\Fatture\EV - RBP ft 238 del 30-04-2024.pdf"/>
    <s v="BG"/>
    <x v="7"/>
    <d v="2025-03-12T00:00:00"/>
    <e v="#VALUE!"/>
    <m/>
    <m/>
  </r>
  <r>
    <s v="OK"/>
    <x v="187"/>
    <n v="303"/>
    <d v="2024-05-31T00:00:00"/>
    <d v="2024-09-10T00:00:00"/>
    <x v="0"/>
    <x v="534"/>
    <s v="C:\Users\Ufficio\Desktop\Amministrazione\Acquisti\2024\EV\Fatture\EV - RBP ft 303 del 31-05-2024.pdf"/>
    <s v="Torre Boldone - Via Kennedy"/>
    <x v="7"/>
    <d v="2025-03-12T00:00:00"/>
    <e v="#VALUE!"/>
    <m/>
    <m/>
  </r>
  <r>
    <s v="OK"/>
    <x v="187"/>
    <n v="417"/>
    <d v="2024-07-31T00:00:00"/>
    <d v="2024-10-10T00:00:00"/>
    <x v="0"/>
    <x v="535"/>
    <s v="C:\Users\Ufficio\Desktop\Amministrazione\Acquisti\2024\EV\Fatture\EV - RBP ft -417 del 31-07-2024.pdf"/>
    <s v="Scanzorosciate, Via Trento"/>
    <x v="7"/>
    <d v="2025-03-12T00:00:00"/>
    <e v="#VALUE!"/>
    <m/>
    <m/>
  </r>
  <r>
    <s v="OK"/>
    <x v="187"/>
    <s v="449"/>
    <d v="2024-08-31T00:00:00"/>
    <d v="2024-11-10T00:00:00"/>
    <x v="0"/>
    <x v="536"/>
    <s v="Amministrazione\Acquisti\2024\EV\Fatture\EV - RBP ft 449 del 31-08-2024.pdf"/>
    <s v="Bg, Via Ghislandi"/>
    <x v="7"/>
    <d v="2025-03-12T00:00:00"/>
    <e v="#VALUE!"/>
    <m/>
    <m/>
  </r>
  <r>
    <s v="OK"/>
    <x v="187"/>
    <s v="549"/>
    <d v="2024-09-30T00:00:00"/>
    <d v="2025-01-10T00:00:00"/>
    <x v="0"/>
    <x v="537"/>
    <s v="C:\Users\Ufficio\Desktop\Amministrazione\Acquisti\2024\EV\Fatture\EV - RBP ft 549 del 30-09-2024.pdf"/>
    <s v="Bg, Via ghislandi"/>
    <x v="29"/>
    <d v="2025-03-12T00:00:00"/>
    <e v="#VALUE!"/>
    <m/>
    <m/>
  </r>
  <r>
    <s v="OK"/>
    <x v="187"/>
    <s v="663"/>
    <d v="2024-11-30T00:00:00"/>
    <d v="2025-03-10T00:00:00"/>
    <x v="0"/>
    <x v="538"/>
    <s v="C:\Users\Ufficio\Desktop\Amministrazione\Acquisti\2024\EV\Fatture\EV - RBP ft 663 del 30-11-2024.pdf"/>
    <s v="Bg, Via Ghislandi"/>
    <x v="7"/>
    <d v="2025-03-12T00:00:00"/>
    <e v="#VALUE!"/>
    <m/>
    <m/>
  </r>
  <r>
    <s v="OK"/>
    <x v="187"/>
    <s v="726"/>
    <d v="2024-12-30T00:00:00"/>
    <d v="2024-12-30T00:00:00"/>
    <x v="0"/>
    <x v="539"/>
    <s v="C:\Users\Ufficio\Desktop\Amministrazione\Acquisti\2024\EV\Fatture\EV - RBP ft 726 del 30-12-2024.pdf"/>
    <s v="Torre Boldone, via Gaito"/>
    <x v="7"/>
    <m/>
    <e v="#VALUE!"/>
    <m/>
    <m/>
  </r>
  <r>
    <m/>
    <x v="187"/>
    <s v="159"/>
    <d v="2025-03-31T00:00:00"/>
    <d v="2025-03-31T00:00:00"/>
    <x v="1"/>
    <x v="540"/>
    <s v="..\..\Acquisti\2025\EV\FATTURE\EV - RBP ft 159 del 31-03-2025.pdf"/>
    <s v="Vertova"/>
    <x v="7"/>
    <m/>
    <m/>
    <m/>
    <m/>
  </r>
  <r>
    <m/>
    <x v="187"/>
    <s v="192"/>
    <d v="2025-04-30T00:00:00"/>
    <d v="2025-08-10T00:00:00"/>
    <x v="1"/>
    <x v="541"/>
    <s v="..\..\Acquisti\2025\EV\FATTURE\EV - RBP ft 192 del 30-04-2025.pdf"/>
    <m/>
    <x v="7"/>
    <m/>
    <m/>
    <m/>
    <m/>
  </r>
  <r>
    <m/>
    <x v="187"/>
    <s v="264"/>
    <d v="2025-05-30T00:00:00"/>
    <d v="2025-09-10T00:00:00"/>
    <x v="1"/>
    <x v="542"/>
    <s v="..\..\Acquisti\2025\EV\FATTURE\EV - RBP ft 264 del 30-05-2025.pdf"/>
    <s v="Torre Boldone, Via Gaito"/>
    <x v="7"/>
    <m/>
    <m/>
    <m/>
    <m/>
  </r>
  <r>
    <m/>
    <x v="187"/>
    <s v="353"/>
    <d v="2025-06-30T00:00:00"/>
    <d v="2025-10-10T00:00:00"/>
    <x v="1"/>
    <x v="543"/>
    <s v="..\..\Acquisti\2025\EV\FATTURE\EV - RBP ft 353 del 30-06-2025.pdf"/>
    <s v="riparazione "/>
    <x v="7"/>
    <m/>
    <m/>
    <m/>
    <m/>
  </r>
  <r>
    <m/>
    <x v="187"/>
    <s v="348"/>
    <d v="2025-06-30T00:00:00"/>
    <d v="2025-10-10T00:00:00"/>
    <x v="1"/>
    <x v="331"/>
    <s v="..\..\Acquisti\2025\EV\FATTURE\EV - RBP ft 348 del 30-06-2025.pdf"/>
    <m/>
    <x v="7"/>
    <m/>
    <m/>
    <m/>
    <m/>
  </r>
  <r>
    <s v="OK"/>
    <x v="188"/>
    <s v="6225143313"/>
    <d v="2025-03-26T00:00:00"/>
    <m/>
    <x v="0"/>
    <x v="544"/>
    <s v="..\..\Acquisti\2025\EV\FATTURE\EV - REGISTER SPA ft 6225143313 del 26-03-2025.pdf"/>
    <s v="Ufficio"/>
    <x v="4"/>
    <m/>
    <m/>
    <m/>
    <m/>
  </r>
  <r>
    <s v="OK"/>
    <x v="189"/>
    <s v="2025E71453"/>
    <d v="2025-02-13T00:00:00"/>
    <d v="2025-02-25T00:00:00"/>
    <x v="0"/>
    <x v="545"/>
    <s v="..\..\Acquisti\2025\EV\FATTURE\EV- REPOWER VENDITA ITALIA ft 71453 del 13-02-2025.pdf"/>
    <s v="Finale Ligure"/>
    <x v="13"/>
    <m/>
    <m/>
    <m/>
    <m/>
  </r>
  <r>
    <s v="OK"/>
    <x v="189"/>
    <s v="2025E125410"/>
    <d v="2025-03-18T00:00:00"/>
    <m/>
    <x v="0"/>
    <x v="545"/>
    <s v="..\..\Acquisti\2025\EV\FATTURE\EV - REPOWER ft 25410 del 18-03-2025.pdf"/>
    <s v="finale Ligure"/>
    <x v="13"/>
    <m/>
    <m/>
    <m/>
    <m/>
  </r>
  <r>
    <s v="OK"/>
    <x v="190"/>
    <s v="2"/>
    <d v="2025-05-20T00:00:00"/>
    <m/>
    <x v="0"/>
    <x v="546"/>
    <s v="..\..\Acquisti\2025\EV\FATTURE\EV - RESIDENZA PARADISO nc 2 del 20-05-2025.pdf"/>
    <s v="Bergamo, via Ghislandi"/>
    <x v="7"/>
    <d v="2025-06-25T00:00:00"/>
    <n v="4000"/>
    <s v="BPER"/>
    <m/>
  </r>
  <r>
    <s v="OK"/>
    <x v="191"/>
    <s v="95"/>
    <d v="2024-09-04T00:00:00"/>
    <d v="2024-11-10T00:00:00"/>
    <x v="0"/>
    <x v="547"/>
    <s v="C:\Users\Ufficio\Desktop\Amministrazione\Acquisti\2024\EV\Fatture\EV - RESIDENZA PARADISO ft 95 del 04-09-2024.pdf"/>
    <s v="Bergamo, Via Ghislandi  "/>
    <x v="7"/>
    <m/>
    <m/>
    <m/>
    <m/>
  </r>
  <r>
    <s v="OK"/>
    <x v="191"/>
    <s v="95"/>
    <d v="2024-09-04T00:00:00"/>
    <d v="2024-12-10T00:00:00"/>
    <x v="0"/>
    <x v="548"/>
    <s v="C:\Users\Ufficio\Desktop\Amministrazione\Acquisti\2024\EV\Fatture\EV - RESIDENZA PARADISO ft 95 del 04-09-2024.pdf"/>
    <s v="Bergamo, Via Ghislandi  "/>
    <x v="7"/>
    <d v="2025-03-13T00:00:00"/>
    <e v="#VALUE!"/>
    <s v="BPM"/>
    <m/>
  </r>
  <r>
    <s v="OK"/>
    <x v="191"/>
    <s v="95"/>
    <d v="2024-09-04T00:00:00"/>
    <d v="2024-12-10T00:00:00"/>
    <x v="0"/>
    <x v="549"/>
    <s v="C:\Users\Ufficio\Desktop\Amministrazione\Acquisti\2024\EV\Fatture\EV - RESIDENZA PARADISO ft 95 del 04-09-2024.pdf"/>
    <s v="Bergamo, Via Ghislandi  "/>
    <x v="7"/>
    <d v="2025-03-13T00:00:00"/>
    <e v="#VALUE!"/>
    <s v="BPM"/>
    <m/>
  </r>
  <r>
    <s v="OK"/>
    <x v="191"/>
    <s v="128"/>
    <d v="2024-10-21T00:00:00"/>
    <d v="2025-01-10T00:00:00"/>
    <x v="0"/>
    <x v="550"/>
    <s v="C:\Users\Ufficio\Desktop\Amministrazione\Acquisti\2024\EV\Fatture\EV - RESIDENZA PARADISO ft 128 del 21-10-2024.pdf"/>
    <s v="Bergamo; Via Ghislandi"/>
    <x v="7"/>
    <m/>
    <m/>
    <m/>
    <m/>
  </r>
  <r>
    <s v="OK"/>
    <x v="192"/>
    <s v="41"/>
    <d v="2025-04-04T00:00:00"/>
    <m/>
    <x v="0"/>
    <x v="551"/>
    <s v="..\..\Acquisti\2025\EV\FATTURE\EV - RINALDI GIULIA ft 41 del 04-04-2025.pdf"/>
    <s v="compenso per collab. Tecnica - Ghislandi"/>
    <x v="7"/>
    <m/>
    <m/>
    <m/>
    <m/>
  </r>
  <r>
    <m/>
    <x v="193"/>
    <s v="1"/>
    <d v="2025-06-25T00:00:00"/>
    <m/>
    <x v="0"/>
    <x v="186"/>
    <s v="..\..\Acquisti\2025\EV\FATTURE\EV - RINALDI KRISTIAN ft 1 del 25-06-2025.pdf"/>
    <s v="Varie"/>
    <x v="7"/>
    <m/>
    <m/>
    <m/>
    <m/>
  </r>
  <r>
    <s v="OK"/>
    <x v="193"/>
    <s v="2"/>
    <d v="2025-12-11T00:00:00"/>
    <m/>
    <x v="0"/>
    <x v="289"/>
    <s v="VARIE"/>
    <s v="BONIFICO"/>
    <x v="57"/>
    <d v="1908-03-18T00:00:00"/>
    <n v="1100"/>
    <s v="bcc 601460"/>
    <m/>
  </r>
  <r>
    <s v="OK"/>
    <x v="193"/>
    <s v="2"/>
    <d v="2025-12-11T00:00:00"/>
    <m/>
    <x v="0"/>
    <x v="172"/>
    <s v="VARIE"/>
    <s v="BONIFICO"/>
    <x v="57"/>
    <d v="1908-03-18T00:00:00"/>
    <n v="3000"/>
    <s v="\"/>
    <m/>
  </r>
  <r>
    <s v="OK"/>
    <x v="193"/>
    <s v="2"/>
    <d v="2025-12-11T00:00:00"/>
    <m/>
    <x v="0"/>
    <x v="552"/>
    <s v="VARIE"/>
    <s v="BONIFICO"/>
    <x v="57"/>
    <d v="1908-03-18T00:00:00"/>
    <n v="10900"/>
    <s v="bcc 601460"/>
    <m/>
  </r>
  <r>
    <s v="OK"/>
    <x v="193"/>
    <s v="2"/>
    <d v="2025-12-11T00:00:00"/>
    <m/>
    <x v="0"/>
    <x v="69"/>
    <m/>
    <s v="VARIE"/>
    <x v="7"/>
    <d v="2025-10-10T00:00:00"/>
    <n v="3000"/>
    <s v="bcc 601460"/>
    <m/>
  </r>
  <r>
    <s v="OK"/>
    <x v="193"/>
    <s v="2"/>
    <d v="2025-12-11T00:00:00"/>
    <m/>
    <x v="0"/>
    <x v="172"/>
    <m/>
    <s v="varie "/>
    <x v="8"/>
    <d v="2025-11-17T00:00:00"/>
    <n v="2000"/>
    <s v="bcc 601460"/>
    <m/>
  </r>
  <r>
    <s v="OK"/>
    <x v="194"/>
    <s v="125000956"/>
    <d v="2025-05-15T00:00:00"/>
    <m/>
    <x v="0"/>
    <x v="179"/>
    <s v="..\..\Acquisti\2025\EV\FATTURE\EV - MERELLI ANNAMARIA ft 125000956 del 15-05-2025.pdf"/>
    <s v="Pranzo"/>
    <x v="4"/>
    <m/>
    <m/>
    <m/>
    <m/>
  </r>
  <r>
    <s v="OK"/>
    <x v="194"/>
    <s v="125000969"/>
    <d v="2025-05-16T00:00:00"/>
    <m/>
    <x v="0"/>
    <x v="179"/>
    <s v="..\..\Acquisti\2025\EV\FATTURE\EV - MERELLI ANNAMARIA ft 125000969 del 16-05-2025.pdf"/>
    <s v="pranzo"/>
    <x v="4"/>
    <m/>
    <m/>
    <m/>
    <m/>
  </r>
  <r>
    <s v="OK"/>
    <x v="194"/>
    <s v="125000987"/>
    <d v="2025-05-19T00:00:00"/>
    <m/>
    <x v="0"/>
    <x v="178"/>
    <s v="..\..\Acquisti\2025\EV\FATTURE\EV- MERELLI ANNAMARIA ft 125000987 del 19-05-2025.pdf"/>
    <s v="pranzo"/>
    <x v="4"/>
    <m/>
    <m/>
    <m/>
    <m/>
  </r>
  <r>
    <s v="OK"/>
    <x v="194"/>
    <s v="125001272"/>
    <d v="2025-06-30T00:00:00"/>
    <m/>
    <x v="0"/>
    <x v="178"/>
    <s v="..\..\Acquisti\2025\EV\FATTURE\EV - RISTORANTE PIZZERIA CENTAURI ft 1272 del 30-06-2025.pdf"/>
    <s v="pranzo"/>
    <x v="4"/>
    <m/>
    <m/>
    <m/>
    <m/>
  </r>
  <r>
    <s v="OK"/>
    <x v="194"/>
    <s v="125001296"/>
    <d v="2025-07-02T00:00:00"/>
    <m/>
    <x v="0"/>
    <x v="182"/>
    <s v="..\..\Acquisti\2025\EV\FATTURE\EV - RISTORANTE PIZZERIA CENTAURI ft 1296 del 02-07-2025.pdf"/>
    <s v="pranzo"/>
    <x v="4"/>
    <d v="2025-02-10T00:00:00"/>
    <m/>
    <m/>
    <m/>
  </r>
  <r>
    <s v="OK"/>
    <x v="195"/>
    <s v="9-FE"/>
    <d v="2025-02-05T00:00:00"/>
    <m/>
    <x v="0"/>
    <x v="553"/>
    <s v="..\..\Acquisti\2025\EV\FATTURE\EV- ROCCA GIUSEPPE ft 9 del 05-02-2025.pdf"/>
    <s v="porte  kennedy"/>
    <x v="7"/>
    <d v="2025-03-14T00:00:00"/>
    <n v="2000"/>
    <s v="BPM"/>
    <m/>
  </r>
  <r>
    <s v="OK"/>
    <x v="195"/>
    <s v="11-FE"/>
    <d v="2025-02-25T00:00:00"/>
    <m/>
    <x v="0"/>
    <x v="69"/>
    <s v="..\..\Acquisti\2025\EV\FATTURE\EV - ROCCA GIUSEPPE ft 11 del 25-02-2025.pdf"/>
    <s v="Torre Boldone, Via Kennedy"/>
    <x v="7"/>
    <d v="2025-06-09T00:00:00"/>
    <n v="1500"/>
    <s v="BPM"/>
    <m/>
  </r>
  <r>
    <s v="OK"/>
    <x v="195"/>
    <s v="11-FE"/>
    <d v="2025-02-25T00:00:00"/>
    <m/>
    <x v="0"/>
    <x v="554"/>
    <s v="..\..\Acquisti\2025\EV\FATTURE\EV - ROCCA GIUSEPPE ft 11 del 25-02-2025.pdf"/>
    <s v="Torre Boldone, Via Kennedy"/>
    <x v="7"/>
    <d v="2025-06-09T00:00:00"/>
    <n v="1500"/>
    <s v="BPM"/>
    <m/>
  </r>
  <r>
    <s v="OK"/>
    <x v="195"/>
    <s v="15-FE"/>
    <d v="2025-03-27T00:00:00"/>
    <m/>
    <x v="0"/>
    <x v="555"/>
    <s v="..\..\Acquisti\2025\EV\FATTURE\EV - ROCCA GIUSEPPE ft 15 del 27-03-2025.pdf"/>
    <s v="Torre Boldone"/>
    <x v="4"/>
    <m/>
    <m/>
    <m/>
    <m/>
  </r>
  <r>
    <s v="OK"/>
    <x v="195"/>
    <s v="15-FE"/>
    <d v="2025-03-27T00:00:00"/>
    <m/>
    <x v="0"/>
    <x v="556"/>
    <s v="..\..\Acquisti\2025\EV\FATTURE\EV - ROCCA GIUSEPPE ft 15 del 27-03-2025.pdf"/>
    <s v="Torre Boldone"/>
    <x v="4"/>
    <m/>
    <m/>
    <m/>
    <m/>
  </r>
  <r>
    <s v="OK"/>
    <x v="196"/>
    <n v="12090"/>
    <d v="2025-07-22T00:00:00"/>
    <m/>
    <x v="0"/>
    <x v="557"/>
    <s v="..\..\Acquisti\2025\EV\FATTURE\EV - RUBINETTERIA SHOP SRL ft 12090 del 27-07-2025.pdf"/>
    <m/>
    <x v="3"/>
    <d v="2025-07-15T00:00:00"/>
    <m/>
    <s v="BCC"/>
    <m/>
  </r>
  <r>
    <m/>
    <x v="197"/>
    <s v="5/2026"/>
    <d v="2026-01-30T00:00:00"/>
    <d v="2026-02-28T00:00:00"/>
    <x v="1"/>
    <x v="558"/>
    <m/>
    <s v="CANTIERE DI BERGAMO  Formazione di rampa scopata con quarzo  A CORPO 1.400,00Euro | -"/>
    <x v="16"/>
    <d v="1899-12-30T00:00:00"/>
    <d v="2026-02-28T00:00:00"/>
    <m/>
    <m/>
  </r>
  <r>
    <s v="OK"/>
    <x v="197"/>
    <s v="187/2024"/>
    <d v="2024-10-31T00:00:00"/>
    <d v="2024-11-30T00:00:00"/>
    <x v="0"/>
    <x v="559"/>
    <s v="C:\Users\Ufficio\Desktop\Amministrazione\Acquisti\2024\EV\Fatture\EV - RUGGIPAV SAS ft 187 del 31-10-2024.pdf"/>
    <s v="Scanzorosciate, via Trento"/>
    <x v="7"/>
    <d v="2025-03-14T00:00:00"/>
    <n v="1300"/>
    <s v="BPM"/>
    <m/>
  </r>
  <r>
    <s v="OK"/>
    <x v="197"/>
    <s v="215/2024"/>
    <d v="2024-12-30T00:00:00"/>
    <d v="2025-02-28T00:00:00"/>
    <x v="0"/>
    <x v="559"/>
    <s v="C:\Users\Ufficio\Desktop\Amministrazione\Acquisti\2024\EV\Fatture\EV - RUGGIPAV ft 215 del 30-12-2024.pdf"/>
    <s v="Bergamo"/>
    <x v="7"/>
    <m/>
    <m/>
    <m/>
    <m/>
  </r>
  <r>
    <m/>
    <x v="197"/>
    <s v="260/2025"/>
    <d v="2025-11-30T00:00:00"/>
    <d v="2025-12-31T00:00:00"/>
    <x v="1"/>
    <x v="560"/>
    <m/>
    <s v="SORISOLE"/>
    <x v="7"/>
    <m/>
    <n v="3600"/>
    <m/>
    <m/>
  </r>
  <r>
    <m/>
    <x v="197"/>
    <s v="259/2025"/>
    <d v="2025-11-30T00:00:00"/>
    <d v="2025-12-31T00:00:00"/>
    <x v="1"/>
    <x v="561"/>
    <m/>
    <s v="BERGAMO "/>
    <x v="7"/>
    <m/>
    <n v="1700"/>
    <m/>
    <m/>
  </r>
  <r>
    <s v="OK"/>
    <x v="198"/>
    <n v="2"/>
    <d v="2025-01-16T00:00:00"/>
    <d v="2025-02-28T00:00:00"/>
    <x v="0"/>
    <x v="421"/>
    <s v="..\..\Acquisti\2025\EV\FATTURE\EV - S.E.A. SRL ft 2 del 16-01-2025.pdf"/>
    <s v="Scanzorosciate"/>
    <x v="11"/>
    <m/>
    <m/>
    <m/>
    <m/>
  </r>
  <r>
    <n v="2024"/>
    <x v="199"/>
    <s v="112/I"/>
    <d v="2024-04-11T00:00:00"/>
    <m/>
    <x v="0"/>
    <x v="562"/>
    <s v="..\..\..\Acquisti\2024\EV\Fatture\EV - SALVETTI ft 112 del 11-04-2024.pdf"/>
    <s v="TB, via Mirabella - saldo"/>
    <x v="11"/>
    <m/>
    <m/>
    <m/>
    <m/>
  </r>
  <r>
    <s v="RATEI FT 185-182"/>
    <x v="199"/>
    <m/>
    <m/>
    <m/>
    <x v="0"/>
    <x v="96"/>
    <m/>
    <m/>
    <x v="8"/>
    <m/>
    <n v="15000"/>
    <s v="BCC"/>
    <m/>
  </r>
  <r>
    <n v="2024"/>
    <x v="199"/>
    <s v="113/I"/>
    <d v="2024-04-11T00:00:00"/>
    <m/>
    <x v="0"/>
    <x v="19"/>
    <s v="..\..\..\Acquisti\2024\EV\Fatture\EV - SALVETTI ft 113 del 11-04-2024.pdf"/>
    <s v="Ranica - saldo"/>
    <x v="11"/>
    <m/>
    <m/>
    <m/>
    <m/>
  </r>
  <r>
    <s v="PIANO DI RIENTRO "/>
    <x v="199"/>
    <s v="185/I"/>
    <d v="2025-05-26T00:00:00"/>
    <m/>
    <x v="1"/>
    <x v="97"/>
    <s v="..\..\Acquisti\2025\EV\FATTURE\EV - SALVETTI SRL ft 185 del 26-05-2025.pdf"/>
    <s v="Bergamo, Via Ghislandi"/>
    <x v="4"/>
    <m/>
    <m/>
    <m/>
    <m/>
  </r>
  <r>
    <s v="PIANO DI RIENTRO "/>
    <x v="199"/>
    <s v="182/I"/>
    <d v="2025-05-26T00:00:00"/>
    <m/>
    <x v="1"/>
    <x v="563"/>
    <s v="..\..\Acquisti\2025\EV\FATTURE\EV - SALVETTI SRL ft 182 del 26-05-2025.pdf"/>
    <s v="Scanzorosciate, Via Trento"/>
    <x v="4"/>
    <m/>
    <m/>
    <n v="40000"/>
    <m/>
  </r>
  <r>
    <s v="CESSIONE CREDITI FISCALI "/>
    <x v="199"/>
    <m/>
    <m/>
    <m/>
    <x v="0"/>
    <x v="564"/>
    <m/>
    <s v="CREDITI FISCALI "/>
    <x v="58"/>
    <m/>
    <n v="25000"/>
    <n v="15000"/>
    <m/>
  </r>
  <r>
    <s v="RATEI FT 185-182"/>
    <x v="199"/>
    <m/>
    <m/>
    <m/>
    <x v="0"/>
    <x v="564"/>
    <m/>
    <s v="PIANO DI RIENTRO "/>
    <x v="59"/>
    <d v="2025-08-04T00:00:00"/>
    <n v="10000"/>
    <n v="5000"/>
    <m/>
  </r>
  <r>
    <s v="RATEI FT 185-182"/>
    <x v="199"/>
    <m/>
    <m/>
    <m/>
    <x v="0"/>
    <x v="508"/>
    <m/>
    <s v="PIANO DI RIENTRO "/>
    <x v="60"/>
    <d v="2025-10-30T00:00:00"/>
    <n v="13000"/>
    <n v="65000"/>
    <m/>
  </r>
  <r>
    <s v="RATEI FT 185-182"/>
    <x v="199"/>
    <m/>
    <m/>
    <m/>
    <x v="0"/>
    <x v="565"/>
    <m/>
    <s v="PIANO DI RIENTRO "/>
    <x v="60"/>
    <d v="2025-11-30T00:00:00"/>
    <n v="12000"/>
    <n v="-7000"/>
    <m/>
  </r>
  <r>
    <s v="OK"/>
    <x v="199"/>
    <s v="238/I"/>
    <d v="2025-07-14T00:00:00"/>
    <d v="2025-10-10T00:00:00"/>
    <x v="0"/>
    <x v="566"/>
    <s v="..\..\Acquisti\2025\EV\FATTURE\EV - SALVETTI SRL ft 238 del 14-07-2025.pdf"/>
    <s v="Torre Boldone"/>
    <x v="11"/>
    <m/>
    <m/>
    <m/>
    <m/>
  </r>
  <r>
    <s v="RATEI FT 185-182"/>
    <x v="199"/>
    <m/>
    <m/>
    <m/>
    <x v="0"/>
    <x v="96"/>
    <m/>
    <s v="BONIFICO LUGLIO PIANO DI RIENTRO"/>
    <x v="60"/>
    <d v="2025-10-27T00:00:00"/>
    <n v="13000"/>
    <n v="-20000"/>
    <m/>
  </r>
  <r>
    <m/>
    <x v="200"/>
    <s v="8"/>
    <d v="2026-02-02T00:00:00"/>
    <d v="2026-02-02T00:00:00"/>
    <x v="0"/>
    <x v="567"/>
    <m/>
    <s v="SOGGIORNO // 4 PAX MEZZA PENSIONE  DAL 20/01/26 AL 23/01/26 3 X 40,00 X 3G  EURO 360,00 1 X 55,00 X 3 G EURO 165,00 3 PAX MEZZA PENSIONE DAL 26/1/26 AL 30/1/26 2 X 40,00 X 4 G   EURO 320,00 1 X 55,00 "/>
    <x v="14"/>
    <n v="96.82"/>
    <d v="2026-04-03T00:00:00"/>
    <m/>
    <m/>
  </r>
  <r>
    <s v="OK"/>
    <x v="201"/>
    <s v="22067"/>
    <d v="2025-06-20T00:00:00"/>
    <m/>
    <x v="0"/>
    <x v="568"/>
    <s v="..\..\Acquisti\2025\EV\FATTURE\EV - SER CAR ft 22067 del 20-06-2025.pdf"/>
    <s v="pranzo"/>
    <x v="3"/>
    <m/>
    <m/>
    <m/>
    <m/>
  </r>
  <r>
    <s v="OK"/>
    <x v="201"/>
    <s v="22094"/>
    <d v="2025-06-24T00:00:00"/>
    <m/>
    <x v="0"/>
    <x v="569"/>
    <s v="..\..\Acquisti\2025\EV\FATTURE\EV - SER CAR ft 22094 del 24-06-2025.pdf"/>
    <s v="pranzo"/>
    <x v="3"/>
    <m/>
    <m/>
    <m/>
    <m/>
  </r>
  <r>
    <s v="OK"/>
    <x v="201"/>
    <s v="22111"/>
    <d v="2025-06-25T00:00:00"/>
    <m/>
    <x v="0"/>
    <x v="570"/>
    <s v="..\..\Acquisti\2025\EV\FATTURE\EV - SER CAR ft 22111 del 25-06-2025.pdf"/>
    <s v="pranzo"/>
    <x v="3"/>
    <m/>
    <m/>
    <m/>
    <m/>
  </r>
  <r>
    <s v="OK"/>
    <x v="201"/>
    <s v="22128"/>
    <d v="2025-06-26T00:00:00"/>
    <m/>
    <x v="0"/>
    <x v="571"/>
    <s v="..\..\Acquisti\2025\EV\FATTURE\EV - SER CAR ft 22128 del 26-06-2025.pdf"/>
    <s v="prenzo"/>
    <x v="3"/>
    <m/>
    <m/>
    <m/>
    <m/>
  </r>
  <r>
    <s v="OK"/>
    <x v="201"/>
    <s v="22143"/>
    <d v="2025-06-27T00:00:00"/>
    <m/>
    <x v="0"/>
    <x v="571"/>
    <s v="..\..\Acquisti\2025\EV\FATTURE\EV - SER CAR ft 22143 del 27-06-2025.pdf"/>
    <s v="pranzo"/>
    <x v="3"/>
    <m/>
    <m/>
    <m/>
    <m/>
  </r>
  <r>
    <s v="OK"/>
    <x v="201"/>
    <s v="22182"/>
    <d v="2025-06-30T00:00:00"/>
    <m/>
    <x v="0"/>
    <x v="572"/>
    <s v="..\..\Acquisti\2025\EV\FATTURE\EV - SER CAR ft 22182 del 30-06-2025.pdf"/>
    <s v="pranzo"/>
    <x v="3"/>
    <m/>
    <m/>
    <m/>
    <m/>
  </r>
  <r>
    <s v="OK"/>
    <x v="201"/>
    <s v="22215"/>
    <d v="2025-07-02T00:00:00"/>
    <m/>
    <x v="0"/>
    <x v="573"/>
    <s v="..\..\Acquisti\2025\EV\FATTURE\EV - SER CAR ft 22215 del 02-07-2025.pdf"/>
    <s v="pranzo"/>
    <x v="3"/>
    <m/>
    <m/>
    <m/>
    <m/>
  </r>
  <r>
    <s v="OK"/>
    <x v="201"/>
    <s v="22240"/>
    <d v="2025-07-03T00:00:00"/>
    <m/>
    <x v="0"/>
    <x v="574"/>
    <s v="..\..\Acquisti\2025\EV\FATTURE\EV - SER CAR ft 22240 del 03-07-2025.pdf"/>
    <s v="pranzo"/>
    <x v="3"/>
    <m/>
    <m/>
    <m/>
    <m/>
  </r>
  <r>
    <s v="OK"/>
    <x v="201"/>
    <s v="22599"/>
    <d v="2025-07-31T00:00:00"/>
    <m/>
    <x v="0"/>
    <x v="575"/>
    <s v="..\..\Acquisti\2025\EV\FATTURE\EV - SER CAR ft 22599 del 31-07-2025.pdf"/>
    <s v="pranzo"/>
    <x v="7"/>
    <m/>
    <m/>
    <m/>
    <m/>
  </r>
  <r>
    <s v="OK"/>
    <x v="201"/>
    <s v="22795"/>
    <d v="2025-08-29T00:00:00"/>
    <m/>
    <x v="0"/>
    <x v="571"/>
    <s v="..\..\Acquisti\2025\EV\FATTURE\EV - SER CAR ft 22795 del 29-08-2025.pdf"/>
    <s v="pranzo"/>
    <x v="7"/>
    <m/>
    <m/>
    <m/>
    <m/>
  </r>
  <r>
    <s v="OK"/>
    <x v="202"/>
    <s v="22196"/>
    <d v="2025-07-01T00:00:00"/>
    <m/>
    <x v="0"/>
    <x v="576"/>
    <s v="..\..\Acquisti\2025\EV\FATTURE\EV - SER CAR ft 22196 del 01-07-2025.pdf"/>
    <s v="pranzo"/>
    <x v="3"/>
    <m/>
    <m/>
    <m/>
    <m/>
  </r>
  <r>
    <s v="OK"/>
    <x v="202"/>
    <s v="22262"/>
    <d v="2025-07-04T00:00:00"/>
    <m/>
    <x v="0"/>
    <x v="577"/>
    <s v="..\..\Acquisti\2025\EV\FATTURE\EV - SER CAR ft 22262 del 04-07-2025.pdf"/>
    <s v="pranzo"/>
    <x v="3"/>
    <m/>
    <m/>
    <m/>
    <m/>
  </r>
  <r>
    <s v="OK"/>
    <x v="202"/>
    <s v="22278"/>
    <d v="2025-07-07T00:00:00"/>
    <m/>
    <x v="0"/>
    <x v="578"/>
    <s v="..\..\Acquisti\2025\EV\FATTURE\EV - SER CAR ft 22278 del 07-07-2025.pdf"/>
    <s v="pranzo"/>
    <x v="3"/>
    <m/>
    <m/>
    <m/>
    <m/>
  </r>
  <r>
    <m/>
    <x v="203"/>
    <n v="1"/>
    <d v="2025-01-07T00:00:00"/>
    <d v="2025-01-07T00:00:00"/>
    <x v="0"/>
    <x v="579"/>
    <s v="..\..\Acquisti\2025\EV\FATTURE\EV - SERVICE PRECAST nc 1 del 07-01-2025.pdf"/>
    <s v="Storno parziale fattura n. 55 del 05/09/2024"/>
    <x v="7"/>
    <m/>
    <m/>
    <m/>
    <m/>
  </r>
  <r>
    <s v="OK"/>
    <x v="204"/>
    <n v="249"/>
    <d v="2025-05-31T00:00:00"/>
    <d v="2025-07-31T00:00:00"/>
    <x v="0"/>
    <x v="580"/>
    <s v="..\..\Acquisti\2025\EV\FATTURE\EV - SESSANTI IMPIANTI SRL ft 249 del 31-05-2025.pdf"/>
    <s v="Via Gaito, torre Boldone"/>
    <x v="7"/>
    <d v="2025-10-20T00:00:00"/>
    <n v="2325"/>
    <s v="DA POP SO _ ACCONTO DI 3,395,00 IL 20,10,2025"/>
    <m/>
  </r>
  <r>
    <s v="OK"/>
    <x v="204"/>
    <n v="275"/>
    <d v="2025-05-31T00:00:00"/>
    <d v="2025-07-31T00:00:00"/>
    <x v="0"/>
    <x v="69"/>
    <s v="..\..\Acquisti\2025\EV\FATTURE\EV - SESSANTINI IMPIANTI SRL ft 275 del 31-05-2025.pdf"/>
    <s v="Via Cadelora, Vertova"/>
    <x v="7"/>
    <d v="2025-10-20T00:00:00"/>
    <n v="1070"/>
    <s v="DA POP SO _ ACCONTO DI 3,395,00 IL 20,10,2025"/>
    <m/>
  </r>
  <r>
    <s v="OK"/>
    <x v="204"/>
    <n v="275"/>
    <d v="2025-05-31T00:00:00"/>
    <d v="2025-07-31T00:00:00"/>
    <x v="0"/>
    <x v="581"/>
    <m/>
    <s v="Via Cadelora, Vertova"/>
    <x v="7"/>
    <d v="2025-10-21T00:00:00"/>
    <n v="930"/>
    <s v="DA BPER 80875 _ SALDO DI 2300 IL 21,10,2025"/>
    <m/>
  </r>
  <r>
    <s v="OK"/>
    <x v="204"/>
    <n v="416"/>
    <d v="2025-08-18T00:00:00"/>
    <d v="2025-10-31T00:00:00"/>
    <x v="0"/>
    <x v="582"/>
    <s v="..\..\Acquisti\2025\EV\FATTURE\EV - SESSANTINI IMPIANTI SRL ft 416 del 18-08-2025.pdf"/>
    <s v="Torre Boldone, via Kennedy"/>
    <x v="7"/>
    <d v="2025-10-21T00:00:00"/>
    <n v="1370"/>
    <s v="DA BPER 80875 _ SALDO DI 2300 IL 21,10,2025"/>
    <m/>
  </r>
  <r>
    <s v="ATTENDIAMO FATTURA ELETT"/>
    <x v="205"/>
    <s v="F17-9865"/>
    <d v="2025-10-24T00:00:00"/>
    <d v="2025-10-24T00:00:00"/>
    <x v="0"/>
    <x v="583"/>
    <m/>
    <s v="SEDIE DA GIARDINO "/>
    <x v="61"/>
    <d v="2025-10-24T00:00:00"/>
    <n v="355.05"/>
    <s v="CARTA ILARIA"/>
    <m/>
  </r>
  <r>
    <s v="C"/>
    <x v="206"/>
    <s v="bo"/>
    <m/>
    <m/>
    <x v="2"/>
    <x v="584"/>
    <m/>
    <m/>
    <x v="4"/>
    <m/>
    <m/>
    <m/>
    <m/>
  </r>
  <r>
    <s v="OK"/>
    <x v="207"/>
    <n v="256"/>
    <d v="2025-01-31T00:00:00"/>
    <m/>
    <x v="0"/>
    <x v="585"/>
    <s v="..\..\Acquisti\2025\EV\FATTURE\EV - SPELGATTI ft 256 del 31-01-2025.pdf"/>
    <s v="Bergamo, Via Ghislandi"/>
    <x v="7"/>
    <d v="2025-04-18T00:00:00"/>
    <n v="3850"/>
    <m/>
    <m/>
  </r>
  <r>
    <s v="OK"/>
    <x v="207"/>
    <n v="256"/>
    <d v="2025-01-31T00:00:00"/>
    <m/>
    <x v="0"/>
    <x v="586"/>
    <s v="..\..\Acquisti\2025\EV\FATTURE\EV - SPELGATTI ft 256 del 31-01-2025.pdf"/>
    <s v="Bergamo, Via Ghislandi"/>
    <x v="7"/>
    <d v="2025-05-15T00:00:00"/>
    <n v="3850"/>
    <m/>
    <m/>
  </r>
  <r>
    <s v="OK"/>
    <x v="207"/>
    <n v="257"/>
    <d v="2025-01-31T00:00:00"/>
    <m/>
    <x v="0"/>
    <x v="587"/>
    <s v="..\..\Acquisti\2025\EV\FATTURE\EV - SPELGATTI ft 257 del 31-01-2025.pdf"/>
    <m/>
    <x v="7"/>
    <d v="2025-05-15T00:00:00"/>
    <n v="3850"/>
    <m/>
    <m/>
  </r>
  <r>
    <s v="OK"/>
    <x v="207"/>
    <s v="2854"/>
    <d v="2024-10-31T00:00:00"/>
    <d v="2025-01-10T00:00:00"/>
    <x v="0"/>
    <x v="588"/>
    <s v="C:\Users\Ufficio\Desktop\Amministrazione\Acquisti\2024\EV\Fatture\EV - SPELGATTI ft 2854 del 31-10-2024.pdf"/>
    <s v="Scanzorosciate"/>
    <x v="7"/>
    <d v="2025-06-09T00:00:00"/>
    <n v="3850"/>
    <m/>
    <m/>
  </r>
  <r>
    <s v="OK"/>
    <x v="207"/>
    <s v="2854"/>
    <d v="2024-10-31T00:00:00"/>
    <d v="2025-01-10T00:00:00"/>
    <x v="0"/>
    <x v="585"/>
    <s v="C:\Users\Ufficio\Desktop\Amministrazione\Acquisti\2024\EV\Fatture\EV - SPELGATTI ft 2854 del 31-10-2024.pdf"/>
    <s v="Scanzorosciate"/>
    <x v="7"/>
    <d v="2025-07-17T00:00:00"/>
    <n v="3837.17"/>
    <s v="importo dato da € 2276,38+ spese legali e interessi"/>
    <m/>
  </r>
  <r>
    <s v="OK"/>
    <x v="207"/>
    <s v="2854"/>
    <d v="2024-10-31T00:00:00"/>
    <d v="2025-01-10T00:00:00"/>
    <x v="0"/>
    <x v="589"/>
    <s v="C:\Users\Ufficio\Desktop\Amministrazione\Acquisti\2024\EV\Fatture\EV - SPELGATTI ft 2854 del 31-10-2024.pdf"/>
    <s v="Scanzorosciate"/>
    <x v="7"/>
    <d v="2025-07-07T00:00:00"/>
    <n v="1810"/>
    <s v="bonifico disposto da beppe"/>
    <m/>
  </r>
  <r>
    <s v="OK"/>
    <x v="207"/>
    <s v="529"/>
    <d v="2025-02-28T00:00:00"/>
    <m/>
    <x v="0"/>
    <x v="566"/>
    <s v="..\..\Acquisti\2025\EV\FATTURE\EV - SPELGATTI ft 529 del 28-02-2025.pdf"/>
    <s v="Deposito gru Bergamo"/>
    <x v="7"/>
    <d v="2025-07-07T00:00:00"/>
    <n v="1810"/>
    <s v="bonifico disposto da beppe"/>
    <m/>
  </r>
  <r>
    <s v="OK"/>
    <x v="207"/>
    <s v="817"/>
    <d v="2025-03-31T00:00:00"/>
    <m/>
    <x v="0"/>
    <x v="566"/>
    <s v="..\..\Acquisti\2025\EV\FATTURE\EV - SPELGATTI ft 817 del 31-03-2025.pdf"/>
    <s v="Deposito gru Bergamo"/>
    <x v="7"/>
    <d v="2025-07-07T00:00:00"/>
    <n v="1810"/>
    <s v="bonifico disposto da beppe"/>
    <m/>
  </r>
  <r>
    <s v="OK"/>
    <x v="207"/>
    <s v="1098"/>
    <d v="2025-04-30T00:00:00"/>
    <m/>
    <x v="0"/>
    <x v="566"/>
    <s v="..\..\Acquisti\2025\EV\FATTURE\EV - SPELGATTI ft 1098 del 30-04-2025.pdf"/>
    <s v="Deposito gru Bergamo"/>
    <x v="7"/>
    <d v="2025-07-07T00:00:00"/>
    <n v="1810"/>
    <s v="bonifico disposto da beppe"/>
    <m/>
  </r>
  <r>
    <s v="OK"/>
    <x v="207"/>
    <s v="1342"/>
    <d v="2025-05-31T00:00:00"/>
    <d v="2025-05-31T00:00:00"/>
    <x v="0"/>
    <x v="566"/>
    <s v="..\..\Acquisti\2025\EV\FATTURE\EV - SPELGATTI ft 1342 del 31-05-2025.pdf"/>
    <s v="Deposito gru Bergamo"/>
    <x v="7"/>
    <d v="2025-07-07T00:00:00"/>
    <n v="1810"/>
    <s v="bonifico disposto da beppe"/>
    <m/>
  </r>
  <r>
    <s v="OK"/>
    <x v="207"/>
    <s v="1554"/>
    <d v="2025-06-30T00:00:00"/>
    <m/>
    <x v="0"/>
    <x v="566"/>
    <m/>
    <s v="Deposito gru Bergamo"/>
    <x v="7"/>
    <d v="2025-03-14T00:00:00"/>
    <n v="1447.7"/>
    <s v="BPM"/>
    <m/>
  </r>
  <r>
    <m/>
    <x v="208"/>
    <s v="158"/>
    <d v="2025-08-29T00:00:00"/>
    <m/>
    <x v="0"/>
    <x v="590"/>
    <s v="..\..\Acquisti\2025\EV\FATTURE\EV - STELLA HOME ft 158 del 29-08-2025.pdf"/>
    <s v="Varie Ilaria"/>
    <x v="14"/>
    <m/>
    <m/>
    <m/>
    <m/>
  </r>
  <r>
    <m/>
    <x v="209"/>
    <n v="126"/>
    <d v="2025-04-14T00:00:00"/>
    <d v="2025-06-13T00:00:00"/>
    <x v="0"/>
    <x v="591"/>
    <m/>
    <s v="Proforma per compensi amministrazione del personale"/>
    <x v="4"/>
    <d v="2025-08-07T00:00:00"/>
    <n v="1476.88"/>
    <m/>
    <m/>
  </r>
  <r>
    <m/>
    <x v="209"/>
    <n v="281"/>
    <d v="2025-07-13T00:00:00"/>
    <m/>
    <x v="0"/>
    <x v="592"/>
    <m/>
    <s v="Proforma per compensi amministrazione del personale"/>
    <x v="4"/>
    <m/>
    <m/>
    <m/>
    <m/>
  </r>
  <r>
    <m/>
    <x v="209"/>
    <n v="283"/>
    <d v="2025-09-01T00:00:00"/>
    <m/>
    <x v="0"/>
    <x v="593"/>
    <m/>
    <s v="Pagato proforma 281 del 13/07/2025"/>
    <x v="4"/>
    <m/>
    <m/>
    <m/>
    <m/>
  </r>
  <r>
    <m/>
    <x v="209"/>
    <s v="365"/>
    <d v="2025-12-12T00:00:00"/>
    <d v="2025-12-12T00:00:00"/>
    <x v="0"/>
    <x v="594"/>
    <m/>
    <s v="AMMINISTRAZIONE DEL PERSONALE 7-8-9/2025"/>
    <x v="27"/>
    <m/>
    <n v="1013.77"/>
    <m/>
    <m/>
  </r>
  <r>
    <m/>
    <x v="210"/>
    <s v="pr84/2025"/>
    <d v="2025-01-14T00:00:00"/>
    <m/>
    <x v="0"/>
    <x v="595"/>
    <m/>
    <s v="Proforma per compensi amministrazione del personale"/>
    <x v="4"/>
    <d v="2025-03-14T00:00:00"/>
    <n v="1476.88"/>
    <s v="BPM"/>
    <m/>
  </r>
  <r>
    <m/>
    <x v="211"/>
    <n v="262"/>
    <d v="2025-08-07T00:00:00"/>
    <m/>
    <x v="0"/>
    <x v="595"/>
    <m/>
    <s v="Proforma per compensi amministrazione del personale"/>
    <x v="4"/>
    <d v="2025-08-07T00:00:00"/>
    <n v="1476.88"/>
    <m/>
    <m/>
  </r>
  <r>
    <n v="2023"/>
    <x v="212"/>
    <s v="doc. 4162"/>
    <d v="2023-10-27T00:00:00"/>
    <d v="2023-11-10T00:00:00"/>
    <x v="0"/>
    <x v="69"/>
    <s v="..\..\..\Acquisti\2023\EV\Proforme\BELLOLI 4162 nota 27.10.23 - Colombini_Gagliolo.pdf"/>
    <s v="vedi voce belloli con saldo tot ns partite aperte "/>
    <x v="7"/>
    <d v="2025-10-15T00:00:00"/>
    <n v="2000"/>
    <m/>
    <m/>
  </r>
  <r>
    <n v="2023"/>
    <x v="212"/>
    <s v="doc. 4162"/>
    <d v="2023-10-27T00:00:00"/>
    <d v="2023-11-10T00:00:00"/>
    <x v="0"/>
    <x v="596"/>
    <s v="..\..\..\Acquisti\2023\EV\Proforme\BELLOLI 4162 nota 27.10.23 - Colombini_Gagliolo.pdf"/>
    <s v="vedi voce belloli con saldo tot ns partite aperte "/>
    <x v="7"/>
    <m/>
    <m/>
    <m/>
    <m/>
  </r>
  <r>
    <n v="2023"/>
    <x v="212"/>
    <s v="doc. 4173"/>
    <d v="2023-11-06T00:00:00"/>
    <d v="2023-12-10T00:00:00"/>
    <x v="0"/>
    <x v="597"/>
    <s v="..\..\..\Acquisti\2023\EV\Proforme\BELLOLI nota 4173 06.11.23-dm.pdf"/>
    <s v="vedi voce belloli con saldo tot ns partite aperte "/>
    <x v="7"/>
    <m/>
    <m/>
    <m/>
    <m/>
  </r>
  <r>
    <n v="2023"/>
    <x v="212"/>
    <s v="doc. 4185"/>
    <d v="2023-11-20T00:00:00"/>
    <d v="2023-12-10T00:00:00"/>
    <x v="0"/>
    <x v="598"/>
    <s v="..\..\..\Acquisti\2023\EV\Proforme\BELLOLI doc 4185 del 20-11-2023-dm.pdf"/>
    <s v="vedi voce belloli con saldo tot ns partite aperte "/>
    <x v="7"/>
    <m/>
    <m/>
    <m/>
    <m/>
  </r>
  <r>
    <n v="2023"/>
    <x v="212"/>
    <s v="doc. 4195"/>
    <d v="2023-11-30T00:00:00"/>
    <d v="2024-01-10T00:00:00"/>
    <x v="0"/>
    <x v="599"/>
    <s v="..\..\..\Acquisti\2023\EV\Proforme\Belloli doc 4195 del 30-11-2023 -- Colombini PIGN QUOTE nota pro forma.pdf"/>
    <s v="vedi voce belloli con saldo tot ns partite aperte "/>
    <x v="7"/>
    <m/>
    <m/>
    <m/>
    <m/>
  </r>
  <r>
    <s v="DA PAGARE "/>
    <x v="212"/>
    <n v="139"/>
    <d v="2025-03-24T00:00:00"/>
    <d v="2025-03-24T00:00:00"/>
    <x v="0"/>
    <x v="75"/>
    <s v="..\..\Acquisti\2025\EV\FATTURE\EV - BELLOLI ATTILIO ft 139 del 24-03-2025.pdf"/>
    <s v="vedi voce belloli con saldo tot ns partite aperte "/>
    <x v="7"/>
    <m/>
    <m/>
    <m/>
    <m/>
  </r>
  <r>
    <m/>
    <x v="212"/>
    <s v="pr321"/>
    <d v="2024-12-16T00:00:00"/>
    <m/>
    <x v="0"/>
    <x v="600"/>
    <m/>
    <s v="vedi voce belloli con saldo tot ns partite aperte "/>
    <x v="7"/>
    <m/>
    <m/>
    <m/>
    <m/>
  </r>
  <r>
    <m/>
    <x v="213"/>
    <n v="132"/>
    <d v="2025-01-20T00:00:00"/>
    <m/>
    <x v="0"/>
    <x v="335"/>
    <s v="..\..\Acquisti\2025\EV\FATTURE\EV - STUDIO NOTARILE TUCCI ft 132 del 20-01-2025.pdf"/>
    <s v="Atto di cancellazione ipotecaria"/>
    <x v="4"/>
    <m/>
    <m/>
    <m/>
    <m/>
  </r>
  <r>
    <m/>
    <x v="213"/>
    <n v="132"/>
    <d v="2025-01-20T00:00:00"/>
    <m/>
    <x v="0"/>
    <x v="601"/>
    <s v="..\..\Acquisti\2025\EV\FATTURE\EV - STUDIO NOTARILE TUCCI ft 132 del 20-01-2025.pdf"/>
    <s v="Atto di cancellazione ipotecaria"/>
    <x v="45"/>
    <m/>
    <m/>
    <m/>
    <m/>
  </r>
  <r>
    <m/>
    <x v="213"/>
    <s v="2644"/>
    <d v="2024-08-07T00:00:00"/>
    <m/>
    <x v="0"/>
    <x v="602"/>
    <s v="C:\Users\Ufficio\Desktop\Amministrazione\Acquisti\2024\EV\Fatture\EV - STUDIO NOTARILE TUCCI TURCONI ft 2644 del 07-08-2024.pdf"/>
    <s v="ATTO NOTARILE GHILARIDNI ILARIA"/>
    <x v="15"/>
    <m/>
    <m/>
    <m/>
    <m/>
  </r>
  <r>
    <m/>
    <x v="213"/>
    <s v="4440"/>
    <d v="2024-12-24T00:00:00"/>
    <d v="2025-01-16T00:00:00"/>
    <x v="0"/>
    <x v="603"/>
    <s v="C:\Users\Ufficio\Desktop\Amministrazione\Acquisti\2024\EV\Fatture\EV - STUDIO NOTARILE TUCCI TURCONI ft 4440 del 24-12-2024.pdf"/>
    <s v="Atto notarile"/>
    <x v="15"/>
    <m/>
    <m/>
    <m/>
    <m/>
  </r>
  <r>
    <m/>
    <x v="213"/>
    <s v="4439"/>
    <d v="2024-12-24T00:00:00"/>
    <d v="2025-01-16T00:00:00"/>
    <x v="0"/>
    <x v="604"/>
    <s v="C:\Users\Ufficio\Desktop\Amministrazione\Acquisti\2024\EV\Fatture\EV -STUDIO NOTARILE TUCCI TURCONI ft 4439 del 24-12-2024.pdf"/>
    <s v="Atto notarile"/>
    <x v="15"/>
    <m/>
    <m/>
    <m/>
    <m/>
  </r>
  <r>
    <m/>
    <x v="213"/>
    <s v="4438"/>
    <d v="2024-12-24T00:00:00"/>
    <d v="2025-01-16T00:00:00"/>
    <x v="0"/>
    <x v="605"/>
    <s v="C:\Users\Ufficio\Desktop\Amministrazione\Acquisti\2024\EV\Fatture\EV - STUDIO NOTARILE TUCCI TURCONI ft 4438 del 24-12-2024.pdf"/>
    <m/>
    <x v="51"/>
    <m/>
    <m/>
    <m/>
    <m/>
  </r>
  <r>
    <m/>
    <x v="213"/>
    <s v="4437"/>
    <d v="2024-12-24T00:00:00"/>
    <d v="2025-01-16T00:00:00"/>
    <x v="0"/>
    <x v="606"/>
    <s v="C:\Users\Ufficio\Desktop\Amministrazione\Acquisti\2024\EV\Fatture\EV - STUDIO NOTARILE TUCCI TURCONI ft 4437 del 24-12-2024.pdf"/>
    <s v="Atto notarile"/>
    <x v="15"/>
    <d v="2025-07-15T00:00:00"/>
    <n v="1464.38"/>
    <m/>
    <m/>
  </r>
  <r>
    <m/>
    <x v="214"/>
    <s v="327/00"/>
    <d v="2026-02-12T00:00:00"/>
    <d v="2026-04-30T00:00:00"/>
    <x v="1"/>
    <x v="607"/>
    <m/>
    <s v="Riga di commento | Riga di commento | COPIE EFFETTUATE B/N | COPIE EFFETTUATE COLORE | Riga ausiliaria contenente informazioni tecniche e aggiuntive del documento"/>
    <x v="11"/>
    <n v="63.49"/>
    <d v="2026-04-30T00:00:00"/>
    <m/>
    <m/>
  </r>
  <r>
    <m/>
    <x v="215"/>
    <n v="137"/>
    <d v="2025-01-31T00:00:00"/>
    <d v="2025-03-31T00:00:00"/>
    <x v="0"/>
    <x v="608"/>
    <s v="..\..\Acquisti\2025\EV\FATTURE\EV- SYSTEM PROJECT ft 137 del 31-01-2025.pdf"/>
    <s v="ufficio"/>
    <x v="11"/>
    <d v="2025-07-15T00:00:00"/>
    <n v="1378.6000000000001"/>
    <s v="pagamento acconto fattura 1390 e saldo fatture precedenti"/>
    <m/>
  </r>
  <r>
    <m/>
    <x v="215"/>
    <s v="1698/00"/>
    <d v="2024-05-31T00:00:00"/>
    <d v="2024-07-31T00:00:00"/>
    <x v="0"/>
    <x v="609"/>
    <s v="C:\Users\Ufficio\Desktop\Amministrazione\Acquisti\2024\EV\Fatture\EV - SYSTEM PROJECT ft 1698 del 31-05-2024.pdf"/>
    <s v="Ufficio - fotocopiatrice a colori + b/n,"/>
    <x v="11"/>
    <d v="2025-07-15T00:00:00"/>
    <n v="1378.6000000000001"/>
    <s v="pagamento acconto fattura 1390 e saldo fatture precedenti"/>
    <m/>
  </r>
  <r>
    <m/>
    <x v="215"/>
    <s v="3612/00"/>
    <d v="2024-10-31T00:00:00"/>
    <d v="2025-01-10T00:00:00"/>
    <x v="0"/>
    <x v="610"/>
    <s v="C:\Users\Ufficio\Desktop\Amministrazione\Acquisti\2024\EV\Fatture\EV - SYSTEM PROJECT ft 3612 del 31-10-2024.pdf"/>
    <s v="Ufficio - fotocopiatrice a colori + b/n"/>
    <x v="11"/>
    <d v="2025-07-15T00:00:00"/>
    <n v="1378.6000000000001"/>
    <s v="pagamento acconto fattura 1390 e saldo fatture precedenti"/>
    <m/>
  </r>
  <r>
    <m/>
    <x v="215"/>
    <s v="1390/00"/>
    <d v="2025-04-30T00:00:00"/>
    <d v="2025-06-30T00:00:00"/>
    <x v="0"/>
    <x v="611"/>
    <s v="..\..\Acquisti\2025\EV\FATTURE\EV - SYSTEM PROJECT ft 1390 del 30-04-2025.pdf"/>
    <m/>
    <x v="11"/>
    <d v="2025-07-15T00:00:00"/>
    <n v="1084.32"/>
    <s v="pagamento acconto fattura 1390 e saldo fatture precedenti"/>
    <m/>
  </r>
  <r>
    <m/>
    <x v="215"/>
    <s v="1390/00"/>
    <d v="2025-04-30T00:00:00"/>
    <d v="2025-06-30T00:00:00"/>
    <x v="1"/>
    <x v="612"/>
    <s v="..\..\Acquisti\2025\EV\FATTURE\EV - SYSTEM PROJECT ft 1390 del 30-04-2025.pdf"/>
    <m/>
    <x v="11"/>
    <m/>
    <m/>
    <m/>
    <m/>
  </r>
  <r>
    <m/>
    <x v="215"/>
    <s v="2301/00"/>
    <d v="2025-07-31T00:00:00"/>
    <d v="2025-09-30T00:00:00"/>
    <x v="1"/>
    <x v="613"/>
    <s v="..\..\Acquisti\2025\EV\FATTURE\EV - SYSTEM PROJECT ft 2301 del 31-07-2025.pdf"/>
    <s v="noleggio fotocopiatrice"/>
    <x v="11"/>
    <m/>
    <m/>
    <m/>
    <m/>
  </r>
  <r>
    <m/>
    <x v="215"/>
    <s v="3304"/>
    <d v="2025-10-31T00:00:00"/>
    <d v="2026-01-10T00:00:00"/>
    <x v="0"/>
    <x v="614"/>
    <m/>
    <s v="noleggio fotocopiatrice"/>
    <x v="11"/>
    <d v="2026-01-10T00:00:00"/>
    <n v="344.93"/>
    <m/>
    <m/>
  </r>
  <r>
    <m/>
    <x v="215"/>
    <s v="3501/00"/>
    <d v="2025-10-31T00:00:00"/>
    <d v="2026-01-10T00:00:00"/>
    <x v="0"/>
    <x v="615"/>
    <m/>
    <s v="CARTUCCIA INCHIOSTRO "/>
    <x v="11"/>
    <d v="2026-01-10T00:00:00"/>
    <n v="207.8"/>
    <m/>
    <m/>
  </r>
  <r>
    <s v="manca contabile "/>
    <x v="216"/>
    <n v="8"/>
    <d v="2025-02-03T00:00:00"/>
    <d v="2025-02-03T00:00:00"/>
    <x v="0"/>
    <x v="616"/>
    <s v="..\..\Acquisti\2025\EV\FATTURE\EV - TAPPEZZIERE MORONI ft 8 del 03-02-2025.pdf"/>
    <s v="Proforma e"/>
    <x v="7"/>
    <d v="2025-02-10T00:00:00"/>
    <n v="7320"/>
    <s v="bpm"/>
    <m/>
  </r>
  <r>
    <s v="ok"/>
    <x v="216"/>
    <n v="52"/>
    <d v="2025-05-14T00:00:00"/>
    <d v="2025-05-31T00:00:00"/>
    <x v="1"/>
    <x v="617"/>
    <m/>
    <s v="ghislandi "/>
    <x v="8"/>
    <m/>
    <n v="-3000"/>
    <s v="residuo ft 52"/>
    <m/>
  </r>
  <r>
    <s v="ok"/>
    <x v="216"/>
    <n v="52"/>
    <d v="2025-05-14T00:00:00"/>
    <d v="2025-05-31T00:00:00"/>
    <x v="0"/>
    <x v="618"/>
    <s v="..\..\Acquisti\2025\EV\FATTURE\EV - TAPPEZZIERE MORONI ft 52 del 14-05-2025.pdf"/>
    <s v="saldo rif fattura nr 8"/>
    <x v="7"/>
    <d v="2025-10-15T00:00:00"/>
    <n v="3045"/>
    <s v="bcc"/>
    <m/>
  </r>
  <r>
    <s v="ok"/>
    <x v="216"/>
    <n v="52"/>
    <d v="2025-05-14T00:00:00"/>
    <d v="2025-05-31T00:00:00"/>
    <x v="0"/>
    <x v="618"/>
    <s v="..\..\Acquisti\2025\EV\FATTURE\EV - TAPPEZZIERE MORONI ft 52 del 14-05-2025.pdf"/>
    <s v="saldo rif fattura nr 9"/>
    <x v="7"/>
    <d v="2025-10-30T00:00:00"/>
    <n v="3045"/>
    <s v="POP SO 2384X38"/>
    <m/>
  </r>
  <r>
    <s v="ok"/>
    <x v="216"/>
    <n v="52"/>
    <d v="2025-05-14T00:00:00"/>
    <d v="2025-05-31T00:00:00"/>
    <x v="0"/>
    <x v="172"/>
    <s v="..\..\Acquisti\2025\EV\FATTURE\EV - TAPPEZZIERE MORONI ft 52 del 14-05-2025.pdf"/>
    <s v="saldo rif fattura nr 9"/>
    <x v="7"/>
    <d v="2025-12-01T00:00:00"/>
    <n v="3000"/>
    <s v="POP SO 2384X38"/>
    <m/>
  </r>
  <r>
    <s v="ok"/>
    <x v="216"/>
    <n v="73"/>
    <d v="2025-05-30T00:00:00"/>
    <d v="2025-06-29T00:00:00"/>
    <x v="0"/>
    <x v="619"/>
    <s v="..\..\Acquisti\2025\EV\FATTURE\EV - TAPPEZZIERE MORONI ft 73 del 30-05-2025.pdf"/>
    <s v="Fornitura Tende"/>
    <x v="7"/>
    <m/>
    <m/>
    <m/>
    <m/>
  </r>
  <r>
    <s v="ok"/>
    <x v="216"/>
    <n v="2"/>
    <d v="2025-06-11T00:00:00"/>
    <d v="2025-07-11T00:00:00"/>
    <x v="0"/>
    <x v="620"/>
    <s v="..\..\Acquisti\2025\EV\FATTURE\EV - TAPPEZZIERE MORONI nc 2 del 11-06-2025.pdf"/>
    <s v="nota di credito su fattura nr 73 del 30/05/2025"/>
    <x v="7"/>
    <d v="2025-07-15T00:00:00"/>
    <m/>
    <s v="BCC"/>
    <m/>
  </r>
  <r>
    <s v="ok"/>
    <x v="216"/>
    <n v="77"/>
    <d v="2025-06-11T00:00:00"/>
    <d v="2025-07-11T00:00:00"/>
    <x v="0"/>
    <x v="621"/>
    <s v="..\..\Acquisti\2025\EV\FATTURE\EV - TAPPEZZIERE MORONI ft 77 del 11-06-2025.pdf"/>
    <s v="Bergamo , via Ghislandi n. 51"/>
    <x v="7"/>
    <d v="2025-07-15T00:00:00"/>
    <n v="2627.04"/>
    <s v="bcc 601460"/>
    <m/>
  </r>
  <r>
    <s v="ok"/>
    <x v="217"/>
    <n v="572"/>
    <d v="2025-05-20T00:00:00"/>
    <m/>
    <x v="0"/>
    <x v="622"/>
    <s v="..\..\Acquisti\2025\EV\FATTURE\EV - TAVERNA SAN GIORGIO ft 572 del 20-05-2025.pdf"/>
    <s v="pranzo"/>
    <x v="5"/>
    <m/>
    <m/>
    <m/>
    <m/>
  </r>
  <r>
    <s v="OK"/>
    <x v="218"/>
    <n v="2569"/>
    <d v="2025-05-15T00:00:00"/>
    <d v="2025-07-14T00:00:00"/>
    <x v="0"/>
    <x v="623"/>
    <s v="..\..\Acquisti\2025\EV\FATTURE\EV - TECHIND SRL ft 2569 del 15-05-2025.pdf"/>
    <s v="verifica trimestrale"/>
    <x v="11"/>
    <d v="2025-10-20T00:00:00"/>
    <n v="370.39"/>
    <s v="POP SO 2384X38"/>
    <m/>
  </r>
  <r>
    <s v="OK"/>
    <x v="218"/>
    <n v="3183"/>
    <d v="2025-06-13T00:00:00"/>
    <d v="2025-08-12T00:00:00"/>
    <x v="0"/>
    <x v="624"/>
    <s v="..\..\Acquisti\2025\EV\FATTURE\EV - TECHIND SRL ft 3183 del 13-06-2025.pdf"/>
    <s v="sostituzione ruote carrello via gaito"/>
    <x v="11"/>
    <d v="2025-10-20T00:00:00"/>
    <n v="1845.37"/>
    <s v="POP SO 2384X38"/>
    <m/>
  </r>
  <r>
    <m/>
    <x v="219"/>
    <s v="0000000003118235"/>
    <d v="2026-02-28T00:00:00"/>
    <d v="2026-02-28T00:00:00"/>
    <x v="0"/>
    <x v="127"/>
    <m/>
    <s v="PARCHEGGI IN RESELLING"/>
    <x v="12"/>
    <n v="1.8"/>
    <d v="2026-04-29T00:00:00"/>
    <m/>
    <m/>
  </r>
  <r>
    <m/>
    <x v="219"/>
    <s v="000000052912921T"/>
    <d v="2026-02-28T00:00:00"/>
    <d v="2026-02-28T00:00:00"/>
    <x v="0"/>
    <x v="625"/>
    <m/>
    <s v="CANONE TELEPASS | QUOTA ASSOCIATIVA CARTE SUCC. | QUOTA ASSOCIATIVA SERVIZIO"/>
    <x v="12"/>
    <n v="6.01"/>
    <d v="2026-04-29T00:00:00"/>
    <m/>
    <m/>
  </r>
  <r>
    <m/>
    <x v="219"/>
    <s v="0000000000566185"/>
    <d v="2026-01-30T00:00:00"/>
    <d v="2026-01-30T00:00:00"/>
    <x v="0"/>
    <x v="626"/>
    <m/>
    <s v="PARCHEGGI IN RESELLING"/>
    <x v="12"/>
    <n v="1.26"/>
    <d v="2026-03-31T00:00:00"/>
    <m/>
    <m/>
  </r>
  <r>
    <m/>
    <x v="219"/>
    <s v="000000050296377T"/>
    <d v="2026-01-30T00:00:00"/>
    <d v="2026-01-30T00:00:00"/>
    <x v="0"/>
    <x v="627"/>
    <m/>
    <s v="CANONE TELEPASS"/>
    <x v="12"/>
    <n v="6.01"/>
    <d v="2026-03-31T00:00:00"/>
    <m/>
    <m/>
  </r>
  <r>
    <m/>
    <x v="220"/>
    <s v="50290912T"/>
    <d v="2025-01-30T00:00:00"/>
    <d v="2025-01-30T00:00:00"/>
    <x v="0"/>
    <x v="628"/>
    <s v="..\..\Acquisti\2025\EV\FATTURE\EV - TELEPASS SPA ft 912 del 30-01-2025.pdf"/>
    <s v="Canone Telepass"/>
    <x v="13"/>
    <m/>
    <m/>
    <s v="POP SO 2384X38"/>
    <m/>
  </r>
  <r>
    <m/>
    <x v="220"/>
    <n v="80535"/>
    <d v="2025-01-30T00:00:00"/>
    <d v="2025-01-30T00:00:00"/>
    <x v="0"/>
    <x v="629"/>
    <s v="..\..\Acquisti\2025\EV\FATTURE\EV - TELEPASS SPA ft 80535 del 30-01-2025.pdf"/>
    <s v="parcheggi"/>
    <x v="13"/>
    <m/>
    <m/>
    <s v="POP SO 2384X38"/>
    <m/>
  </r>
  <r>
    <m/>
    <x v="220"/>
    <s v="52970381T"/>
    <d v="2025-02-28T00:00:00"/>
    <m/>
    <x v="0"/>
    <x v="630"/>
    <s v="..\..\Acquisti\2025\EV\FATTURE\EV - TELEPASS SPA ft 52970381 del 28-02-2025.pdf"/>
    <s v="Canone Telepass"/>
    <x v="13"/>
    <m/>
    <m/>
    <s v="POP SO 2384X38"/>
    <m/>
  </r>
  <r>
    <m/>
    <x v="220"/>
    <n v="3054605"/>
    <d v="2025-03-30T00:00:00"/>
    <m/>
    <x v="0"/>
    <x v="631"/>
    <s v="..\..\Acquisti\2025\EV\FATTURE\EV - TELEPASS SPA ft 54943754 del 30-03-2025.pdf"/>
    <s v="Parcheggi"/>
    <x v="13"/>
    <m/>
    <m/>
    <s v="POP SO 2384X38"/>
    <m/>
  </r>
  <r>
    <m/>
    <x v="220"/>
    <s v="57354274T"/>
    <d v="2025-04-30T00:00:00"/>
    <m/>
    <x v="0"/>
    <x v="628"/>
    <s v="..\..\Acquisti\2025\EV\FATTURE\EV - TELEPASS SPA ft 57354274 del 30-04-2025.pdf"/>
    <s v="Canone Telepass"/>
    <x v="13"/>
    <m/>
    <m/>
    <s v="POP SO 2384X38"/>
    <m/>
  </r>
  <r>
    <m/>
    <x v="220"/>
    <s v="5951899T"/>
    <d v="2025-05-30T00:00:00"/>
    <m/>
    <x v="0"/>
    <x v="628"/>
    <s v="..\..\Acquisti\2025\EV\FATTURE\EV - TELEPASS SPA ft 59518991 del 30-05-2025.pdf"/>
    <s v="Canone Telepass"/>
    <x v="13"/>
    <m/>
    <m/>
    <s v="POP SO 2384X38"/>
    <m/>
  </r>
  <r>
    <m/>
    <x v="220"/>
    <s v="61769018T"/>
    <d v="2025-06-30T00:00:00"/>
    <m/>
    <x v="0"/>
    <x v="628"/>
    <s v="..\..\Acquisti\2025\EV\FATTURE\EV - TELEPASS SPA ft 61769018 del 30-06-2025.pdf"/>
    <s v="Canone Telepass"/>
    <x v="13"/>
    <m/>
    <m/>
    <s v="POP SO 2384X38"/>
    <m/>
  </r>
  <r>
    <m/>
    <x v="220"/>
    <s v="66829724T"/>
    <d v="2025-08-30T00:00:00"/>
    <m/>
    <x v="0"/>
    <x v="627"/>
    <s v="..\..\Acquisti\2025\EV\FATTURE\EV - TELEPASS SPA ft 66829724 del 30-08-2025.pdf"/>
    <s v="Canone Telepass"/>
    <x v="13"/>
    <m/>
    <m/>
    <s v="POP SO 2384X38"/>
    <m/>
  </r>
  <r>
    <m/>
    <x v="220"/>
    <n v="12048545"/>
    <d v="2025-08-30T00:00:00"/>
    <m/>
    <x v="0"/>
    <x v="632"/>
    <s v="..\..\Acquisti\2025\EV\FATTURE\EV - TELEPASS SPA ft 12048545 del 30-08-2025.pdf"/>
    <s v="Canone Telepass"/>
    <x v="13"/>
    <m/>
    <m/>
    <s v="POP SO 2384X38"/>
    <m/>
  </r>
  <r>
    <m/>
    <x v="220"/>
    <s v="69343603T"/>
    <d v="2025-09-30T00:00:00"/>
    <m/>
    <x v="0"/>
    <x v="627"/>
    <s v="..\..\Acquisti\2025\EV\FATTURE\EV - TELEPASS SPA ft 69343603T del 30-09-2025.pdf"/>
    <s v="Canone Telepass"/>
    <x v="13"/>
    <m/>
    <m/>
    <s v="POP SO 2384X38"/>
    <m/>
  </r>
  <r>
    <m/>
    <x v="220"/>
    <n v="16451475"/>
    <d v="2025-10-30T00:00:00"/>
    <d v="2025-10-30T00:00:00"/>
    <x v="0"/>
    <x v="633"/>
    <m/>
    <s v="Canone Telepass"/>
    <x v="13"/>
    <m/>
    <m/>
    <s v="POP SO 2384X38"/>
    <m/>
  </r>
  <r>
    <m/>
    <x v="220"/>
    <s v="71331388T"/>
    <d v="2025-10-30T00:00:00"/>
    <d v="2025-10-30T00:00:00"/>
    <x v="0"/>
    <x v="627"/>
    <m/>
    <s v="Canone Telepass"/>
    <x v="13"/>
    <m/>
    <m/>
    <s v="POP SO 2384X38"/>
    <m/>
  </r>
  <r>
    <m/>
    <x v="220"/>
    <s v="19137015"/>
    <d v="2025-11-30T00:00:00"/>
    <d v="2025-11-30T00:00:00"/>
    <x v="0"/>
    <x v="634"/>
    <m/>
    <s v="PARCHEGGI "/>
    <x v="53"/>
    <m/>
    <m/>
    <s v="POP SO 2384X38"/>
    <m/>
  </r>
  <r>
    <m/>
    <x v="220"/>
    <s v="73991235T"/>
    <d v="2025-11-30T00:00:00"/>
    <d v="2025-11-30T00:00:00"/>
    <x v="0"/>
    <x v="627"/>
    <m/>
    <s v="CANONE TELEPASS"/>
    <x v="53"/>
    <m/>
    <m/>
    <s v="POP SO 2384X38"/>
    <m/>
  </r>
  <r>
    <m/>
    <x v="220"/>
    <s v="76844658T"/>
    <d v="2025-12-30T00:00:00"/>
    <d v="2025-12-30T00:00:00"/>
    <x v="0"/>
    <x v="627"/>
    <m/>
    <s v="CANONE TELEPASS"/>
    <x v="53"/>
    <d v="2025-12-30T00:00:00"/>
    <m/>
    <s v="POP SO 2384X38"/>
    <m/>
  </r>
  <r>
    <m/>
    <x v="221"/>
    <s v="54943754T"/>
    <d v="2025-03-30T00:00:00"/>
    <m/>
    <x v="0"/>
    <x v="628"/>
    <s v="..\..\Acquisti\2025\EV\FATTURE\EV - TELEPASS SPA ft 54943754 del 30-03-2025.pdf"/>
    <s v="Canone Telepass"/>
    <x v="13"/>
    <m/>
    <m/>
    <s v="POP SO 2384X38"/>
    <m/>
  </r>
  <r>
    <m/>
    <x v="221"/>
    <s v="64581212T"/>
    <d v="2025-07-30T00:00:00"/>
    <m/>
    <x v="0"/>
    <x v="627"/>
    <s v="..\..\Acquisti\2025\EV\FATTURE\EV - TELEPASS SPA ft 64581212T del 30-07-2025.pdf"/>
    <s v="Canone Telepass"/>
    <x v="13"/>
    <d v="2025-03-14T00:00:00"/>
    <e v="#VALUE!"/>
    <s v="BPM"/>
    <m/>
  </r>
  <r>
    <m/>
    <x v="222"/>
    <s v="143"/>
    <d v="2024-10-04T00:00:00"/>
    <d v="2025-01-10T00:00:00"/>
    <x v="0"/>
    <x v="635"/>
    <s v="C:\Users\Ufficio\Desktop\Amministrazione\Acquisti\2024\EV\Fatture\EV - TERMOIDRAULICA VM ft 143 del 04-10-2024.pdf"/>
    <s v="Scanzo, Via Trento 8° SAL"/>
    <x v="7"/>
    <d v="2025-03-14T00:00:00"/>
    <e v="#VALUE!"/>
    <s v="BPM"/>
    <m/>
  </r>
  <r>
    <m/>
    <x v="222"/>
    <s v="143"/>
    <d v="2024-10-04T00:00:00"/>
    <d v="2025-02-10T00:00:00"/>
    <x v="0"/>
    <x v="636"/>
    <s v="C:\Users\Ufficio\Desktop\Amministrazione\Acquisti\2024\EV\Fatture\EV - TERMOIDRAULICA VM ft 143 del 04-10-2024.pdf"/>
    <s v="scanzo, via Trento 8° SAL"/>
    <x v="7"/>
    <m/>
    <m/>
    <m/>
    <m/>
  </r>
  <r>
    <m/>
    <x v="222"/>
    <s v="143"/>
    <d v="2024-10-04T00:00:00"/>
    <d v="2025-02-10T00:00:00"/>
    <x v="0"/>
    <x v="637"/>
    <s v="C:\Users\Ufficio\Desktop\Amministrazione\Acquisti\2024\EV\Fatture\EV - TERMOIDRAULICA VM ft 143 del 04-10-2024.pdf"/>
    <s v="scanzo, via Trento 8° SAL"/>
    <x v="7"/>
    <m/>
    <m/>
    <m/>
    <m/>
  </r>
  <r>
    <m/>
    <x v="222"/>
    <s v="181"/>
    <d v="2024-11-28T00:00:00"/>
    <d v="2025-02-10T00:00:00"/>
    <x v="0"/>
    <x v="638"/>
    <s v="C:\Users\Ufficio\Desktop\Amministrazione\Acquisti\2024\EV\Fatture\EV - TERMOIDRAULICA ft 181 del 28-11-2024.pdf"/>
    <s v="Bergamo Ghislandi 7 sal "/>
    <x v="7"/>
    <m/>
    <m/>
    <m/>
    <m/>
  </r>
  <r>
    <m/>
    <x v="222"/>
    <s v="181"/>
    <d v="2024-11-28T00:00:00"/>
    <d v="2025-03-10T00:00:00"/>
    <x v="0"/>
    <x v="638"/>
    <s v="C:\Users\Ufficio\Desktop\Amministrazione\Acquisti\2024\EV\Fatture\EV - TERMOIDRAULICA ft 181 del 28-11-2024.pdf"/>
    <s v="Bergamo Ghislandi 7 sal "/>
    <x v="7"/>
    <m/>
    <m/>
    <m/>
    <m/>
  </r>
  <r>
    <m/>
    <x v="222"/>
    <s v="222"/>
    <d v="2024-12-30T00:00:00"/>
    <d v="2025-03-10T00:00:00"/>
    <x v="0"/>
    <x v="293"/>
    <s v="C:\Users\Ufficio\Desktop\Amministrazione\Acquisti\2024\EV\Fatture\EV- TERMOIDRAULICA VM ft 222 del 30-12-2024.pdf"/>
    <s v="Bergamo, Via Ghislandi 8 SAL"/>
    <x v="7"/>
    <m/>
    <m/>
    <m/>
    <m/>
  </r>
  <r>
    <m/>
    <x v="222"/>
    <s v="222"/>
    <d v="2024-12-30T00:00:00"/>
    <d v="2025-04-10T00:00:00"/>
    <x v="0"/>
    <x v="293"/>
    <s v="C:\Users\Ufficio\Desktop\Amministrazione\Acquisti\2024\EV\Fatture\EV- TERMOIDRAULICA VM ft 222 del 30-12-2024.pdf"/>
    <s v="Bergamo, Via Ghislandi 8 SAL"/>
    <x v="7"/>
    <m/>
    <m/>
    <m/>
    <m/>
  </r>
  <r>
    <m/>
    <x v="222"/>
    <s v="223"/>
    <d v="2024-12-30T00:00:00"/>
    <d v="2025-03-10T00:00:00"/>
    <x v="0"/>
    <x v="639"/>
    <s v="C:\Users\Ufficio\Desktop\Amministrazione\Acquisti\2024\EV\Fatture\EV- TERMOIDRAULICA VM ft 223 del 30-12-2024.pdf"/>
    <s v="Bg, Via Ghislandi"/>
    <x v="7"/>
    <m/>
    <m/>
    <m/>
    <m/>
  </r>
  <r>
    <m/>
    <x v="222"/>
    <s v="223"/>
    <d v="2024-12-30T00:00:00"/>
    <d v="2025-04-10T00:00:00"/>
    <x v="0"/>
    <x v="639"/>
    <s v="C:\Users\Ufficio\Desktop\Amministrazione\Acquisti\2024\EV\Fatture\EV- TERMOIDRAULICA VM ft 223 del 30-12-2024.pdf"/>
    <s v="Bg, Via Ghislandi"/>
    <x v="7"/>
    <m/>
    <m/>
    <m/>
    <m/>
  </r>
  <r>
    <m/>
    <x v="222"/>
    <n v="9"/>
    <d v="2025-01-30T00:00:00"/>
    <d v="2025-04-10T00:00:00"/>
    <x v="0"/>
    <x v="640"/>
    <s v="\"/>
    <s v="Bergamo, via Ghislandi"/>
    <x v="7"/>
    <m/>
    <m/>
    <m/>
    <m/>
  </r>
  <r>
    <m/>
    <x v="222"/>
    <n v="9"/>
    <d v="2025-01-30T00:00:00"/>
    <d v="2025-05-10T00:00:00"/>
    <x v="0"/>
    <x v="640"/>
    <s v="\"/>
    <s v="Bergamo, via Ghislandi"/>
    <x v="7"/>
    <m/>
    <m/>
    <m/>
    <m/>
  </r>
  <r>
    <m/>
    <x v="222"/>
    <n v="2"/>
    <d v="2025-03-13T00:00:00"/>
    <d v="2025-03-13T00:00:00"/>
    <x v="0"/>
    <x v="641"/>
    <s v="..\..\Acquisti\2025\EV\FATTURE\EV - TERMOIDRAULICA V.M. nc 2 del 13-03-2025.pdf"/>
    <s v="Bergamo, Via ghislandi"/>
    <x v="7"/>
    <m/>
    <m/>
    <m/>
    <m/>
  </r>
  <r>
    <m/>
    <x v="222"/>
    <n v="1"/>
    <d v="2025-03-13T00:00:00"/>
    <d v="2025-03-13T00:00:00"/>
    <x v="0"/>
    <x v="642"/>
    <s v="..\..\Acquisti\2025\EV\FATTURE\EV - TERMOIDRAULICA V.M. nc 1 del 13-3-2025.pdf"/>
    <s v="Scanzorosciate, Via Trento"/>
    <x v="7"/>
    <d v="2025-06-09T00:00:00"/>
    <n v="1000"/>
    <s v="BPM"/>
    <m/>
  </r>
  <r>
    <m/>
    <x v="222"/>
    <n v="90"/>
    <d v="2025-06-25T00:00:00"/>
    <d v="2025-06-09T00:00:00"/>
    <x v="0"/>
    <x v="19"/>
    <s v="..\..\Acquisti\2025\EV\FATTURE\EV - TERMOIDRAULICA V.M. ft 90 del 25-06-2025.pdf"/>
    <s v="Bergamo, Via Ghislandi"/>
    <x v="7"/>
    <m/>
    <m/>
    <m/>
    <m/>
  </r>
  <r>
    <m/>
    <x v="222"/>
    <n v="90"/>
    <d v="2025-06-25T00:00:00"/>
    <d v="2025-06-25T00:00:00"/>
    <x v="0"/>
    <x v="19"/>
    <s v="..\..\Acquisti\2025\EV\FATTURE\EV - TERMOIDRAULICA V.M. ft 90 del 25-06-2025.pdf"/>
    <s v="Bergamo, Via Ghislandi"/>
    <x v="7"/>
    <m/>
    <m/>
    <m/>
    <m/>
  </r>
  <r>
    <m/>
    <x v="222"/>
    <n v="95"/>
    <d v="2025-06-27T00:00:00"/>
    <d v="2025-09-30T00:00:00"/>
    <x v="0"/>
    <x v="643"/>
    <s v="..\..\Acquisti\2025\EV\FATTURE\EV - TERMOIDRAUKICA V.M. ft 95 del 27-06-2025.pdf"/>
    <s v="Bergamo, Via Ghislandi"/>
    <x v="29"/>
    <m/>
    <m/>
    <m/>
    <m/>
  </r>
  <r>
    <m/>
    <x v="222"/>
    <n v="109"/>
    <d v="2025-07-24T00:00:00"/>
    <d v="2025-09-30T00:00:00"/>
    <x v="0"/>
    <x v="643"/>
    <s v="..\..\Acquisti\2025\EV\FATTURE\EV - TERMOIDRAULICA V.M. ft 109 del 24-07-2025.pdf"/>
    <s v="Bergamo, Via Ghislandi"/>
    <x v="7"/>
    <m/>
    <m/>
    <m/>
    <m/>
  </r>
  <r>
    <m/>
    <x v="222"/>
    <s v="A RICEVERE?"/>
    <m/>
    <m/>
    <x v="0"/>
    <x v="644"/>
    <s v="Bergamo, Via Ghislandi"/>
    <m/>
    <x v="7"/>
    <m/>
    <m/>
    <m/>
    <m/>
  </r>
  <r>
    <m/>
    <x v="222"/>
    <n v="6"/>
    <d v="2025-07-24T00:00:00"/>
    <d v="2025-07-24T00:00:00"/>
    <x v="0"/>
    <x v="645"/>
    <s v="..\..\Acquisti\2025\EV\FATTURE\EV - TERMOIDRAULICA V.M. nc 6 del 24-07-2025.pdf"/>
    <s v="Bergamo, via Ghislandi"/>
    <x v="7"/>
    <m/>
    <m/>
    <s v="Accordo pagamento 64000€"/>
    <m/>
  </r>
  <r>
    <s v="RATEIZZATI NEI 65K"/>
    <x v="222"/>
    <s v="166"/>
    <d v="2025-11-10T00:00:00"/>
    <d v="2025-11-10T00:00:00"/>
    <x v="0"/>
    <x v="643"/>
    <m/>
    <s v="Bergamo, Via Ghislandi"/>
    <x v="8"/>
    <m/>
    <m/>
    <m/>
    <m/>
  </r>
  <r>
    <s v="RATEIZZATI NEI 65K"/>
    <x v="222"/>
    <s v="15"/>
    <d v="2025-11-10T00:00:00"/>
    <d v="2025-11-10T00:00:00"/>
    <x v="0"/>
    <x v="645"/>
    <m/>
    <s v="Bergamo, Via Ghislandi FT 95 DEL 27/06/2025"/>
    <x v="8"/>
    <m/>
    <m/>
    <m/>
    <m/>
  </r>
  <r>
    <s v="RETEIZZAZIONE SALDO E STRALCIO "/>
    <x v="222"/>
    <m/>
    <m/>
    <m/>
    <x v="0"/>
    <x v="508"/>
    <m/>
    <s v="TOT. DEBITO A SALDO E STRALCIO ACCORDO DEL14,10,25_ DECRETO ING.5017/2025"/>
    <x v="4"/>
    <m/>
    <s v="RESIDUO "/>
    <m/>
    <m/>
  </r>
  <r>
    <s v="RETEIZZAZIONE SALDO E STRALCIO "/>
    <x v="222"/>
    <m/>
    <m/>
    <m/>
    <x v="1"/>
    <x v="508"/>
    <n v="45981"/>
    <n v="52000"/>
    <x v="62"/>
    <m/>
    <m/>
    <m/>
    <m/>
  </r>
  <r>
    <s v="RETEIZZAZIONE SALDO E STRALCIO "/>
    <x v="222"/>
    <m/>
    <m/>
    <m/>
    <x v="1"/>
    <x v="508"/>
    <s v="Bonifico "/>
    <n v="45981"/>
    <x v="4"/>
    <m/>
    <m/>
    <s v="POP SO 2384X38"/>
    <m/>
  </r>
  <r>
    <s v="RETEIZZAZIONE SALDO E STRALCIO "/>
    <x v="222"/>
    <m/>
    <m/>
    <m/>
    <x v="0"/>
    <x v="508"/>
    <s v="RETEO 1"/>
    <s v="Bonifico "/>
    <x v="4"/>
    <m/>
    <s v="POP SO 2384X38"/>
    <m/>
    <m/>
  </r>
  <r>
    <s v="RETEIZZAZIONE SALDO E STRALCIO "/>
    <x v="222"/>
    <m/>
    <m/>
    <m/>
    <x v="0"/>
    <x v="508"/>
    <m/>
    <s v="RETEO 1"/>
    <x v="8"/>
    <d v="2025-11-20T00:00:00"/>
    <n v="52000"/>
    <s v="POP SO 2384X38"/>
    <m/>
  </r>
  <r>
    <m/>
    <x v="223"/>
    <s v="8B00119718"/>
    <d v="2026-02-11T00:00:00"/>
    <d v="2026-03-16T00:00:00"/>
    <x v="1"/>
    <x v="646"/>
    <m/>
    <s v="Contributo attivazione Checkup Sicurezza Light 21/24 01/01/26 | Opzione Fast 100 01/01/26 - 31/01/26 | TIM Tutto 01/01/26 - 31/01/26 | Bonus 24 mesi Checkup Sicurezza Light | Bonus Fedeltà | Bonus TIM"/>
    <x v="12"/>
    <n v="5.68"/>
    <d v="2026-03-16T00:00:00"/>
    <m/>
    <m/>
  </r>
  <r>
    <m/>
    <x v="223"/>
    <s v="7X00701923"/>
    <d v="2026-02-11T00:00:00"/>
    <d v="2026-03-16T00:00:00"/>
    <x v="1"/>
    <x v="647"/>
    <m/>
    <s v="Contributo TIM Guardian Mobile sec 01/01/26 - 31/01/26 | Contributo 5G Power Executive+ 01/01/26 - 31/01/26 | Servizio di produzione e invio fattura | Ricarica credito 12"/>
    <x v="12"/>
    <n v="8.23"/>
    <d v="2026-03-16T00:00:00"/>
    <m/>
    <m/>
  </r>
  <r>
    <m/>
    <x v="224"/>
    <s v="8B00010116"/>
    <d v="2025-01-13T00:00:00"/>
    <d v="2025-02-13T00:00:00"/>
    <x v="0"/>
    <x v="648"/>
    <s v="..\..\Acquisti\2025\EV\FATTURE\EV - TIM SPA ft 10116 del 13-01-2025.pdf"/>
    <s v="ufficio"/>
    <x v="4"/>
    <m/>
    <m/>
    <m/>
    <m/>
  </r>
  <r>
    <m/>
    <x v="224"/>
    <s v="8B00115106"/>
    <d v="2025-02-11T00:00:00"/>
    <d v="2025-03-14T00:00:00"/>
    <x v="0"/>
    <x v="648"/>
    <s v="..\..\Acquisti\2025\EV\FATTURE\EV - TIM SPA FT 115106 del 11-02-2025.pdf"/>
    <s v="ufficio"/>
    <x v="13"/>
    <m/>
    <m/>
    <m/>
    <m/>
  </r>
  <r>
    <m/>
    <x v="224"/>
    <s v="8B00223514"/>
    <d v="2025-03-11T00:00:00"/>
    <d v="2025-04-11T00:00:00"/>
    <x v="0"/>
    <x v="648"/>
    <s v="..\..\Acquisti\2025\EV\FATTURE\EV - TIM SPA ft 223514 del 11-03-2025.pdf"/>
    <s v="ufficio"/>
    <x v="13"/>
    <m/>
    <m/>
    <m/>
    <m/>
  </r>
  <r>
    <m/>
    <x v="224"/>
    <s v="8B00295710"/>
    <d v="2025-04-10T00:00:00"/>
    <d v="2025-05-12T00:00:00"/>
    <x v="0"/>
    <x v="648"/>
    <s v="..\..\Acquisti\2025\EV\FATTURE\EV - TIM SPA ft 295710 del 10-04-2025.pdf"/>
    <s v="ufficio"/>
    <x v="13"/>
    <m/>
    <m/>
    <m/>
    <m/>
  </r>
  <r>
    <m/>
    <x v="224"/>
    <s v="8B00352704"/>
    <d v="2025-05-10T00:00:00"/>
    <d v="2025-06-10T00:00:00"/>
    <x v="0"/>
    <x v="648"/>
    <s v="..\..\Acquisti\2025\EV\FATTURE\EV - TIM SPA ft 352704 del 10-05-2025.pdf"/>
    <s v="ufficio"/>
    <x v="13"/>
    <m/>
    <m/>
    <m/>
    <m/>
  </r>
  <r>
    <m/>
    <x v="224"/>
    <s v="8B00540765"/>
    <d v="2025-07-10T00:00:00"/>
    <d v="2025-08-11T00:00:00"/>
    <x v="0"/>
    <x v="649"/>
    <s v="..\..\Acquisti\2025\EV\FATTURE\EV - TIM SPA ft 0765 del 10-07-2025.pdf"/>
    <s v="ufficio"/>
    <x v="13"/>
    <m/>
    <m/>
    <m/>
    <m/>
  </r>
  <r>
    <m/>
    <x v="224"/>
    <s v="8B00484355"/>
    <d v="2025-06-11T00:00:00"/>
    <d v="2025-07-14T00:00:00"/>
    <x v="0"/>
    <x v="648"/>
    <s v="..\..\Acquisti\2025\EV\FATTURE\EV - TIM SPA ft 484355 del 11-06-2025.pdf"/>
    <s v="ufficio"/>
    <x v="13"/>
    <m/>
    <m/>
    <m/>
    <m/>
  </r>
  <r>
    <m/>
    <x v="224"/>
    <s v="8B00666928"/>
    <d v="2025-08-11T00:00:00"/>
    <d v="2025-08-11T00:00:00"/>
    <x v="0"/>
    <x v="648"/>
    <s v="..\..\Acquisti\2025\EV\FATTURE\EV - TIM SPA ft 8B00666928 del 11-08-2025.pdf"/>
    <s v="ufficio"/>
    <x v="63"/>
    <m/>
    <m/>
    <m/>
    <m/>
  </r>
  <r>
    <m/>
    <x v="224"/>
    <s v="8B00705394"/>
    <d v="2025-09-11T00:00:00"/>
    <d v="2025-10-13T00:00:00"/>
    <x v="0"/>
    <x v="650"/>
    <s v="..\..\Acquisti\2025\EV\FATTURE\EV - TIM SPA ft 8B00705394 del 11-09-2025.pdf"/>
    <s v="ufficio"/>
    <x v="13"/>
    <m/>
    <m/>
    <m/>
    <m/>
  </r>
  <r>
    <m/>
    <x v="224"/>
    <s v="8B00790466"/>
    <d v="2025-10-09T00:00:00"/>
    <d v="2025-11-10T00:00:00"/>
    <x v="0"/>
    <x v="648"/>
    <s v="..\..\Acquisti\2025\EV\FATTURE\EV - TIM SPA ft 790466 del 09-10-2025.pdf"/>
    <s v="ufficio"/>
    <x v="13"/>
    <m/>
    <m/>
    <m/>
    <m/>
  </r>
  <r>
    <m/>
    <x v="224"/>
    <s v="7X04952571"/>
    <d v="2025-11-11T00:00:00"/>
    <d v="2025-12-11T00:00:00"/>
    <x v="0"/>
    <x v="651"/>
    <m/>
    <s v="RETE MOBILE ILARIA"/>
    <x v="64"/>
    <m/>
    <m/>
    <s v="BCC"/>
    <m/>
  </r>
  <r>
    <m/>
    <x v="224"/>
    <s v="8B00905171"/>
    <d v="2025-11-11T00:00:00"/>
    <d v="2025-12-11T00:00:00"/>
    <x v="0"/>
    <x v="648"/>
    <m/>
    <s v="RETE FISSA UFFICIO "/>
    <x v="4"/>
    <m/>
    <m/>
    <s v="BCC"/>
    <m/>
  </r>
  <r>
    <m/>
    <x v="224"/>
    <s v="7X05592028"/>
    <d v="2025-12-13T00:00:00"/>
    <d v="2026-01-13T00:00:00"/>
    <x v="0"/>
    <x v="652"/>
    <m/>
    <s v="RETE MOBILE ILARIA_ NOVEMBRE 25"/>
    <x v="64"/>
    <m/>
    <m/>
    <s v="BCC"/>
    <m/>
  </r>
  <r>
    <m/>
    <x v="224"/>
    <s v="8B00951897"/>
    <d v="2025-12-13T00:00:00"/>
    <d v="2026-01-13T00:00:00"/>
    <x v="0"/>
    <x v="648"/>
    <m/>
    <s v="RETE FISSA UFFICIO_ NOVEMBRE 26"/>
    <x v="64"/>
    <m/>
    <m/>
    <s v="BCC"/>
    <m/>
  </r>
  <r>
    <m/>
    <x v="224"/>
    <s v="7X05592028"/>
    <d v="2025-12-13T00:00:00"/>
    <d v="2026-01-13T00:00:00"/>
    <x v="0"/>
    <x v="652"/>
    <s v="RETE MOBILE ILARIA_ NOVEMBRE 25"/>
    <s v="SEPA DIREC "/>
    <x v="4"/>
    <m/>
    <s v="BCC"/>
    <m/>
    <m/>
  </r>
  <r>
    <m/>
    <x v="224"/>
    <s v="8B00951897"/>
    <d v="2025-12-13T00:00:00"/>
    <d v="2026-01-13T00:00:00"/>
    <x v="0"/>
    <x v="648"/>
    <s v="RETE FISSA UFFICIO_ NOVEMBRE 26"/>
    <s v="SEPA DIREC "/>
    <x v="4"/>
    <m/>
    <s v="BCC"/>
    <m/>
    <m/>
  </r>
  <r>
    <m/>
    <x v="224"/>
    <s v="7X00223172"/>
    <d v="2026-01-13T00:00:00"/>
    <d v="2026-02-13T00:00:00"/>
    <x v="0"/>
    <x v="653"/>
    <s v="RETE MOBILE ILARIA_DICEMBRE  25"/>
    <s v="SEPA DIREC "/>
    <x v="4"/>
    <m/>
    <s v="BCC"/>
    <m/>
    <m/>
  </r>
  <r>
    <m/>
    <x v="224"/>
    <s v="8B00011070"/>
    <d v="2026-01-13T00:00:00"/>
    <d v="2026-02-13T00:00:00"/>
    <x v="1"/>
    <x v="648"/>
    <s v="RETE FISSA UFFICIO_DICEMBRE  25"/>
    <s v="SEPA DIREC "/>
    <x v="4"/>
    <m/>
    <s v="BCC"/>
    <m/>
    <m/>
  </r>
  <r>
    <m/>
    <x v="225"/>
    <s v="13E"/>
    <d v="2025-02-05T00:00:00"/>
    <d v="2025-02-28T00:00:00"/>
    <x v="0"/>
    <x v="654"/>
    <s v="..\..\Acquisti\2025\EV\FATTURE\EV - TOMASONI ING. LUIGI ft 13 del 05-02-2025.pdf"/>
    <s v="Bergamo, Via ghislandi"/>
    <x v="7"/>
    <m/>
    <m/>
    <m/>
    <m/>
  </r>
  <r>
    <m/>
    <x v="226"/>
    <n v="342"/>
    <d v="2025-03-14T00:00:00"/>
    <m/>
    <x v="0"/>
    <x v="655"/>
    <s v="..\..\Acquisti\2025\EV\FATTURE\EV - TONY SRL ft 342 del 14-03-2025.pdf"/>
    <s v="Pasto"/>
    <x v="3"/>
    <m/>
    <m/>
    <m/>
    <m/>
  </r>
  <r>
    <m/>
    <x v="226"/>
    <n v="957"/>
    <d v="2025-07-11T00:00:00"/>
    <m/>
    <x v="0"/>
    <x v="655"/>
    <s v="..\..\Acquisti\2025\EV\FATTURE\EV - TONY SRL ft 957 del 11-07-2025.pdf"/>
    <s v="pasto"/>
    <x v="3"/>
    <m/>
    <m/>
    <m/>
    <m/>
  </r>
  <r>
    <m/>
    <x v="226"/>
    <n v="1533"/>
    <d v="2025-11-05T00:00:00"/>
    <d v="2025-11-05T00:00:00"/>
    <x v="0"/>
    <x v="655"/>
    <m/>
    <s v="PASTO "/>
    <x v="3"/>
    <m/>
    <m/>
    <m/>
    <m/>
  </r>
  <r>
    <m/>
    <x v="227"/>
    <n v="151"/>
    <d v="2025-06-30T00:00:00"/>
    <d v="2025-07-07T00:00:00"/>
    <x v="0"/>
    <x v="99"/>
    <s v="..\..\Acquisti\2025\EV\FATTURE\EV - TOP COPERTURE SRL ft 151 del 30-06-2025.pdf"/>
    <s v="Scanzorosciate, Via Trento "/>
    <x v="7"/>
    <m/>
    <m/>
    <s v="DA CONSIDERARE VENDITA IN PERMUTA APPARTAMENTO BERGAMO. MANCA SALDO PER CHIUDERE LA BANCA (IPOTIZZATO CIRCA UN 50K)"/>
    <m/>
  </r>
  <r>
    <m/>
    <x v="227"/>
    <n v="150"/>
    <d v="2025-06-30T00:00:00"/>
    <d v="2025-07-07T00:00:00"/>
    <x v="1"/>
    <x v="656"/>
    <s v="..\..\Acquisti\2025\EV\FATTURE\EV - TOP COPERTURE SRL ft 150 del 30-06-2025.pdf"/>
    <s v="Bergamo, Via Ghislandi"/>
    <x v="7"/>
    <m/>
    <m/>
    <s v="DA CONSIDERARE VENDITA IN PERMUTA APPARTAMENTO BERGAMO. MANCA SALDO PER CHIUDERE LA BANCA (IPOTIZZATO CIRCA UN 50K)"/>
    <m/>
  </r>
  <r>
    <m/>
    <x v="228"/>
    <s v="FR A25/246"/>
    <d v="2025-01-31T00:00:00"/>
    <m/>
    <x v="0"/>
    <x v="657"/>
    <s v="..\..\Acquisti\2025\EV\FATTURE\EV - TRATTORIA LA PATTA ft 246 del 31-01-2025.pdf"/>
    <s v="85 Pasti"/>
    <x v="4"/>
    <m/>
    <m/>
    <m/>
    <m/>
  </r>
  <r>
    <m/>
    <x v="228"/>
    <s v="FR A25/530"/>
    <d v="2025-02-28T00:00:00"/>
    <m/>
    <x v="0"/>
    <x v="658"/>
    <s v="..\..\Acquisti\2025\EV\FATTURE\EV - TRATTORIA LA PATTA ft 530 del 28-02-2025.pdf"/>
    <s v="98 pasti"/>
    <x v="2"/>
    <m/>
    <m/>
    <m/>
    <m/>
  </r>
  <r>
    <m/>
    <x v="228"/>
    <s v="FR A25/793"/>
    <d v="2025-03-31T00:00:00"/>
    <m/>
    <x v="0"/>
    <x v="659"/>
    <s v="..\..\Acquisti\2025\EV\FATTURE\EV - TRATTORIA LA PATTA FT 793 DEL 31-03-2025.pdf"/>
    <s v="59 pasti"/>
    <x v="2"/>
    <m/>
    <m/>
    <m/>
    <m/>
  </r>
  <r>
    <m/>
    <x v="228"/>
    <s v="FR A25/71005"/>
    <d v="2025-05-02T00:00:00"/>
    <m/>
    <x v="0"/>
    <x v="660"/>
    <s v="..\..\Acquisti\2025\EV\FATTURE\EV - TRATTORIA LA PATTA ft 1005 del 02-05-2025.pdf"/>
    <s v="41 pasti"/>
    <x v="2"/>
    <m/>
    <m/>
    <m/>
    <m/>
  </r>
  <r>
    <m/>
    <x v="228"/>
    <s v="FR A25/1209"/>
    <d v="2025-06-03T00:00:00"/>
    <m/>
    <x v="0"/>
    <x v="661"/>
    <s v="..\..\Acquisti\2025\EV\FATTURE\EV - TRATTORIA LA PATTA ft 1209 del 03-06-2025.pdf"/>
    <s v="80 pasti"/>
    <x v="2"/>
    <m/>
    <m/>
    <m/>
    <m/>
  </r>
  <r>
    <m/>
    <x v="228"/>
    <s v="FR A25/1433 "/>
    <d v="2025-06-30T00:00:00"/>
    <m/>
    <x v="0"/>
    <x v="662"/>
    <s v="..\..\Acquisti\2025\EV\FATTURE\EV - TRATTORIA LA PATTA ft 1433 del 30-06-2025.pdf"/>
    <s v="73 pasti"/>
    <x v="2"/>
    <m/>
    <m/>
    <m/>
    <m/>
  </r>
  <r>
    <m/>
    <x v="229"/>
    <s v="317/2025"/>
    <d v="2025-05-10T00:00:00"/>
    <m/>
    <x v="0"/>
    <x v="663"/>
    <s v="..\..\Acquisti\2025\EV\FATTURE\EV - TRATTORIA PARIETTI ft 317 del 10-05-2025.pdf"/>
    <s v="pranzo"/>
    <x v="3"/>
    <m/>
    <m/>
    <m/>
    <m/>
  </r>
  <r>
    <m/>
    <x v="230"/>
    <s v="556000136P"/>
    <d v="2025-01-30T00:00:00"/>
    <d v="2025-01-30T00:00:00"/>
    <x v="0"/>
    <x v="664"/>
    <s v="..\..\Acquisti\2025\EV\FATTURE\EV - TRENTINO MOBILITA SPA ft 136 del 30-01-2025.pdf"/>
    <s v="Soste parcheggi"/>
    <x v="13"/>
    <d v="2025-02-10T00:00:00"/>
    <m/>
    <m/>
    <m/>
  </r>
  <r>
    <m/>
    <x v="231"/>
    <s v="VEN0101000081"/>
    <d v="2025-02-07T00:00:00"/>
    <m/>
    <x v="0"/>
    <x v="665"/>
    <s v="..\..\Acquisti\2025\EV\FATTURE\EV- TUTTAUTO SNC DI FORNONI GIUSEPPE ft 81 del 07-02-2025.pdf"/>
    <s v="Iveco Daily CX866WW"/>
    <x v="7"/>
    <m/>
    <m/>
    <m/>
    <m/>
  </r>
  <r>
    <m/>
    <x v="232"/>
    <s v="2025V00131"/>
    <d v="2025-02-05T00:00:00"/>
    <d v="2025-02-05T00:00:00"/>
    <x v="0"/>
    <x v="666"/>
    <s v="..\..\Acquisti\2025\EV\FATTURE\EV- ULTRASONIC SRL ft 131 del 05-02-2025.pdf"/>
    <m/>
    <x v="2"/>
    <m/>
    <m/>
    <m/>
    <m/>
  </r>
  <r>
    <m/>
    <x v="233"/>
    <s v="202510139245"/>
    <d v="2025-02-13T00:00:00"/>
    <m/>
    <x v="1"/>
    <x v="388"/>
    <m/>
    <s v="QUOTA FISSA ACQUA COMM. ARTIG. | QUOTA FISSA ACQUA COMM. ARTIG. | QUOTA FISSA FOGNA COMM. ARTIG. | QUOTA FISSA FOGNA COMM. ARTIG. | QUOTA FISSA DEP. COMM. ARTIG. | QUOTA FISSA DEP. COMM. ARTIG."/>
    <x v="65"/>
    <n v="0.62"/>
    <m/>
    <m/>
    <m/>
  </r>
  <r>
    <m/>
    <x v="234"/>
    <n v="202510139245"/>
    <d v="2025-02-13T00:00:00"/>
    <m/>
    <x v="0"/>
    <x v="667"/>
    <s v="..\..\Acquisti\2025\EV\FATTURE\EV - UNIACQUE SRL ft 202510139245 del 13-02-2025.pdf"/>
    <m/>
    <x v="13"/>
    <m/>
    <m/>
    <m/>
    <m/>
  </r>
  <r>
    <m/>
    <x v="234"/>
    <n v="2526000497"/>
    <d v="2025-02-18T00:00:00"/>
    <m/>
    <x v="0"/>
    <x v="668"/>
    <s v="..\..\Acquisti\2025\EV\FATTURE\EV - UNIACQUE SRL ft 2526000497 del 18-02-2025.pdf"/>
    <m/>
    <x v="13"/>
    <m/>
    <m/>
    <m/>
    <m/>
  </r>
  <r>
    <m/>
    <x v="234"/>
    <n v="202510256825"/>
    <d v="2025-03-18T00:00:00"/>
    <d v="2025-04-17T00:00:00"/>
    <x v="0"/>
    <x v="669"/>
    <s v="..\..\Acquisti\2025\EV\FATTURE\EV - UNIACQUE SRL ft 202510256825 del 18-03-2025.pdf"/>
    <s v="Bergamo, Via Ghislandi"/>
    <x v="4"/>
    <m/>
    <m/>
    <m/>
    <m/>
  </r>
  <r>
    <m/>
    <x v="234"/>
    <n v="202510290015"/>
    <d v="2025-03-25T00:00:00"/>
    <m/>
    <x v="0"/>
    <x v="388"/>
    <s v="..\..\Acquisti\2025\EV\FATTURE\EV - UNIACQUE SRL ft 202510290015 del 25-03-2025.pdf"/>
    <s v="Bergamo, Via Ghislandi"/>
    <x v="4"/>
    <m/>
    <m/>
    <m/>
    <m/>
  </r>
  <r>
    <m/>
    <x v="234"/>
    <n v="202510492636"/>
    <d v="2025-05-28T00:00:00"/>
    <m/>
    <x v="0"/>
    <x v="670"/>
    <s v="..\..\Acquisti\2025\EV\FATTURE\EV - UNIACQUE SRL ft 202510492636 del 28-05-2025.pdf"/>
    <s v="Bergamo, Via Ghislandi"/>
    <x v="4"/>
    <m/>
    <m/>
    <m/>
    <m/>
  </r>
  <r>
    <m/>
    <x v="234"/>
    <n v="202510490837"/>
    <d v="2025-05-28T00:00:00"/>
    <m/>
    <x v="0"/>
    <x v="388"/>
    <s v="..\..\Acquisti\2025\EV\FATTURE\EV - UNIACQUE SRL ft 202510490837 del 28-05-2025.pdf"/>
    <s v="Val Brembilla"/>
    <x v="13"/>
    <m/>
    <m/>
    <m/>
    <m/>
  </r>
  <r>
    <m/>
    <x v="234"/>
    <s v="202510743674"/>
    <d v="2025-08-05T00:00:00"/>
    <m/>
    <x v="0"/>
    <x v="671"/>
    <s v="..\..\Acquisti\2025\EV\FATTURE\EV - UNIACQUE SRL ft 202510743674 del 05-08-2025.pdf"/>
    <m/>
    <x v="66"/>
    <m/>
    <m/>
    <m/>
    <m/>
  </r>
  <r>
    <m/>
    <x v="234"/>
    <n v="202510892147"/>
    <d v="2025-09-19T00:00:00"/>
    <d v="2025-10-20T00:00:00"/>
    <x v="0"/>
    <x v="672"/>
    <s v="..\..\Acquisti\2025\EV\FATTURE\EV - UNIACQUE SRL ft 202510892147 del 19-09-2025.pdf"/>
    <m/>
    <x v="66"/>
    <m/>
    <m/>
    <m/>
    <m/>
  </r>
  <r>
    <m/>
    <x v="234"/>
    <n v="202510892147"/>
    <d v="2025-09-19T00:00:00"/>
    <d v="2026-01-20T00:00:00"/>
    <x v="0"/>
    <x v="672"/>
    <s v="..\..\Acquisti\2025\EV\FATTURE\EV - UNIACQUE SRL ft 202510892147 del 19-09-2025.pdf"/>
    <m/>
    <x v="66"/>
    <m/>
    <m/>
    <m/>
    <m/>
  </r>
  <r>
    <m/>
    <x v="234"/>
    <n v="202510892147"/>
    <d v="2025-09-19T00:00:00"/>
    <d v="2026-04-20T00:00:00"/>
    <x v="0"/>
    <x v="672"/>
    <s v="..\..\Acquisti\2025\EV\FATTURE\EV - UNIACQUE SRL ft 202510892147 del 19-09-2025.pdf"/>
    <m/>
    <x v="66"/>
    <m/>
    <m/>
    <m/>
    <m/>
  </r>
  <r>
    <m/>
    <x v="234"/>
    <n v="202510892147"/>
    <d v="2025-09-19T00:00:00"/>
    <d v="2026-07-20T00:00:00"/>
    <x v="0"/>
    <x v="673"/>
    <s v="..\..\Acquisti\2025\EV\FATTURE\EV - UNIACQUE SRL ft 202510892147 del 19-09-2025.pdf"/>
    <m/>
    <x v="66"/>
    <m/>
    <m/>
    <m/>
    <m/>
  </r>
  <r>
    <s v="ok"/>
    <x v="234"/>
    <s v="202411175705"/>
    <d v="2024-12-09T00:00:00"/>
    <d v="2025-01-08T00:00:00"/>
    <x v="0"/>
    <x v="674"/>
    <m/>
    <s v="val brembilla "/>
    <x v="0"/>
    <d v="2025-11-11T00:00:00"/>
    <n v="26.65"/>
    <s v="bcc 601460"/>
    <m/>
  </r>
  <r>
    <s v="OK"/>
    <x v="234"/>
    <s v="202410896503"/>
    <d v="2024-09-24T00:00:00"/>
    <d v="2024-10-24T00:00:00"/>
    <x v="0"/>
    <x v="675"/>
    <m/>
    <s v="dal 24/05/2024 al 12/08/2024_ via ghislandi "/>
    <x v="0"/>
    <d v="2025-11-11T00:00:00"/>
    <n v="30.39"/>
    <s v="BCC 601460"/>
    <m/>
  </r>
  <r>
    <m/>
    <x v="234"/>
    <s v="202511103357"/>
    <d v="2025-11-18T00:00:00"/>
    <d v="2025-11-18T00:00:00"/>
    <x v="0"/>
    <x v="388"/>
    <m/>
    <s v="BREMBILLA  _ DAL 24/05/2025 AL 07/11/2025"/>
    <x v="67"/>
    <m/>
    <m/>
    <m/>
    <m/>
  </r>
  <r>
    <m/>
    <x v="234"/>
    <s v="202511124576"/>
    <d v="2025-11-25T00:00:00"/>
    <d v="2025-12-29T00:00:00"/>
    <x v="0"/>
    <x v="676"/>
    <s v="BREMBILLA_ DAL 8/11/2025 AL 19/11/2025"/>
    <s v="PAGO PA "/>
    <x v="4"/>
    <m/>
    <m/>
    <m/>
    <m/>
  </r>
  <r>
    <s v="BOLLETTA DA SCARICARE "/>
    <x v="234"/>
    <s v="202511152268"/>
    <d v="2025-12-03T00:00:00"/>
    <d v="2026-01-02T00:00:00"/>
    <x v="0"/>
    <x v="677"/>
    <m/>
    <s v="Bergamo, Via Ghislandi _ DAL 13/09/2025 AL 23/11/2025"/>
    <x v="66"/>
    <m/>
    <n v="223.98"/>
    <m/>
    <m/>
  </r>
  <r>
    <s v="OK"/>
    <x v="234"/>
    <s v="202510492636"/>
    <d v="2025-05-28T00:00:00"/>
    <d v="2025-06-27T00:00:00"/>
    <x v="0"/>
    <x v="670"/>
    <s v="Bergamo, Via Ghislandi _ DAL 23/08/2025 AL 23/05/2025"/>
    <s v="CBILL"/>
    <x v="38"/>
    <n v="335.87"/>
    <s v="BCC"/>
    <m/>
    <m/>
  </r>
  <r>
    <s v="OK"/>
    <x v="234"/>
    <s v="202510892147"/>
    <d v="2025-09-19T00:00:00"/>
    <d v="2025-10-20T00:00:00"/>
    <x v="0"/>
    <x v="678"/>
    <s v="Bergamo, Via Ghislandi _ DAL 13/03/2025 AL 12/09/2025"/>
    <s v="Pago Pa"/>
    <x v="38"/>
    <n v="752.58"/>
    <s v="BCC"/>
    <m/>
    <m/>
  </r>
  <r>
    <s v="OK"/>
    <x v="234"/>
    <s v="202511152268"/>
    <d v="2025-12-03T00:00:00"/>
    <d v="2026-01-02T00:00:00"/>
    <x v="0"/>
    <x v="677"/>
    <s v="Bergamo, Via Ghislandi _ DAL 13/09/2025 AL 23/11/2025"/>
    <s v="PAGO PA"/>
    <x v="38"/>
    <n v="223.98"/>
    <s v="BCC"/>
    <m/>
    <m/>
  </r>
  <r>
    <s v="OK"/>
    <x v="235"/>
    <n v="34902077"/>
    <d v="2025-11-01T00:00:00"/>
    <s v="001/11/2025"/>
    <x v="0"/>
    <x v="679"/>
    <m/>
    <s v="pentole "/>
    <x v="28"/>
    <m/>
    <m/>
    <m/>
    <m/>
  </r>
  <r>
    <m/>
    <x v="236"/>
    <s v="01/527/2025"/>
    <d v="2025-02-28T00:00:00"/>
    <m/>
    <x v="0"/>
    <x v="680"/>
    <s v="..\..\Acquisti\2025\EV\FATTURE\EV - V.E.M. SRL ft 527 del 28-02-2025.pdf"/>
    <s v="Torre Boldone"/>
    <x v="7"/>
    <m/>
    <m/>
    <m/>
    <m/>
  </r>
  <r>
    <s v="OK"/>
    <x v="237"/>
    <n v="125000004"/>
    <d v="2025-01-08T00:00:00"/>
    <d v="2025-01-08T00:00:00"/>
    <x v="0"/>
    <x v="681"/>
    <s v="..\..\Acquisti\2025\EV\FATTURE\EV - VARG ft 004 del 08-01-2025.pdf"/>
    <s v="I."/>
    <x v="14"/>
    <m/>
    <m/>
    <m/>
    <m/>
  </r>
  <r>
    <s v="OK"/>
    <x v="237"/>
    <n v="12500044"/>
    <d v="2025-02-21T00:00:00"/>
    <m/>
    <x v="0"/>
    <x v="682"/>
    <s v="..\..\Acquisti\2025\EV\FATTURE\EV - VARG ft 44 del 21-02-2025.pdf"/>
    <s v="pasto"/>
    <x v="2"/>
    <m/>
    <m/>
    <s v="carta ricaricabile bpm "/>
    <m/>
  </r>
  <r>
    <s v="OK"/>
    <x v="237"/>
    <n v="125000149"/>
    <d v="2025-06-18T00:00:00"/>
    <m/>
    <x v="0"/>
    <x v="683"/>
    <s v="..\..\Acquisti\2025\EV\FATTURE\EV - VARG ft 149 del 18-06-2025.pdf"/>
    <s v="pasto"/>
    <x v="4"/>
    <m/>
    <m/>
    <s v="carta ricaricabile bpm "/>
    <m/>
  </r>
  <r>
    <s v="OK"/>
    <x v="237"/>
    <n v="125000172"/>
    <d v="2025-07-15T00:00:00"/>
    <m/>
    <x v="0"/>
    <x v="684"/>
    <s v="..\..\Acquisti\2025\EV\FATTURE\EV - VARG ft 172 del 15-07-2025.pdf"/>
    <s v="pasto"/>
    <x v="14"/>
    <m/>
    <m/>
    <s v="carta ricaricabile bpm "/>
    <m/>
  </r>
  <r>
    <s v="OK"/>
    <x v="237"/>
    <n v="256"/>
    <d v="2025-10-29T00:00:00"/>
    <m/>
    <x v="0"/>
    <x v="685"/>
    <m/>
    <s v="pasta "/>
    <x v="68"/>
    <m/>
    <m/>
    <s v="carta ricaricabile bpm "/>
    <m/>
  </r>
  <r>
    <m/>
    <x v="238"/>
    <s v="2603C0325307"/>
    <d v="2026-03-01T00:00:00"/>
    <m/>
    <x v="1"/>
    <x v="686"/>
    <m/>
    <s v="KIT BASE 1 un. | UPGRADE AD ALTA SICUREZZA CON ZEROVISION 1 un. | PACK PROTEZIONE (6 SHOCK SENSOR) 1 un. | SENSORE DI MOVIMENTO CERTIFICATO CON FOTOCAMERA 1 un. | MY VERISURE 1 un. | PROMOZIONE LIMITA"/>
    <x v="65"/>
    <n v="10.6"/>
    <m/>
    <m/>
    <m/>
  </r>
  <r>
    <m/>
    <x v="238"/>
    <s v="2603C0302315"/>
    <d v="2026-03-01T00:00:00"/>
    <m/>
    <x v="1"/>
    <x v="687"/>
    <m/>
    <s v="KIT BASE 1 un. | UPGRADE AD ALTA SICUREZZA CON ZEROVISION 1 un. | OFFERTA SPECIALE CANONE DA UFFICIO ATTENZIONE CLIENTE 1 un. (valida fino al 31/12/2027) | Pack duo perimetrale GuardVision Outdoor 1 u"/>
    <x v="65"/>
    <n v="9.27"/>
    <m/>
    <m/>
    <m/>
  </r>
  <r>
    <m/>
    <x v="238"/>
    <s v="2603C0247564"/>
    <d v="2026-03-01T00:00:00"/>
    <m/>
    <x v="1"/>
    <x v="688"/>
    <m/>
    <s v="KIT MOONSHOT IT 1 un. | UPGRADE AD ALTA SICUREZZA CON ZEROVISION BUSINESS 1 un. | OFFERTA SPECIALE CANONE DA UFFICIO ATTENZIONE CLIENTE 1 un. (valida fino al 31/12/2027) | SENSORE DI MOVIMENTO CERTIFI"/>
    <x v="65"/>
    <n v="10.42"/>
    <m/>
    <m/>
    <m/>
  </r>
  <r>
    <m/>
    <x v="238"/>
    <s v="26OT0086441"/>
    <d v="2026-02-25T00:00:00"/>
    <m/>
    <x v="0"/>
    <x v="388"/>
    <m/>
    <s v="BATTERIA AA STILO (R6 1,5V HIGH QUALITY) 16 un. | ALKALINE BATTERIES ULTRA AAA 4 un. | BATTERIES LITIO 2 un. | Battery AA Lithium cell 1.5V 12 un."/>
    <x v="69"/>
    <n v="0"/>
    <m/>
    <m/>
    <m/>
  </r>
  <r>
    <m/>
    <x v="238"/>
    <s v="2501C337335"/>
    <d v="2025-01-01T00:00:00"/>
    <d v="2025-01-31T00:00:00"/>
    <x v="0"/>
    <x v="689"/>
    <s v="..\..\Acquisti\2025\EV\FATTURE\EV - VERISURE ft 7335 del 01-01-2025.pdf"/>
    <s v="Ufficio"/>
    <x v="13"/>
    <m/>
    <m/>
    <s v="BCC 601460"/>
    <m/>
  </r>
  <r>
    <m/>
    <x v="238"/>
    <s v="2501C307429"/>
    <d v="2025-01-01T00:00:00"/>
    <d v="2025-01-31T00:00:00"/>
    <x v="0"/>
    <x v="690"/>
    <s v="..\..\Acquisti\2025\EV\FATTURE\EV - VERISURE ft 7429 del 01-01-2025.pdf"/>
    <s v="Ufficio"/>
    <x v="13"/>
    <m/>
    <m/>
    <s v="BCC 601460"/>
    <m/>
  </r>
  <r>
    <m/>
    <x v="238"/>
    <s v="2501C265745"/>
    <d v="2025-01-01T00:00:00"/>
    <d v="2025-01-31T00:00:00"/>
    <x v="0"/>
    <x v="691"/>
    <s v="..\..\Acquisti\2025\EV\FATTURE\EV - VERISURE ft 5745 del 01-01-2025.pdf"/>
    <s v="Ufficio"/>
    <x v="13"/>
    <m/>
    <m/>
    <s v="BCC 601460"/>
    <m/>
  </r>
  <r>
    <m/>
    <x v="238"/>
    <s v="2502C356889"/>
    <d v="2025-02-01T00:00:00"/>
    <m/>
    <x v="0"/>
    <x v="690"/>
    <s v="..\..\Acquisti\2025\EV\FATTURE\EV - VERISURE SRL ft 356889 del 01-02-2025.pdf"/>
    <m/>
    <x v="13"/>
    <m/>
    <m/>
    <s v="BCC 601460"/>
    <m/>
  </r>
  <r>
    <m/>
    <x v="238"/>
    <s v="2502C338610"/>
    <d v="2025-02-01T00:00:00"/>
    <m/>
    <x v="0"/>
    <x v="689"/>
    <s v="..\..\Acquisti\2025\EV\FATTURE\EV- VERISURE SRL ft 338610 del 01-02-2025.pdf"/>
    <m/>
    <x v="13"/>
    <m/>
    <m/>
    <s v="BCC 601460"/>
    <m/>
  </r>
  <r>
    <m/>
    <x v="238"/>
    <s v="2502C261720"/>
    <d v="2025-02-01T00:00:00"/>
    <m/>
    <x v="0"/>
    <x v="691"/>
    <s v="..\..\Acquisti\2025\EV\FATTURE\EV - VERISURE SRL ft 261720 del 01-02-2025.pdf"/>
    <m/>
    <x v="13"/>
    <m/>
    <m/>
    <s v="BCC 601460"/>
    <m/>
  </r>
  <r>
    <m/>
    <x v="238"/>
    <s v="25OT0041490"/>
    <d v="2025-02-05T00:00:00"/>
    <m/>
    <x v="0"/>
    <x v="388"/>
    <s v="..\..\Acquisti\2025\EV\FATTURE\EV- VERISURE SRL ft 41490 del 05-02-2025.pdf"/>
    <s v="Ufficio"/>
    <x v="4"/>
    <m/>
    <m/>
    <s v="BCC 601460"/>
    <m/>
  </r>
  <r>
    <m/>
    <x v="238"/>
    <s v="2503C363200"/>
    <d v="2025-03-01T00:00:00"/>
    <m/>
    <x v="0"/>
    <x v="689"/>
    <s v="..\..\Acquisti\2025\EV\FATTURE\EV - VERISURE ft 363200 del 01-03-2025.pdf"/>
    <m/>
    <x v="13"/>
    <m/>
    <m/>
    <s v="BCC 601460"/>
    <m/>
  </r>
  <r>
    <m/>
    <x v="238"/>
    <s v="2503C353661"/>
    <d v="2025-03-01T00:00:00"/>
    <m/>
    <x v="0"/>
    <x v="690"/>
    <s v="..\..\Acquisti\2025\EV\FATTURE\EV - VERISURE  ft 353661 del 01-03-2025.pdf"/>
    <m/>
    <x v="13"/>
    <m/>
    <m/>
    <s v="BCC 601460"/>
    <m/>
  </r>
  <r>
    <m/>
    <x v="238"/>
    <s v="2503C255639"/>
    <d v="2025-03-01T00:00:00"/>
    <m/>
    <x v="0"/>
    <x v="691"/>
    <s v="..\..\Acquisti\2025\EV\FATTURE\EV - VERISURE ft 255639 del 01-03-2025.pdf"/>
    <m/>
    <x v="13"/>
    <m/>
    <m/>
    <s v="BCC 601460"/>
    <m/>
  </r>
  <r>
    <m/>
    <x v="238"/>
    <s v="2504C355812"/>
    <d v="2025-04-01T00:00:00"/>
    <m/>
    <x v="0"/>
    <x v="689"/>
    <s v="..\..\Acquisti\2025\EV\FATTURE\EV- VERISURE SRL ft 355812 del 01-04-2025.pdf"/>
    <m/>
    <x v="13"/>
    <m/>
    <m/>
    <s v="BCC 601460"/>
    <m/>
  </r>
  <r>
    <m/>
    <x v="238"/>
    <s v="2504C346303"/>
    <d v="2025-04-01T00:00:00"/>
    <m/>
    <x v="0"/>
    <x v="690"/>
    <s v="..\..\Acquisti\2025\EV\FATTURE\EV - VERISURE SRL ft 346303 del 01-04-2025.pdf"/>
    <m/>
    <x v="13"/>
    <m/>
    <m/>
    <s v="BCC 601460"/>
    <m/>
  </r>
  <r>
    <m/>
    <x v="238"/>
    <s v="2504C265521"/>
    <d v="2025-04-01T00:00:00"/>
    <m/>
    <x v="0"/>
    <x v="691"/>
    <s v="..\..\Acquisti\2025\EV\FATTURE\EV- VERISURE SRL ft 265521 DEL 01-04-2025.pdf"/>
    <m/>
    <x v="13"/>
    <m/>
    <m/>
    <s v="BCC 601460"/>
    <m/>
  </r>
  <r>
    <m/>
    <x v="238"/>
    <s v="25OTI026935"/>
    <d v="2025-03-31T00:00:00"/>
    <m/>
    <x v="0"/>
    <x v="692"/>
    <s v="..\..\Acquisti\2025\EV\FATTURE\EV - VERISURE ft 25OTI026935 del 31-03-2025.pdf"/>
    <m/>
    <x v="3"/>
    <m/>
    <m/>
    <s v="BCC 601460"/>
    <m/>
  </r>
  <r>
    <m/>
    <x v="238"/>
    <s v="2503C379793"/>
    <d v="2025-03-31T00:00:00"/>
    <m/>
    <x v="0"/>
    <x v="693"/>
    <s v="..\..\Acquisti\2025\EV\FATTURE\EV - VERISURE ft 2503C379793 del 31-03-2025.pdf"/>
    <m/>
    <x v="13"/>
    <m/>
    <m/>
    <s v="BCC 601460"/>
    <m/>
  </r>
  <r>
    <m/>
    <x v="238"/>
    <s v="2504C379686"/>
    <d v="2025-04-01T00:00:00"/>
    <m/>
    <x v="0"/>
    <x v="694"/>
    <s v="..\..\Acquisti\2025\EV\FATTURE\EV - VERISURE ft 2504C379686 del 01-04-2025.pdf"/>
    <m/>
    <x v="13"/>
    <m/>
    <m/>
    <s v="BCC 601460"/>
    <m/>
  </r>
  <r>
    <m/>
    <x v="238"/>
    <s v="25OT0122729"/>
    <d v="2025-04-11T00:00:00"/>
    <m/>
    <x v="0"/>
    <x v="388"/>
    <s v="..\..\Acquisti\2025\EV\FATTURE\EV - VERISURE ft 122729 del 11-04-2025.pdf"/>
    <m/>
    <x v="4"/>
    <m/>
    <m/>
    <s v="BCC 601460"/>
    <m/>
  </r>
  <r>
    <m/>
    <x v="238"/>
    <s v="2505C367655"/>
    <d v="2025-05-01T00:00:00"/>
    <m/>
    <x v="0"/>
    <x v="694"/>
    <s v="..\..\Acquisti\2025\EV\FATTURE\EV - VERISURE SRL ft 2505C367655 del 01-05-2025.pdf"/>
    <m/>
    <x v="13"/>
    <m/>
    <m/>
    <s v="BCC 601460"/>
    <m/>
  </r>
  <r>
    <m/>
    <x v="238"/>
    <s v="2505C347188"/>
    <d v="2025-05-01T00:00:00"/>
    <m/>
    <x v="0"/>
    <x v="695"/>
    <s v="..\..\Acquisti\2025\EV\FATTURE\EV - VERISURE SRL ft 2505C347188 del 01-05-2025.pdf"/>
    <m/>
    <x v="13"/>
    <m/>
    <m/>
    <s v="BCC 601460"/>
    <m/>
  </r>
  <r>
    <m/>
    <x v="238"/>
    <s v="2505C328864"/>
    <d v="2025-05-01T00:00:00"/>
    <m/>
    <x v="0"/>
    <x v="696"/>
    <s v="..\..\Acquisti\2025\EV\FATTURE\EV - VERISURE SRL ft 2505C328864 del 01-05-2025.pdf"/>
    <m/>
    <x v="13"/>
    <m/>
    <m/>
    <s v="BCC 601460"/>
    <m/>
  </r>
  <r>
    <m/>
    <x v="238"/>
    <s v="2505C240720"/>
    <d v="2025-05-01T00:00:00"/>
    <m/>
    <x v="0"/>
    <x v="691"/>
    <s v="..\..\Acquisti\2025\EV\FATTURE\EV - VERISURE SRL ft 2505C240720 del 01-05-2025.pdf"/>
    <m/>
    <x v="13"/>
    <m/>
    <m/>
    <s v="BCC 601460"/>
    <m/>
  </r>
  <r>
    <m/>
    <x v="238"/>
    <s v="2506C358449"/>
    <d v="2025-06-01T00:00:00"/>
    <m/>
    <x v="0"/>
    <x v="694"/>
    <s v="..\..\Acquisti\2025\EV\FATTURE\EV - VERISURE ft 358449 del 01-06-2025.pdf"/>
    <m/>
    <x v="13"/>
    <m/>
    <m/>
    <s v="BCC 601460"/>
    <m/>
  </r>
  <r>
    <m/>
    <x v="238"/>
    <s v="2506C355561"/>
    <d v="2025-06-01T00:00:00"/>
    <m/>
    <x v="0"/>
    <x v="697"/>
    <s v="..\..\Acquisti\2025\EV\FATTURE\EV - VERISURE ft 355561 del 01-06-2025.pdf"/>
    <m/>
    <x v="13"/>
    <m/>
    <m/>
    <s v="BCC 601460"/>
    <m/>
  </r>
  <r>
    <m/>
    <x v="238"/>
    <s v="2506C343378"/>
    <d v="2025-06-01T00:00:00"/>
    <m/>
    <x v="0"/>
    <x v="698"/>
    <s v="..\..\Acquisti\2025\EV\FATTURE\EV - VERISURE ft 343378 del 01-06-2025.pdf"/>
    <m/>
    <x v="13"/>
    <m/>
    <m/>
    <s v="BCC 601460"/>
    <m/>
  </r>
  <r>
    <m/>
    <x v="238"/>
    <s v="2506C251146"/>
    <d v="2025-06-01T00:00:00"/>
    <m/>
    <x v="0"/>
    <x v="691"/>
    <s v="..\..\Acquisti\2025\EV\FATTURE\EV - VERISURE ft 251146 del 01-06-2025.pdf"/>
    <m/>
    <x v="13"/>
    <m/>
    <m/>
    <s v="BCC 601460"/>
    <m/>
  </r>
  <r>
    <m/>
    <x v="238"/>
    <s v="2507C376481"/>
    <d v="2025-07-01T00:00:00"/>
    <m/>
    <x v="0"/>
    <x v="694"/>
    <s v="..\..\Acquisti\2025\EV\FATTURE\EV - VERISURE ft 76481 del 01-07-2025.pdf"/>
    <m/>
    <x v="13"/>
    <m/>
    <m/>
    <s v="BCC 601460"/>
    <m/>
  </r>
  <r>
    <m/>
    <x v="238"/>
    <s v="2507C350090"/>
    <d v="2025-07-01T00:00:00"/>
    <m/>
    <x v="0"/>
    <x v="697"/>
    <s v="..\..\Acquisti\2025\EV\FATTURE\EV - VERISURE ft 50090 del 01-07-2025.pdf"/>
    <m/>
    <x v="13"/>
    <m/>
    <m/>
    <s v="BCC 601460"/>
    <m/>
  </r>
  <r>
    <m/>
    <x v="238"/>
    <s v="2507C344174"/>
    <d v="2025-07-01T00:00:00"/>
    <m/>
    <x v="0"/>
    <x v="698"/>
    <s v="..\..\Acquisti\2025\EV\FATTURE\EV - VERISURE ft 44174 del 01-07-2025.pdf"/>
    <m/>
    <x v="13"/>
    <m/>
    <m/>
    <s v="BCC 601460"/>
    <m/>
  </r>
  <r>
    <m/>
    <x v="238"/>
    <s v="2507C246631"/>
    <d v="2025-07-01T00:00:00"/>
    <m/>
    <x v="0"/>
    <x v="691"/>
    <s v="..\..\Acquisti\2025\EV\FATTURE\EV - VERISURE ft 246631 del 01-07-2025.pdf"/>
    <m/>
    <x v="13"/>
    <m/>
    <m/>
    <s v="BCC 601460"/>
    <m/>
  </r>
  <r>
    <m/>
    <x v="238"/>
    <s v="2508C377227"/>
    <d v="2025-08-01T00:00:00"/>
    <m/>
    <x v="0"/>
    <x v="694"/>
    <s v="..\..\Acquisti\2025\EV\FATTURE\EV - VERISURE ft 377227 del 01-08-2025.pdf"/>
    <m/>
    <x v="13"/>
    <m/>
    <m/>
    <s v="BCC 601460"/>
    <m/>
  </r>
  <r>
    <m/>
    <x v="238"/>
    <s v="2508C345972"/>
    <d v="2025-08-01T00:00:00"/>
    <m/>
    <x v="0"/>
    <x v="697"/>
    <s v="..\..\Acquisti\2025\EV\FATTURE\EV - VERISURE ft 345972 del 01-08-2025.pdf"/>
    <m/>
    <x v="13"/>
    <m/>
    <m/>
    <s v="BCC 601460"/>
    <m/>
  </r>
  <r>
    <m/>
    <x v="238"/>
    <s v="2508C329801"/>
    <d v="2025-08-01T00:00:00"/>
    <m/>
    <x v="0"/>
    <x v="698"/>
    <s v="..\..\Acquisti\2025\EV\FATTURE\EV - VERISURE ft 329801 del 01-08-2025.pdf"/>
    <m/>
    <x v="13"/>
    <m/>
    <m/>
    <s v="BCC 601460"/>
    <m/>
  </r>
  <r>
    <m/>
    <x v="238"/>
    <s v="2508C239041"/>
    <d v="2025-08-01T00:00:00"/>
    <m/>
    <x v="0"/>
    <x v="691"/>
    <s v="..\..\Acquisti\2025\EV\FATTURE\EV - VERISURE ft 239041 del 01-08-2025.pdf"/>
    <m/>
    <x v="13"/>
    <m/>
    <m/>
    <s v="BCC 601460"/>
    <m/>
  </r>
  <r>
    <m/>
    <x v="238"/>
    <s v="2509C376690"/>
    <d v="2025-09-01T00:00:00"/>
    <m/>
    <x v="0"/>
    <x v="699"/>
    <s v="..\..\Acquisti\2025\EV\FATTURE\EV - VERISURE ft 376690 del 01-09-2025.pdf"/>
    <m/>
    <x v="13"/>
    <m/>
    <m/>
    <s v="BCC 601460"/>
    <m/>
  </r>
  <r>
    <m/>
    <x v="238"/>
    <s v="2509C331805"/>
    <d v="2025-09-01T00:00:00"/>
    <m/>
    <x v="0"/>
    <x v="698"/>
    <s v="..\..\Acquisti\2025\EV\FATTURE\EV - VERISURE ft 331805 del 01-09-2025.pdf"/>
    <m/>
    <x v="13"/>
    <m/>
    <m/>
    <s v="BCC 601460"/>
    <m/>
  </r>
  <r>
    <m/>
    <x v="238"/>
    <s v="2509C316805"/>
    <d v="2025-09-01T00:00:00"/>
    <m/>
    <x v="0"/>
    <x v="697"/>
    <s v="..\..\Acquisti\2025\EV\FATTURE\EV - VERISURE ft 316805 del 01-09-2025.pdf"/>
    <m/>
    <x v="13"/>
    <m/>
    <m/>
    <s v="BCC 601460"/>
    <m/>
  </r>
  <r>
    <m/>
    <x v="238"/>
    <s v="2509C253974"/>
    <d v="2025-09-01T00:00:00"/>
    <m/>
    <x v="0"/>
    <x v="691"/>
    <s v="..\..\Acquisti\2025\EV\FATTURE\EV - VERISURE ft 253974 del 01-09-2025.pdf"/>
    <m/>
    <x v="13"/>
    <m/>
    <m/>
    <s v="BCC 601460"/>
    <m/>
  </r>
  <r>
    <m/>
    <x v="238"/>
    <s v="25OT0308716"/>
    <d v="2025-09-04T00:00:00"/>
    <m/>
    <x v="0"/>
    <x v="388"/>
    <s v="..\..\Acquisti\2025\EV\FATTURE\EV - VERISURE ft 308716 del 04-09-2025.pdf"/>
    <m/>
    <x v="13"/>
    <m/>
    <m/>
    <s v="BCC 601460"/>
    <m/>
  </r>
  <r>
    <m/>
    <x v="238"/>
    <s v="2510C363736"/>
    <d v="2025-10-01T00:00:00"/>
    <m/>
    <x v="0"/>
    <x v="686"/>
    <s v="..\..\Acquisti\2025\EV\FATTURE\EV - VERISURE ft 2510C363736 del 01-10-2025.pdf"/>
    <m/>
    <x v="13"/>
    <m/>
    <m/>
    <s v="BCC 601460"/>
    <m/>
  </r>
  <r>
    <m/>
    <x v="238"/>
    <s v="2510C327009"/>
    <d v="2025-10-01T00:00:00"/>
    <m/>
    <x v="0"/>
    <x v="697"/>
    <s v="..\..\Acquisti\2025\EV\FATTURE\EV - VERISURE ft 2510C327009 del 01-10-2025.pdf"/>
    <m/>
    <x v="13"/>
    <m/>
    <m/>
    <s v="BCC 601460"/>
    <m/>
  </r>
  <r>
    <m/>
    <x v="238"/>
    <s v="2510C313955"/>
    <d v="2025-10-01T00:00:00"/>
    <m/>
    <x v="0"/>
    <x v="698"/>
    <s v="..\..\Acquisti\2025\EV\FATTURE\EV - VERISURE ft 2510C313955 del 01-10-2025.pdf"/>
    <m/>
    <x v="13"/>
    <m/>
    <m/>
    <s v="BCC 601460"/>
    <m/>
  </r>
  <r>
    <m/>
    <x v="238"/>
    <s v="2510C270588"/>
    <d v="2025-10-01T00:00:00"/>
    <m/>
    <x v="0"/>
    <x v="691"/>
    <s v="..\..\Acquisti\2025\EV\FATTURE\EV - VERISURE ft 2510C270588 del 01-10-2025.pdf"/>
    <m/>
    <x v="13"/>
    <m/>
    <m/>
    <s v="BCC 601460"/>
    <m/>
  </r>
  <r>
    <m/>
    <x v="238"/>
    <s v="2511C264707"/>
    <d v="2025-11-01T00:00:00"/>
    <m/>
    <x v="0"/>
    <x v="691"/>
    <m/>
    <m/>
    <x v="13"/>
    <m/>
    <m/>
    <s v="BCC 601460"/>
    <m/>
  </r>
  <r>
    <m/>
    <x v="238"/>
    <s v="2511C300542"/>
    <d v="2025-11-01T00:00:00"/>
    <m/>
    <x v="0"/>
    <x v="697"/>
    <m/>
    <m/>
    <x v="13"/>
    <m/>
    <m/>
    <s v="BCC 601460"/>
    <m/>
  </r>
  <r>
    <m/>
    <x v="238"/>
    <s v="2511C326698"/>
    <d v="2025-11-01T00:00:00"/>
    <m/>
    <x v="0"/>
    <x v="698"/>
    <m/>
    <m/>
    <x v="13"/>
    <m/>
    <m/>
    <s v="BCC 601460"/>
    <m/>
  </r>
  <r>
    <m/>
    <x v="238"/>
    <s v="2511C365325"/>
    <d v="2025-11-01T00:00:00"/>
    <m/>
    <x v="0"/>
    <x v="686"/>
    <m/>
    <m/>
    <x v="13"/>
    <m/>
    <m/>
    <s v="BCC 601460"/>
    <m/>
  </r>
  <r>
    <m/>
    <x v="238"/>
    <s v="2512C249727"/>
    <d v="2025-12-01T00:00:00"/>
    <m/>
    <x v="0"/>
    <x v="691"/>
    <m/>
    <m/>
    <x v="13"/>
    <m/>
    <m/>
    <s v="BCC 601460"/>
    <m/>
  </r>
  <r>
    <m/>
    <x v="238"/>
    <s v="2512C305355"/>
    <d v="2025-12-01T00:00:00"/>
    <m/>
    <x v="0"/>
    <x v="698"/>
    <m/>
    <m/>
    <x v="13"/>
    <m/>
    <m/>
    <s v="BCC 601460"/>
    <m/>
  </r>
  <r>
    <m/>
    <x v="238"/>
    <s v="2512C314400"/>
    <d v="2025-12-01T00:00:00"/>
    <m/>
    <x v="0"/>
    <x v="697"/>
    <m/>
    <m/>
    <x v="13"/>
    <m/>
    <m/>
    <s v="BCC 601460"/>
    <m/>
  </r>
  <r>
    <m/>
    <x v="238"/>
    <s v="2512C75454"/>
    <d v="2025-12-01T00:00:00"/>
    <m/>
    <x v="0"/>
    <x v="686"/>
    <m/>
    <m/>
    <x v="13"/>
    <m/>
    <m/>
    <s v="BCC 601460"/>
    <m/>
  </r>
  <r>
    <m/>
    <x v="238"/>
    <s v="2601C297540"/>
    <d v="2026-01-01T00:00:00"/>
    <m/>
    <x v="0"/>
    <x v="687"/>
    <m/>
    <m/>
    <x v="13"/>
    <m/>
    <m/>
    <s v="BCC 601460"/>
    <m/>
  </r>
  <r>
    <m/>
    <x v="238"/>
    <s v="2601C2404477"/>
    <d v="2026-01-01T00:00:00"/>
    <m/>
    <x v="0"/>
    <x v="688"/>
    <m/>
    <m/>
    <x v="13"/>
    <m/>
    <m/>
    <s v="BCC 601460"/>
    <m/>
  </r>
  <r>
    <m/>
    <x v="238"/>
    <s v="2602C204472"/>
    <d v="2026-02-01T00:00:00"/>
    <m/>
    <x v="0"/>
    <x v="688"/>
    <s v="KIT MOONSHOT IT 1 un. | UPGRADE AD ALTA SICUREZZA CON ZEROVISION BUSINESS 1 un. | OFFERTA SPECIALE CANONE DA UFFICIO ATTENZIONE CLIENTE 1 un. (valida fino al 31/12/2027) | SENSORE DI MOVIMENTO CERTIFI"/>
    <s v="SEPA DD CORE"/>
    <x v="70"/>
    <m/>
    <m/>
    <m/>
    <m/>
  </r>
  <r>
    <m/>
    <x v="238"/>
    <s v="2602C311691"/>
    <d v="2026-02-01T00:00:00"/>
    <m/>
    <x v="0"/>
    <x v="687"/>
    <s v="KIT BASE 1 un. | UPGRADE AD ALTA SICUREZZA CON ZEROVISION 1 un. | OFFERTA SPECIALE CANONE DA UFFICIO ATTENZIONE CLIENTE 1 un. (valida fino al 31/12/2027) | Pack duo perimetrale GuardVision Outdoor 1 u"/>
    <s v="SEPA DD CORE"/>
    <x v="71"/>
    <m/>
    <m/>
    <m/>
    <m/>
  </r>
  <r>
    <m/>
    <x v="238"/>
    <s v="2602C346768"/>
    <d v="2026-02-01T00:00:00"/>
    <m/>
    <x v="0"/>
    <x v="686"/>
    <s v="KIT BASE 1 un. | UPGRADE AD ALTA SICUREZZA CON ZEROVISION 1 un. | PACK PROTEZIONE (6 SHOCK SENSOR) 1 un. | SENSORE DI MOVIMENTO CERTIFICATO CON FOTOCAMERA 1 un. | MY VERISURE 1 un. | PROMOZIONE LIMITA"/>
    <s v="SEPA DD CORE"/>
    <x v="72"/>
    <m/>
    <m/>
    <m/>
    <m/>
  </r>
  <r>
    <m/>
    <x v="238"/>
    <s v="2601C376531"/>
    <d v="2026-01-01T00:00:00"/>
    <m/>
    <x v="0"/>
    <x v="686"/>
    <m/>
    <m/>
    <x v="13"/>
    <m/>
    <m/>
    <s v="BCC 601460"/>
    <m/>
  </r>
  <r>
    <m/>
    <x v="238"/>
    <s v="26OT0076848"/>
    <d v="2026-02-19T00:00:00"/>
    <m/>
    <x v="0"/>
    <x v="388"/>
    <m/>
    <s v="PACK BATTERIE AQUILA QP - MS 1 un."/>
    <x v="69"/>
    <n v="0"/>
    <m/>
    <m/>
    <m/>
  </r>
  <r>
    <s v="OK"/>
    <x v="239"/>
    <s v="pol VRT0332037714-1"/>
    <d v="2025-10-18T00:00:00"/>
    <s v="18/0/2025"/>
    <x v="0"/>
    <x v="700"/>
    <m/>
    <s v="CLIO FX155TF"/>
    <x v="7"/>
    <d v="2025-10-17T00:00:00"/>
    <n v="701.77"/>
    <s v="pol VRT0332037714-1 _ CLIO FX155TF_ BCC 601460"/>
    <m/>
  </r>
  <r>
    <s v="OK"/>
    <x v="239"/>
    <s v="pol VRT0332037714-1"/>
    <d v="2025-10-18T00:00:00"/>
    <d v="2025-10-18T00:00:00"/>
    <x v="0"/>
    <x v="701"/>
    <m/>
    <s v="CLIO FX155TF"/>
    <x v="7"/>
    <d v="2025-10-21T00:00:00"/>
    <n v="98.48"/>
    <s v="pol VRT0332037714-1 _ CLIO FX155TF_ ESTENSIONE POLIZZA _ BPER  80875"/>
    <m/>
  </r>
  <r>
    <s v="OK"/>
    <x v="240"/>
    <n v="18"/>
    <d v="2025-01-13T00:00:00"/>
    <d v="2025-01-13T00:00:00"/>
    <x v="0"/>
    <x v="702"/>
    <s v="..\..\Acquisti\2025\EV\FATTURE\EV - VIEMME PORTE ft 18 del 13-01-2025.pdf"/>
    <s v="Bergamo,Via Ghislandi"/>
    <x v="10"/>
    <m/>
    <m/>
    <s v="pagato in data 14/03/2025 tramite assegno la differenza di 75.40 più l'ordine di cu mi deve ancora arrivare fattura"/>
    <m/>
  </r>
  <r>
    <s v="OK"/>
    <x v="240"/>
    <n v="18"/>
    <d v="2025-01-13T00:00:00"/>
    <d v="2025-01-13T00:00:00"/>
    <x v="0"/>
    <x v="703"/>
    <s v="..\..\Acquisti\2025\EV\FATTURE\EV - VIEMME PORTE ft 18 del 13-01-2025.pdf"/>
    <s v="Bergamo,Via Ghislandi"/>
    <x v="7"/>
    <m/>
    <m/>
    <m/>
    <m/>
  </r>
  <r>
    <s v="OK"/>
    <x v="240"/>
    <n v="89"/>
    <d v="2025-01-31T00:00:00"/>
    <d v="2025-01-31T00:00:00"/>
    <x v="0"/>
    <x v="704"/>
    <s v="..\..\Acquisti\2025\EV\FATTURE\EV - VIEMME PORTE nc 89 del 31-01-2025.pdf"/>
    <s v="Storno parziale fattura n. 9142 del 30/11/2024"/>
    <x v="4"/>
    <m/>
    <m/>
    <m/>
    <m/>
  </r>
  <r>
    <s v="OK"/>
    <x v="240"/>
    <n v="1737"/>
    <d v="2025-03-15T00:00:00"/>
    <m/>
    <x v="0"/>
    <x v="705"/>
    <s v="..\..\Acquisti\2025\EV\FATTURE\EV - VIEMME PORTE ft 1737 del 15-03-2025.pdf"/>
    <s v="Ilaria Ghilardini"/>
    <x v="14"/>
    <m/>
    <m/>
    <m/>
    <m/>
  </r>
  <r>
    <s v="OK"/>
    <x v="240"/>
    <n v="2056"/>
    <d v="2025-03-31T00:00:00"/>
    <m/>
    <x v="0"/>
    <x v="706"/>
    <s v="..\..\Acquisti\2025\EV\FATTURE\EV - VIEMME PORTE ft 2056 del 31-03-2025.pdf"/>
    <s v="Torre Boldone"/>
    <x v="7"/>
    <m/>
    <m/>
    <m/>
    <m/>
  </r>
  <r>
    <s v="OK"/>
    <x v="240"/>
    <n v="3469"/>
    <d v="2025-05-23T00:00:00"/>
    <m/>
    <x v="0"/>
    <x v="707"/>
    <s v="..\..\Acquisti\2025\EV\FATTURE\EV - VIEMME PORTE ft 3469 del 23-05-2025.pdf"/>
    <s v="RANICA_ SANTONI_ SOST PANNELLO ESTERNO"/>
    <x v="7"/>
    <d v="2025-07-30T00:00:00"/>
    <m/>
    <s v="BCC"/>
    <m/>
  </r>
  <r>
    <s v="OK"/>
    <x v="240"/>
    <s v="in attesa di fattura"/>
    <d v="2025-07-30T00:00:00"/>
    <m/>
    <x v="0"/>
    <x v="708"/>
    <m/>
    <m/>
    <x v="7"/>
    <m/>
    <m/>
    <m/>
    <m/>
  </r>
  <r>
    <s v="OK"/>
    <x v="240"/>
    <n v="6097"/>
    <d v="2025-08-05T00:00:00"/>
    <d v="2025-09-10T00:00:00"/>
    <x v="0"/>
    <x v="709"/>
    <s v="..\..\Acquisti\2025\EV\FATTURE\EV - VIEMME PORTE ft 6097 del 05-08-2025.pdf"/>
    <s v="VERTOVA "/>
    <x v="7"/>
    <m/>
    <m/>
    <m/>
    <m/>
  </r>
  <r>
    <s v="OK"/>
    <x v="240"/>
    <n v="6486"/>
    <d v="2025-09-09T00:00:00"/>
    <m/>
    <x v="0"/>
    <x v="710"/>
    <s v="..\..\Acquisti\2025\EV\FATTURE\EV - VIEMME PORTA ft 6486 del 09-09-2025.pdf"/>
    <s v="RAPALLO GIULIA "/>
    <x v="7"/>
    <m/>
    <m/>
    <m/>
    <m/>
  </r>
  <r>
    <s v="ft aperta per 65,08"/>
    <x v="240"/>
    <n v="7425"/>
    <d v="2025-10-21T00:00:00"/>
    <d v="2025-10-21T00:00:00"/>
    <x v="0"/>
    <x v="711"/>
    <m/>
    <s v="casa giulia rapallo "/>
    <x v="8"/>
    <d v="2025-10-20T00:00:00"/>
    <n v="295.8"/>
    <s v="bcc 601460"/>
    <m/>
  </r>
  <r>
    <s v="RESIDIO"/>
    <x v="240"/>
    <n v="7425"/>
    <d v="2025-10-21T00:00:00"/>
    <d v="2025-10-21T00:00:00"/>
    <x v="1"/>
    <x v="712"/>
    <m/>
    <s v="casa giulia rapallo "/>
    <x v="8"/>
    <m/>
    <m/>
    <m/>
    <m/>
  </r>
  <r>
    <s v="FT AèERTA PER 36,60"/>
    <x v="240"/>
    <s v="9140"/>
    <d v="2025-12-05T00:00:00"/>
    <d v="2025-01-10T00:00:00"/>
    <x v="0"/>
    <x v="713"/>
    <m/>
    <s v="casa giulia rapallo "/>
    <x v="52"/>
    <m/>
    <n v="5155.1099999999997"/>
    <s v="ASSEGNO NR 0564593391-11 _ POPOLARE DI SONDRIO"/>
    <m/>
  </r>
  <r>
    <s v="RESIDIO"/>
    <x v="240"/>
    <s v="9140"/>
    <d v="2025-12-05T00:00:00"/>
    <d v="2025-01-10T00:00:00"/>
    <x v="1"/>
    <x v="714"/>
    <m/>
    <s v="casa giulia rapallo "/>
    <x v="8"/>
    <m/>
    <m/>
    <m/>
    <m/>
  </r>
  <r>
    <s v="MANCA QUIETANZA "/>
    <x v="241"/>
    <s v="pol 0000907237"/>
    <d v="2025-06-30T00:00:00"/>
    <d v="2025-06-30T00:00:00"/>
    <x v="0"/>
    <x v="715"/>
    <m/>
    <s v="incendio -pol 0000907237"/>
    <x v="7"/>
    <d v="2025-10-20T00:00:00"/>
    <n v="582"/>
    <s v="POP SO _ 2384X38_ pagamento sollecito 572+10 euro di spese"/>
    <m/>
  </r>
  <r>
    <m/>
    <x v="242"/>
    <n v="3725"/>
    <d v="2025-06-09T00:00:00"/>
    <m/>
    <x v="0"/>
    <x v="716"/>
    <s v="..\..\Acquisti\2025\EV\FATTURE\EV - WBX SRL ft 3725 del 09-06-2025.pdf"/>
    <s v="I."/>
    <x v="3"/>
    <m/>
    <m/>
    <m/>
    <m/>
  </r>
  <r>
    <s v="OK"/>
    <x v="243"/>
    <n v="41"/>
    <d v="2025-10-20T00:00:00"/>
    <d v="2025-10-20T00:00:00"/>
    <x v="0"/>
    <x v="717"/>
    <m/>
    <s v="INTERMEDIAZIONE UFF FINALE _ ASSEGNO 0210438638_07"/>
    <x v="52"/>
    <m/>
    <n v="1989"/>
    <s v="BPM"/>
    <m/>
  </r>
  <r>
    <s v="OK"/>
    <x v="244"/>
    <s v="4282895069"/>
    <d v="2023-10-02T00:00:00"/>
    <m/>
    <x v="0"/>
    <x v="718"/>
    <s v="..\..\..\Acquisti\2023\EV\Fatture\EV - WUERTH ft -069 del 02-10-2023.pdf"/>
    <s v="B."/>
    <x v="7"/>
    <m/>
    <m/>
    <s v="CONCORDATO IL PAGAMENTO IN 3 RATE DA 1236,82 CAD. FT 5069+1677+1676"/>
    <m/>
  </r>
  <r>
    <s v="OK"/>
    <x v="244"/>
    <s v="4282901677"/>
    <d v="2023-10-04T00:00:00"/>
    <m/>
    <x v="0"/>
    <x v="719"/>
    <s v="..\..\..\Acquisti\2023\EV\Fatture\EV - WUERTH ft -677 del 04-10-2023.pdf"/>
    <s v="B."/>
    <x v="7"/>
    <d v="2025-07-15T00:00:00"/>
    <m/>
    <s v="RATA 1 _ PAGATA IL 16/07/2025 _ 1236,82 EURO _ bcc 601460"/>
    <m/>
  </r>
  <r>
    <s v="OK"/>
    <x v="244"/>
    <s v="4282901676"/>
    <d v="2023-10-04T00:00:00"/>
    <m/>
    <x v="0"/>
    <x v="720"/>
    <s v="..\..\..\Acquisti\2023\EV\Fatture\EV - WUERTH ft -676 del 04-10-2023.pdf"/>
    <s v="B."/>
    <x v="7"/>
    <m/>
    <m/>
    <s v="RATA 2 _ PAGATA IL 31/07/2025_  1236,82 EURO _ bcc 601460"/>
    <m/>
  </r>
  <r>
    <s v="OK"/>
    <x v="244"/>
    <s v="4282901676"/>
    <d v="2023-10-04T00:00:00"/>
    <m/>
    <x v="0"/>
    <x v="721"/>
    <s v="..\..\..\Acquisti\2023\EV\Fatture\EV - WUERTH ft -676 del 04-10-2023.pdf"/>
    <s v="B."/>
    <x v="7"/>
    <m/>
    <m/>
    <s v="RATA 2 _ PAGATA IL 27/10/2025_  1236,82 EURO _ popso 2384x38"/>
    <m/>
  </r>
  <r>
    <s v="OK"/>
    <x v="244"/>
    <s v="4282901677"/>
    <d v="2025-11-04T00:00:00"/>
    <m/>
    <x v="0"/>
    <x v="722"/>
    <m/>
    <s v="INTERESSI MORATORI "/>
    <x v="8"/>
    <m/>
    <m/>
    <s v="PAGATI CON PIANO DI RIENTRO _ VEDI SOPRA "/>
    <m/>
  </r>
  <r>
    <m/>
    <x v="245"/>
    <s v="2533"/>
    <d v="2025-05-27T00:00:00"/>
    <m/>
    <x v="0"/>
    <x v="723"/>
    <s v="..\..\Acquisti\2025\EV\FATTURE\EV - ZANINONI PACKAGING SRL ft 2533 del 27-05-2025.pdf"/>
    <s v="Varie"/>
    <x v="7"/>
    <m/>
    <m/>
    <m/>
    <m/>
  </r>
  <r>
    <m/>
    <x v="245"/>
    <s v="5624"/>
    <d v="2025-11-13T00:00:00"/>
    <d v="2025-11-13T00:00:00"/>
    <x v="0"/>
    <x v="724"/>
    <m/>
    <s v="Varie"/>
    <x v="7"/>
    <d v="2025-11-13T00:00:00"/>
    <n v="85.18"/>
    <s v="CARTA "/>
    <m/>
  </r>
  <r>
    <m/>
    <x v="245"/>
    <s v="6947"/>
    <d v="2025-12-18T00:00:00"/>
    <d v="2025-12-18T00:00:00"/>
    <x v="0"/>
    <x v="725"/>
    <m/>
    <s v="varie "/>
    <x v="5"/>
    <d v="2025-12-18T00:00:00"/>
    <n v="66.67"/>
    <s v="CARTA "/>
    <m/>
  </r>
  <r>
    <m/>
    <x v="246"/>
    <n v="125003957"/>
    <d v="2025-01-31T00:00:00"/>
    <d v="2025-02-28T00:00:00"/>
    <x v="0"/>
    <x v="726"/>
    <s v="..\..\Acquisti\2025\EV\FATTURE\EV - ZANUTTA SPA ft 125003957 del 31-01-2025.pdf"/>
    <s v="Bergamo, Via Ghislandi"/>
    <x v="11"/>
    <d v="2025-02-28T00:00:00"/>
    <n v="152.38999999999999"/>
    <m/>
    <m/>
  </r>
  <r>
    <m/>
    <x v="246"/>
    <n v="125003957"/>
    <d v="2025-01-31T00:00:00"/>
    <d v="2025-03-31T00:00:00"/>
    <x v="0"/>
    <x v="726"/>
    <s v="..\..\Acquisti\2025\EV\FATTURE\EV - ZANUTTA SPA ft 125003957 del 31-01-2025.pdf"/>
    <s v="Bergamo, Via Ghislandi"/>
    <x v="7"/>
    <d v="2025-04-28T00:00:00"/>
    <n v="152.38999999999999"/>
    <m/>
    <m/>
  </r>
  <r>
    <m/>
    <x v="246"/>
    <s v="124122585"/>
    <d v="2024-12-24T00:00:00"/>
    <d v="2025-02-28T00:00:00"/>
    <x v="0"/>
    <x v="727"/>
    <s v="C:\Users\Ufficio\Desktop\Amministrazione\Acquisti\2024\EV\Fatture\EV - ZANUTTA ft 2585 del 24-12-2024.pdf"/>
    <m/>
    <x v="11"/>
    <d v="2025-04-28T00:00:00"/>
    <n v="694.17"/>
    <m/>
    <m/>
  </r>
  <r>
    <m/>
    <x v="247"/>
    <n v="1"/>
    <d v="2025-01-28T00:00:00"/>
    <m/>
    <x v="0"/>
    <x v="559"/>
    <s v="..\..\Acquisti\2025\EV\FATTURE\EV - ZENONI MAICOL ALESSANDRO ft 1 del 28-01-2025.pdf"/>
    <s v="BG, Via Ghislandi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8FCF3-0E7E-43B0-B4D0-2B74325A4DEE}" name="Tabella pivot1" cacheId="5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5:B66" firstHeaderRow="1" firstDataRow="1" firstDataCol="1" rowPageCount="3" colPageCount="1"/>
  <pivotFields count="14">
    <pivotField showAll="0"/>
    <pivotField axis="axisRow" showAll="0">
      <items count="253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1"/>
        <item x="23"/>
        <item x="24"/>
        <item x="26"/>
        <item x="27"/>
        <item x="29"/>
        <item x="30"/>
        <item x="31"/>
        <item x="32"/>
        <item x="33"/>
        <item m="1" x="250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8"/>
        <item x="61"/>
        <item x="62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m="1" x="251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49"/>
        <item x="198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20"/>
        <item x="221"/>
        <item x="222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142"/>
        <item x="63"/>
        <item x="90"/>
        <item x="95"/>
        <item x="163"/>
        <item x="25"/>
        <item x="28"/>
        <item x="82"/>
        <item x="59"/>
        <item x="64"/>
        <item m="1" x="248"/>
        <item x="147"/>
        <item x="122"/>
        <item x="6"/>
        <item x="16"/>
        <item x="57"/>
        <item x="132"/>
        <item x="173"/>
        <item x="200"/>
        <item x="219"/>
        <item x="233"/>
        <item x="50"/>
        <item x="121"/>
        <item x="123"/>
        <item x="197"/>
        <item x="214"/>
        <item x="223"/>
        <item x="40"/>
        <item x="20"/>
        <item x="22"/>
        <item x="60"/>
        <item x="10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0"/>
        <item x="1"/>
        <item t="default"/>
      </items>
    </pivotField>
    <pivotField axis="axisPage" dataField="1" showAll="0">
      <items count="742">
        <item x="267"/>
        <item x="641"/>
        <item x="546"/>
        <item x="315"/>
        <item x="642"/>
        <item x="620"/>
        <item x="413"/>
        <item x="175"/>
        <item x="263"/>
        <item x="645"/>
        <item x="579"/>
        <item x="18"/>
        <item x="31"/>
        <item x="106"/>
        <item x="376"/>
        <item x="704"/>
        <item x="95"/>
        <item x="148"/>
        <item x="184"/>
        <item x="388"/>
        <item x="62"/>
        <item x="664"/>
        <item x="632"/>
        <item x="490"/>
        <item x="633"/>
        <item x="187"/>
        <item x="489"/>
        <item x="115"/>
        <item x="634"/>
        <item x="37"/>
        <item x="629"/>
        <item x="494"/>
        <item x="667"/>
        <item x="129"/>
        <item x="110"/>
        <item x="483"/>
        <item x="317"/>
        <item x="127"/>
        <item x="125"/>
        <item x="491"/>
        <item x="151"/>
        <item x="676"/>
        <item x="120"/>
        <item x="305"/>
        <item x="631"/>
        <item x="182"/>
        <item x="499"/>
        <item x="36"/>
        <item x="117"/>
        <item x="128"/>
        <item x="435"/>
        <item x="484"/>
        <item x="492"/>
        <item x="126"/>
        <item x="505"/>
        <item x="693"/>
        <item x="655"/>
        <item x="539"/>
        <item x="116"/>
        <item x="628"/>
        <item x="574"/>
        <item x="8"/>
        <item x="651"/>
        <item x="500"/>
        <item x="571"/>
        <item x="406"/>
        <item x="576"/>
        <item x="501"/>
        <item x="569"/>
        <item x="573"/>
        <item x="407"/>
        <item x="178"/>
        <item x="405"/>
        <item x="674"/>
        <item x="648"/>
        <item x="533"/>
        <item x="568"/>
        <item x="650"/>
        <item x="526"/>
        <item x="592"/>
        <item x="612"/>
        <item x="671"/>
        <item x="675"/>
        <item x="498"/>
        <item x="649"/>
        <item x="112"/>
        <item x="190"/>
        <item x="23"/>
        <item x="572"/>
        <item x="627"/>
        <item x="119"/>
        <item x="578"/>
        <item x="155"/>
        <item x="577"/>
        <item x="683"/>
        <item x="570"/>
        <item x="669"/>
        <item x="331"/>
        <item x="714"/>
        <item x="176"/>
        <item x="310"/>
        <item x="147"/>
        <item x="497"/>
        <item x="144"/>
        <item x="118"/>
        <item x="149"/>
        <item x="179"/>
        <item x="401"/>
        <item x="427"/>
        <item x="1"/>
        <item x="441"/>
        <item x="622"/>
        <item x="235"/>
        <item x="306"/>
        <item x="602"/>
        <item x="493"/>
        <item x="522"/>
        <item x="259"/>
        <item x="192"/>
        <item x="685"/>
        <item x="694"/>
        <item x="690"/>
        <item x="601"/>
        <item x="60"/>
        <item x="140"/>
        <item x="699"/>
        <item x="402"/>
        <item x="542"/>
        <item x="180"/>
        <item x="689"/>
        <item x="630"/>
        <item x="696"/>
        <item x="284"/>
        <item x="330"/>
        <item x="139"/>
        <item x="652"/>
        <item x="206"/>
        <item x="506"/>
        <item x="686"/>
        <item x="420"/>
        <item x="496"/>
        <item x="463"/>
        <item x="695"/>
        <item x="465"/>
        <item x="476"/>
        <item x="473"/>
        <item x="467"/>
        <item x="474"/>
        <item x="469"/>
        <item x="461"/>
        <item x="698"/>
        <item x="181"/>
        <item x="138"/>
        <item x="710"/>
        <item x="460"/>
        <item x="712"/>
        <item x="397"/>
        <item x="697"/>
        <item x="471"/>
        <item x="93"/>
        <item x="691"/>
        <item x="606"/>
        <item x="723"/>
        <item x="437"/>
        <item x="438"/>
        <item x="391"/>
        <item x="193"/>
        <item x="183"/>
        <item x="287"/>
        <item x="4"/>
        <item x="590"/>
        <item x="58"/>
        <item x="194"/>
        <item x="328"/>
        <item x="2"/>
        <item x="724"/>
        <item x="544"/>
        <item x="260"/>
        <item x="452"/>
        <item x="504"/>
        <item x="398"/>
        <item x="557"/>
        <item x="113"/>
        <item x="719"/>
        <item x="21"/>
        <item x="447"/>
        <item x="701"/>
        <item x="495"/>
        <item x="226"/>
        <item x="482"/>
        <item x="487"/>
        <item x="5"/>
        <item x="666"/>
        <item x="295"/>
        <item x="419"/>
        <item x="85"/>
        <item x="177"/>
        <item x="51"/>
        <item x="485"/>
        <item x="404"/>
        <item x="253"/>
        <item x="49"/>
        <item x="395"/>
        <item x="529"/>
        <item x="337"/>
        <item x="399"/>
        <item x="663"/>
        <item x="323"/>
        <item x="458"/>
        <item x="684"/>
        <item x="159"/>
        <item x="91"/>
        <item x="459"/>
        <item x="111"/>
        <item x="283"/>
        <item x="236"/>
        <item x="679"/>
        <item x="288"/>
        <item x="282"/>
        <item x="448"/>
        <item x="464"/>
        <item x="439"/>
        <item x="90"/>
        <item x="150"/>
        <item x="472"/>
        <item x="451"/>
        <item x="403"/>
        <item x="726"/>
        <item x="470"/>
        <item x="545"/>
        <item x="396"/>
        <item x="200"/>
        <item x="66"/>
        <item x="440"/>
        <item x="681"/>
        <item x="682"/>
        <item x="154"/>
        <item x="706"/>
        <item x="54"/>
        <item x="381"/>
        <item x="42"/>
        <item x="716"/>
        <item x="433"/>
        <item x="324"/>
        <item x="74"/>
        <item x="423"/>
        <item x="672"/>
        <item x="673"/>
        <item x="243"/>
        <item x="7"/>
        <item x="609"/>
        <item x="705"/>
        <item x="466"/>
        <item x="309"/>
        <item x="76"/>
        <item x="444"/>
        <item x="426"/>
        <item x="468"/>
        <item x="668"/>
        <item x="250"/>
        <item x="615"/>
        <item x="45"/>
        <item x="68"/>
        <item x="707"/>
        <item x="341"/>
        <item x="59"/>
        <item x="114"/>
        <item x="22"/>
        <item x="92"/>
        <item x="339"/>
        <item x="450"/>
        <item x="677"/>
        <item x="145"/>
        <item x="77"/>
        <item x="449"/>
        <item x="322"/>
        <item x="48"/>
        <item x="73"/>
        <item x="27"/>
        <item x="89"/>
        <item x="434"/>
        <item x="453"/>
        <item x="3"/>
        <item x="41"/>
        <item x="43"/>
        <item x="523"/>
        <item x="703"/>
        <item x="78"/>
        <item x="146"/>
        <item x="611"/>
        <item x="47"/>
        <item x="718"/>
        <item x="188"/>
        <item x="537"/>
        <item x="587"/>
        <item x="603"/>
        <item x="521"/>
        <item x="520"/>
        <item x="462"/>
        <item x="280"/>
        <item x="342"/>
        <item x="596"/>
        <item x="335"/>
        <item x="189"/>
        <item x="428"/>
        <item x="304"/>
        <item x="87"/>
        <item x="475"/>
        <item x="604"/>
        <item x="608"/>
        <item x="362"/>
        <item x="373"/>
        <item x="292"/>
        <item x="40"/>
        <item x="670"/>
        <item x="237"/>
        <item x="588"/>
        <item x="614"/>
        <item x="680"/>
        <item x="583"/>
        <item x="400"/>
        <item x="711"/>
        <item x="486"/>
        <item x="543"/>
        <item x="566"/>
        <item x="251"/>
        <item x="623"/>
        <item x="70"/>
        <item x="72"/>
        <item x="232"/>
        <item x="46"/>
        <item x="231"/>
        <item x="244"/>
        <item x="94"/>
        <item x="191"/>
        <item x="44"/>
        <item x="383"/>
        <item x="137"/>
        <item x="613"/>
        <item x="319"/>
        <item x="365"/>
        <item x="513"/>
        <item x="446"/>
        <item x="371"/>
        <item m="1" x="740"/>
        <item x="15"/>
        <item x="442"/>
        <item x="555"/>
        <item x="142"/>
        <item x="575"/>
        <item x="135"/>
        <item x="225"/>
        <item x="722"/>
        <item x="281"/>
        <item x="314"/>
        <item x="196"/>
        <item x="692"/>
        <item x="340"/>
        <item x="551"/>
        <item x="605"/>
        <item x="291"/>
        <item x="515"/>
        <item x="321"/>
        <item x="660"/>
        <item x="255"/>
        <item x="297"/>
        <item x="367"/>
        <item x="415"/>
        <item x="35"/>
        <item x="538"/>
        <item x="352"/>
        <item x="715"/>
        <item x="165"/>
        <item x="197"/>
        <item x="354"/>
        <item x="534"/>
        <item x="610"/>
        <item x="300"/>
        <item x="527"/>
        <item x="168"/>
        <item m="1" x="739"/>
        <item x="17"/>
        <item x="516"/>
        <item x="351"/>
        <item x="361"/>
        <item x="30"/>
        <item x="392"/>
        <item x="195"/>
        <item x="308"/>
        <item x="83"/>
        <item x="234"/>
        <item x="360"/>
        <item x="9"/>
        <item x="412"/>
        <item x="512"/>
        <item x="344"/>
        <item x="71"/>
        <item x="727"/>
        <item x="0"/>
        <item x="700"/>
        <item x="130"/>
        <item x="432"/>
        <item x="199"/>
        <item x="64"/>
        <item x="348"/>
        <item x="52"/>
        <item x="355"/>
        <item x="359"/>
        <item x="347"/>
        <item x="336"/>
        <item x="477"/>
        <item x="363"/>
        <item x="266"/>
        <item x="366"/>
        <item x="659"/>
        <item x="393"/>
        <item x="349"/>
        <item x="702"/>
        <item x="535"/>
        <item x="290"/>
        <item x="350"/>
        <item x="372"/>
        <item x="65"/>
        <item x="411"/>
        <item x="436"/>
        <item m="1" x="736"/>
        <item x="382"/>
        <item x="346"/>
        <item x="581"/>
        <item x="353"/>
        <item x="662"/>
        <item m="1" x="728"/>
        <item x="357"/>
        <item x="55"/>
        <item x="19"/>
        <item x="594"/>
        <item x="661"/>
        <item x="554"/>
        <item x="170"/>
        <item x="239"/>
        <item x="514"/>
        <item x="456"/>
        <item x="158"/>
        <item x="289"/>
        <item x="657"/>
        <item x="334"/>
        <item x="211"/>
        <item x="67"/>
        <item x="311"/>
        <item x="358"/>
        <item x="313"/>
        <item x="431"/>
        <item x="708"/>
        <item x="429"/>
        <item x="345"/>
        <item x="394"/>
        <item x="143"/>
        <item x="414"/>
        <item x="720"/>
        <item x="219"/>
        <item x="34"/>
        <item x="356"/>
        <item x="430"/>
        <item x="658"/>
        <item x="375"/>
        <item x="75"/>
        <item x="26"/>
        <item x="536"/>
        <item x="105"/>
        <item x="559"/>
        <item x="229"/>
        <item x="198"/>
        <item x="593"/>
        <item x="582"/>
        <item x="528"/>
        <item x="84"/>
        <item x="709"/>
        <item x="161"/>
        <item x="12"/>
        <item x="212"/>
        <item x="591"/>
        <item x="102"/>
        <item x="643"/>
        <item x="595"/>
        <item x="598"/>
        <item m="1" x="735"/>
        <item x="338"/>
        <item x="556"/>
        <item x="13"/>
        <item x="721"/>
        <item x="214"/>
        <item x="380"/>
        <item x="665"/>
        <item x="561"/>
        <item x="597"/>
        <item x="425"/>
        <item x="240"/>
        <item x="312"/>
        <item x="599"/>
        <item x="409"/>
        <item x="624"/>
        <item x="316"/>
        <item x="63"/>
        <item x="238"/>
        <item x="32"/>
        <item x="124"/>
        <item x="204"/>
        <item x="717"/>
        <item x="69"/>
        <item x="205"/>
        <item x="386"/>
        <item x="262"/>
        <item x="207"/>
        <item x="230"/>
        <item x="217"/>
        <item x="270"/>
        <item x="14"/>
        <item x="525"/>
        <item x="524"/>
        <item x="209"/>
        <item x="455"/>
        <item x="589"/>
        <item x="416"/>
        <item x="580"/>
        <item x="86"/>
        <item x="417"/>
        <item x="387"/>
        <item x="208"/>
        <item x="210"/>
        <item x="421"/>
        <item x="223"/>
        <item x="254"/>
        <item x="379"/>
        <item x="621"/>
        <item x="100"/>
        <item x="16"/>
        <item x="274"/>
        <item x="273"/>
        <item x="377"/>
        <item x="548"/>
        <item x="203"/>
        <item x="261"/>
        <item x="318"/>
        <item x="519"/>
        <item x="104"/>
        <item x="33"/>
        <item x="101"/>
        <item x="269"/>
        <item x="103"/>
        <item x="172"/>
        <item x="410"/>
        <item x="618"/>
        <item x="553"/>
        <item x="222"/>
        <item x="619"/>
        <item x="617"/>
        <item x="540"/>
        <item x="549"/>
        <item x="162"/>
        <item x="586"/>
        <item x="299"/>
        <item x="256"/>
        <item x="224"/>
        <item x="584"/>
        <item x="307"/>
        <item x="133"/>
        <item x="303"/>
        <item x="560"/>
        <item x="600"/>
        <item x="29"/>
        <item x="384"/>
        <item x="424"/>
        <item x="550"/>
        <item x="585"/>
        <item x="276"/>
        <item x="252"/>
        <item x="562"/>
        <item x="136"/>
        <item x="134"/>
        <item x="186"/>
        <item x="518"/>
        <item x="221"/>
        <item x="541"/>
        <item x="301"/>
        <item x="271"/>
        <item x="272"/>
        <item x="385"/>
        <item m="1" x="737"/>
        <item x="638"/>
        <item x="28"/>
        <item x="454"/>
        <item x="160"/>
        <item x="97"/>
        <item x="639"/>
        <item x="25"/>
        <item x="220"/>
        <item x="654"/>
        <item x="713"/>
        <item x="390"/>
        <item x="107"/>
        <item x="109"/>
        <item x="389"/>
        <item x="218"/>
        <item x="257"/>
        <item x="547"/>
        <item x="294"/>
        <item x="108"/>
        <item x="202"/>
        <item x="320"/>
        <item x="247"/>
        <item x="171"/>
        <item x="408"/>
        <item x="326"/>
        <item x="258"/>
        <item x="246"/>
        <item x="268"/>
        <item x="616"/>
        <item x="132"/>
        <item x="169"/>
        <item x="640"/>
        <item x="228"/>
        <item x="531"/>
        <item x="637"/>
        <item x="216"/>
        <item x="532"/>
        <item x="96"/>
        <item x="249"/>
        <item x="98"/>
        <item x="233"/>
        <item x="636"/>
        <item x="552"/>
        <item x="248"/>
        <item x="378"/>
        <item x="122"/>
        <item x="565"/>
        <item x="123"/>
        <item x="57"/>
        <item x="508"/>
        <item x="530"/>
        <item x="298"/>
        <item m="1" x="731"/>
        <item x="264"/>
        <item x="121"/>
        <item x="644"/>
        <item x="635"/>
        <item x="293"/>
        <item x="227"/>
        <item x="564"/>
        <item x="509"/>
        <item x="99"/>
        <item x="265"/>
        <item m="1" x="732"/>
        <item x="275"/>
        <item m="1" x="738"/>
        <item x="510"/>
        <item x="245"/>
        <item x="656"/>
        <item x="374"/>
        <item x="296"/>
        <item x="10"/>
        <item x="50"/>
        <item x="79"/>
        <item x="80"/>
        <item x="81"/>
        <item x="82"/>
        <item x="88"/>
        <item x="156"/>
        <item x="166"/>
        <item x="167"/>
        <item x="213"/>
        <item x="241"/>
        <item x="279"/>
        <item x="277"/>
        <item x="278"/>
        <item x="285"/>
        <item x="364"/>
        <item x="418"/>
        <item x="443"/>
        <item x="163"/>
        <item x="164"/>
        <item x="457"/>
        <item x="502"/>
        <item x="503"/>
        <item x="517"/>
        <item x="687"/>
        <item x="688"/>
        <item x="725"/>
        <item x="61"/>
        <item m="1" x="733"/>
        <item x="201"/>
        <item x="11"/>
        <item x="20"/>
        <item x="24"/>
        <item m="1" x="730"/>
        <item x="152"/>
        <item x="157"/>
        <item m="1" x="734"/>
        <item x="215"/>
        <item x="242"/>
        <item x="286"/>
        <item x="329"/>
        <item x="368"/>
        <item x="422"/>
        <item x="478"/>
        <item x="479"/>
        <item x="653"/>
        <item x="678"/>
        <item x="173"/>
        <item x="174"/>
        <item x="563"/>
        <item m="1" x="729"/>
        <item x="185"/>
        <item x="6"/>
        <item x="38"/>
        <item x="141"/>
        <item x="507"/>
        <item x="511"/>
        <item x="567"/>
        <item x="626"/>
        <item x="131"/>
        <item x="325"/>
        <item x="327"/>
        <item x="369"/>
        <item x="558"/>
        <item x="480"/>
        <item x="481"/>
        <item x="607"/>
        <item x="646"/>
        <item x="647"/>
        <item x="370"/>
        <item x="39"/>
        <item x="53"/>
        <item x="56"/>
        <item x="153"/>
        <item x="302"/>
        <item x="488"/>
        <item x="625"/>
        <item x="332"/>
        <item x="333"/>
        <item x="343"/>
        <item x="445"/>
        <item t="default"/>
      </items>
    </pivotField>
    <pivotField showAll="0"/>
    <pivotField showAll="0"/>
    <pivotField axis="axisPage" showAll="0">
      <items count="78">
        <item m="1" x="74"/>
        <item m="1" x="76"/>
        <item m="1" x="75"/>
        <item x="25"/>
        <item x="41"/>
        <item x="44"/>
        <item x="10"/>
        <item x="52"/>
        <item x="29"/>
        <item x="7"/>
        <item x="8"/>
        <item x="59"/>
        <item x="43"/>
        <item x="28"/>
        <item x="5"/>
        <item x="50"/>
        <item x="2"/>
        <item x="1"/>
        <item x="3"/>
        <item x="30"/>
        <item x="61"/>
        <item x="49"/>
        <item x="0"/>
        <item x="56"/>
        <item x="14"/>
        <item x="68"/>
        <item x="58"/>
        <item x="46"/>
        <item x="39"/>
        <item x="66"/>
        <item x="67"/>
        <item x="62"/>
        <item x="55"/>
        <item x="11"/>
        <item x="27"/>
        <item x="60"/>
        <item x="17"/>
        <item x="15"/>
        <item x="51"/>
        <item x="45"/>
        <item x="21"/>
        <item x="63"/>
        <item x="64"/>
        <item x="13"/>
        <item x="53"/>
        <item x="47"/>
        <item x="4"/>
        <item x="57"/>
        <item x="22"/>
        <item x="19"/>
        <item x="16"/>
        <item x="6"/>
        <item x="9"/>
        <item x="18"/>
        <item x="20"/>
        <item x="24"/>
        <item x="26"/>
        <item x="31"/>
        <item x="36"/>
        <item x="37"/>
        <item x="38"/>
        <item x="42"/>
        <item x="54"/>
        <item m="1" x="73"/>
        <item x="70"/>
        <item x="71"/>
        <item x="72"/>
        <item x="12"/>
        <item x="23"/>
        <item x="65"/>
        <item x="32"/>
        <item x="33"/>
        <item x="34"/>
        <item x="35"/>
        <item x="40"/>
        <item x="69"/>
        <item x="4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1">
    <i>
      <x v="7"/>
    </i>
    <i>
      <x v="18"/>
    </i>
    <i>
      <x v="23"/>
    </i>
    <i>
      <x v="24"/>
    </i>
    <i>
      <x v="25"/>
    </i>
    <i>
      <x v="26"/>
    </i>
    <i>
      <x v="30"/>
    </i>
    <i>
      <x v="44"/>
    </i>
    <i>
      <x v="53"/>
    </i>
    <i>
      <x v="56"/>
    </i>
    <i>
      <x v="57"/>
    </i>
    <i>
      <x v="59"/>
    </i>
    <i>
      <x v="62"/>
    </i>
    <i>
      <x v="68"/>
    </i>
    <i>
      <x v="70"/>
    </i>
    <i>
      <x v="71"/>
    </i>
    <i>
      <x v="73"/>
    </i>
    <i>
      <x v="74"/>
    </i>
    <i>
      <x v="81"/>
    </i>
    <i>
      <x v="83"/>
    </i>
    <i>
      <x v="88"/>
    </i>
    <i>
      <x v="91"/>
    </i>
    <i>
      <x v="92"/>
    </i>
    <i>
      <x v="94"/>
    </i>
    <i>
      <x v="108"/>
    </i>
    <i>
      <x v="113"/>
    </i>
    <i>
      <x v="114"/>
    </i>
    <i>
      <x v="115"/>
    </i>
    <i>
      <x v="117"/>
    </i>
    <i>
      <x v="123"/>
    </i>
    <i>
      <x v="132"/>
    </i>
    <i>
      <x v="135"/>
    </i>
    <i>
      <x v="137"/>
    </i>
    <i>
      <x v="140"/>
    </i>
    <i>
      <x v="142"/>
    </i>
    <i>
      <x v="145"/>
    </i>
    <i>
      <x v="149"/>
    </i>
    <i>
      <x v="150"/>
    </i>
    <i>
      <x v="164"/>
    </i>
    <i>
      <x v="176"/>
    </i>
    <i>
      <x v="190"/>
    </i>
    <i>
      <x v="191"/>
    </i>
    <i>
      <x v="196"/>
    </i>
    <i>
      <x v="197"/>
    </i>
    <i>
      <x v="200"/>
    </i>
    <i>
      <x v="210"/>
    </i>
    <i>
      <x v="212"/>
    </i>
    <i>
      <x v="223"/>
    </i>
    <i>
      <x v="227"/>
    </i>
    <i>
      <x v="228"/>
    </i>
    <i>
      <x v="231"/>
    </i>
    <i>
      <x v="233"/>
    </i>
    <i>
      <x v="236"/>
    </i>
    <i>
      <x v="240"/>
    </i>
    <i>
      <x v="244"/>
    </i>
    <i>
      <x v="245"/>
    </i>
    <i>
      <x v="246"/>
    </i>
    <i>
      <x v="248"/>
    </i>
    <i>
      <x v="249"/>
    </i>
    <i>
      <x v="250"/>
    </i>
    <i t="grand">
      <x/>
    </i>
  </rowItems>
  <colItems count="1">
    <i/>
  </colItems>
  <pageFields count="3">
    <pageField fld="6" hier="-1"/>
    <pageField fld="5" hier="-1"/>
    <pageField fld="9" hier="-1"/>
  </pageFields>
  <dataFields count="1">
    <dataField name="Somma di Importo" fld="6" baseField="0" baseItem="0" numFmtId="165"/>
  </dataFields>
  <formats count="2">
    <format dxfId="147">
      <pivotArea outline="0" collapsedLevelsAreSubtotals="1" fieldPosition="0"/>
    </format>
    <format dxfId="1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la pivot2" cacheId="4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6:H61" firstHeaderRow="1" firstDataRow="2" firstDataCol="1" rowPageCount="3" colPageCount="1"/>
  <pivotFields count="17">
    <pivotField axis="axisPage" multipleItemSelectionAllowed="1" showAll="0">
      <items count="29">
        <item h="1" x="19"/>
        <item h="1" x="27"/>
        <item h="1" x="11"/>
        <item x="14"/>
        <item h="1" x="6"/>
        <item x="13"/>
        <item h="1" x="23"/>
        <item h="1" x="17"/>
        <item h="1" x="21"/>
        <item h="1" x="9"/>
        <item h="1" x="5"/>
        <item h="1" x="0"/>
        <item h="1" x="2"/>
        <item h="1" x="26"/>
        <item h="1" x="18"/>
        <item h="1" x="10"/>
        <item h="1" x="15"/>
        <item h="1" x="12"/>
        <item h="1" x="22"/>
        <item h="1" x="16"/>
        <item h="1" x="20"/>
        <item h="1" x="8"/>
        <item h="1" x="4"/>
        <item h="1" x="1"/>
        <item h="1" x="3"/>
        <item h="1" x="7"/>
        <item h="1" x="24"/>
        <item h="1" x="25"/>
        <item t="default"/>
      </items>
    </pivotField>
    <pivotField axis="axisRow" showAll="0">
      <items count="130">
        <item x="117"/>
        <item x="67"/>
        <item x="86"/>
        <item x="96"/>
        <item x="22"/>
        <item x="45"/>
        <item m="1" x="127"/>
        <item m="1" x="123"/>
        <item m="1" x="124"/>
        <item x="105"/>
        <item m="1" x="125"/>
        <item m="1" x="126"/>
        <item x="7"/>
        <item x="35"/>
        <item m="1" x="122"/>
        <item x="94"/>
        <item x="99"/>
        <item x="107"/>
        <item x="110"/>
        <item x="113"/>
        <item x="87"/>
        <item x="100"/>
        <item x="109"/>
        <item x="112"/>
        <item x="114"/>
        <item x="84"/>
        <item x="103"/>
        <item x="115"/>
        <item x="15"/>
        <item x="29"/>
        <item x="46"/>
        <item m="1" x="118"/>
        <item x="78"/>
        <item x="85"/>
        <item m="1" x="119"/>
        <item m="1" x="120"/>
        <item x="102"/>
        <item x="101"/>
        <item x="108"/>
        <item x="1"/>
        <item x="2"/>
        <item x="3"/>
        <item x="5"/>
        <item x="6"/>
        <item x="8"/>
        <item x="4"/>
        <item x="9"/>
        <item x="10"/>
        <item x="11"/>
        <item x="14"/>
        <item x="12"/>
        <item x="13"/>
        <item x="16"/>
        <item x="17"/>
        <item x="19"/>
        <item x="18"/>
        <item x="20"/>
        <item x="21"/>
        <item x="30"/>
        <item x="24"/>
        <item x="23"/>
        <item x="25"/>
        <item x="26"/>
        <item x="27"/>
        <item x="28"/>
        <item x="31"/>
        <item x="32"/>
        <item x="34"/>
        <item x="36"/>
        <item x="33"/>
        <item x="37"/>
        <item x="38"/>
        <item x="40"/>
        <item x="41"/>
        <item x="43"/>
        <item x="42"/>
        <item x="44"/>
        <item x="39"/>
        <item x="47"/>
        <item x="48"/>
        <item m="1" x="128"/>
        <item x="49"/>
        <item x="50"/>
        <item x="51"/>
        <item x="52"/>
        <item x="53"/>
        <item x="54"/>
        <item x="60"/>
        <item x="63"/>
        <item x="62"/>
        <item x="80"/>
        <item x="77"/>
        <item x="93"/>
        <item x="104"/>
        <item x="97"/>
        <item x="111"/>
        <item x="0"/>
        <item x="55"/>
        <item x="56"/>
        <item x="57"/>
        <item m="1" x="121"/>
        <item x="58"/>
        <item x="68"/>
        <item x="73"/>
        <item x="59"/>
        <item x="61"/>
        <item x="64"/>
        <item x="66"/>
        <item x="70"/>
        <item x="116"/>
        <item x="69"/>
        <item x="95"/>
        <item x="98"/>
        <item x="106"/>
        <item x="65"/>
        <item x="71"/>
        <item x="72"/>
        <item x="74"/>
        <item x="75"/>
        <item x="76"/>
        <item x="79"/>
        <item x="81"/>
        <item x="82"/>
        <item x="83"/>
        <item x="88"/>
        <item x="89"/>
        <item x="90"/>
        <item x="91"/>
        <item x="92"/>
        <item t="default"/>
      </items>
    </pivotField>
    <pivotField axis="axisRow" showAll="0">
      <items count="187">
        <item x="0"/>
        <item x="155"/>
        <item x="100"/>
        <item x="16"/>
        <item x="15"/>
        <item x="66"/>
        <item x="166"/>
        <item x="85"/>
        <item x="19"/>
        <item x="104"/>
        <item x="64"/>
        <item x="52"/>
        <item x="61"/>
        <item x="50"/>
        <item x="144"/>
        <item x="163"/>
        <item x="156"/>
        <item x="91"/>
        <item x="42"/>
        <item m="1" x="175"/>
        <item x="28"/>
        <item x="29"/>
        <item x="86"/>
        <item x="105"/>
        <item x="39"/>
        <item x="133"/>
        <item x="71"/>
        <item x="111"/>
        <item x="24"/>
        <item x="92"/>
        <item x="84"/>
        <item x="164"/>
        <item x="63"/>
        <item x="161"/>
        <item x="106"/>
        <item x="41"/>
        <item x="53"/>
        <item x="27"/>
        <item x="168"/>
        <item x="165"/>
        <item x="80"/>
        <item x="65"/>
        <item x="101"/>
        <item x="22"/>
        <item x="9"/>
        <item x="112"/>
        <item x="23"/>
        <item x="21"/>
        <item x="10"/>
        <item x="76"/>
        <item x="60"/>
        <item x="72"/>
        <item x="109"/>
        <item x="75"/>
        <item x="130"/>
        <item x="44"/>
        <item x="87"/>
        <item x="51"/>
        <item x="25"/>
        <item x="158"/>
        <item x="35"/>
        <item x="30"/>
        <item x="78"/>
        <item x="108"/>
        <item x="93"/>
        <item x="58"/>
        <item x="157"/>
        <item x="56"/>
        <item x="150"/>
        <item x="59"/>
        <item x="20"/>
        <item x="31"/>
        <item x="37"/>
        <item x="49"/>
        <item x="83"/>
        <item x="45"/>
        <item x="115"/>
        <item x="114"/>
        <item x="103"/>
        <item x="110"/>
        <item x="95"/>
        <item x="34"/>
        <item x="26"/>
        <item x="13"/>
        <item x="159"/>
        <item x="48"/>
        <item x="46"/>
        <item x="70"/>
        <item x="96"/>
        <item x="139"/>
        <item x="170"/>
        <item x="169"/>
        <item x="62"/>
        <item x="8"/>
        <item x="12"/>
        <item x="94"/>
        <item m="1" x="184"/>
        <item x="116"/>
        <item x="167"/>
        <item m="1" x="173"/>
        <item x="118"/>
        <item x="43"/>
        <item x="54"/>
        <item x="97"/>
        <item x="146"/>
        <item x="89"/>
        <item x="2"/>
        <item x="7"/>
        <item x="18"/>
        <item x="3"/>
        <item x="129"/>
        <item x="67"/>
        <item x="117"/>
        <item x="77"/>
        <item x="119"/>
        <item x="81"/>
        <item x="38"/>
        <item x="74"/>
        <item x="99"/>
        <item x="82"/>
        <item m="1" x="182"/>
        <item x="69"/>
        <item x="68"/>
        <item x="47"/>
        <item x="102"/>
        <item x="6"/>
        <item x="5"/>
        <item x="90"/>
        <item x="57"/>
        <item x="171"/>
        <item x="79"/>
        <item m="1" x="177"/>
        <item x="11"/>
        <item m="1" x="181"/>
        <item m="1" x="178"/>
        <item m="1" x="179"/>
        <item m="1" x="176"/>
        <item m="1" x="180"/>
        <item x="136"/>
        <item x="40"/>
        <item x="55"/>
        <item x="107"/>
        <item x="134"/>
        <item x="140"/>
        <item m="1" x="185"/>
        <item x="147"/>
        <item x="162"/>
        <item x="14"/>
        <item x="98"/>
        <item x="33"/>
        <item x="4"/>
        <item m="1" x="174"/>
        <item x="32"/>
        <item x="160"/>
        <item x="73"/>
        <item x="1"/>
        <item x="17"/>
        <item x="88"/>
        <item m="1" x="183"/>
        <item x="113"/>
        <item x="120"/>
        <item x="121"/>
        <item x="122"/>
        <item x="123"/>
        <item x="131"/>
        <item x="132"/>
        <item x="128"/>
        <item x="148"/>
        <item x="149"/>
        <item x="154"/>
        <item m="1" x="172"/>
        <item x="124"/>
        <item x="125"/>
        <item x="135"/>
        <item x="152"/>
        <item x="126"/>
        <item x="127"/>
        <item x="36"/>
        <item x="151"/>
        <item x="153"/>
        <item x="137"/>
        <item x="138"/>
        <item x="141"/>
        <item x="142"/>
        <item x="143"/>
        <item x="145"/>
        <item t="default"/>
      </items>
    </pivotField>
    <pivotField dataField="1" showAll="0"/>
    <pivotField axis="axisPage" multipleItemSelectionAllowed="1" showAll="0">
      <items count="4">
        <item h="1" x="2"/>
        <item x="1"/>
        <item h="1" x="0"/>
        <item t="default"/>
      </items>
    </pivotField>
    <pivotField axis="axisPage" multipleItemSelectionAllowed="1" showAll="0">
      <items count="5">
        <item h="1" x="2"/>
        <item h="1" x="1"/>
        <item h="1" x="0"/>
        <item x="3"/>
        <item t="default"/>
      </items>
    </pivotField>
    <pivotField axis="axisCol" showAll="0">
      <items count="23">
        <item x="6"/>
        <item x="9"/>
        <item m="1" x="21"/>
        <item x="8"/>
        <item x="16"/>
        <item x="5"/>
        <item x="7"/>
        <item x="2"/>
        <item x="10"/>
        <item x="3"/>
        <item x="1"/>
        <item x="4"/>
        <item x="0"/>
        <item x="15"/>
        <item x="12"/>
        <item m="1" x="20"/>
        <item m="1" x="19"/>
        <item x="11"/>
        <item m="1" x="18"/>
        <item m="1" x="17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54">
    <i>
      <x v="36"/>
    </i>
    <i r="1">
      <x v="92"/>
    </i>
    <i>
      <x v="52"/>
    </i>
    <i r="1">
      <x v="20"/>
    </i>
    <i r="1">
      <x v="25"/>
    </i>
    <i>
      <x v="57"/>
    </i>
    <i r="1">
      <x v="20"/>
    </i>
    <i>
      <x v="68"/>
    </i>
    <i r="1">
      <x v="25"/>
    </i>
    <i>
      <x v="81"/>
    </i>
    <i r="1">
      <x v="25"/>
    </i>
    <i>
      <x v="82"/>
    </i>
    <i r="1">
      <x v="20"/>
    </i>
    <i>
      <x v="104"/>
    </i>
    <i r="1">
      <x v="90"/>
    </i>
    <i>
      <x v="109"/>
    </i>
    <i r="1">
      <x v="20"/>
    </i>
    <i>
      <x v="113"/>
    </i>
    <i r="1">
      <x v="91"/>
    </i>
    <i>
      <x v="116"/>
    </i>
    <i r="1">
      <x v="20"/>
    </i>
    <i r="1">
      <x v="25"/>
    </i>
    <i>
      <x v="124"/>
    </i>
    <i r="1">
      <x v="20"/>
    </i>
    <i r="1">
      <x v="91"/>
    </i>
    <i>
      <x v="126"/>
    </i>
    <i r="1">
      <x v="20"/>
    </i>
    <i r="1">
      <x v="25"/>
    </i>
    <i>
      <x v="132"/>
    </i>
    <i r="1">
      <x v="15"/>
    </i>
    <i>
      <x v="141"/>
    </i>
    <i r="1">
      <x v="20"/>
    </i>
    <i>
      <x v="142"/>
    </i>
    <i r="1">
      <x v="92"/>
    </i>
    <i r="1">
      <x v="110"/>
    </i>
    <i>
      <x v="143"/>
    </i>
    <i r="1">
      <x v="91"/>
    </i>
    <i r="1">
      <x v="92"/>
    </i>
    <i>
      <x v="145"/>
    </i>
    <i r="1">
      <x v="91"/>
    </i>
    <i>
      <x v="156"/>
    </i>
    <i r="1">
      <x v="92"/>
    </i>
    <i>
      <x v="168"/>
    </i>
    <i r="1">
      <x v="20"/>
    </i>
    <i r="1">
      <x v="25"/>
    </i>
    <i>
      <x v="174"/>
    </i>
    <i r="1">
      <x v="20"/>
    </i>
    <i>
      <x v="177"/>
    </i>
    <i r="1">
      <x v="20"/>
    </i>
    <i>
      <x v="178"/>
    </i>
    <i r="1">
      <x v="25"/>
    </i>
    <i>
      <x v="179"/>
    </i>
    <i r="1">
      <x v="92"/>
    </i>
    <i t="grand">
      <x/>
    </i>
  </rowItems>
  <colFields count="1">
    <field x="6"/>
  </colFields>
  <colItems count="7">
    <i>
      <x v="5"/>
    </i>
    <i>
      <x v="6"/>
    </i>
    <i>
      <x v="7"/>
    </i>
    <i>
      <x v="9"/>
    </i>
    <i>
      <x v="11"/>
    </i>
    <i>
      <x v="14"/>
    </i>
    <i t="grand">
      <x/>
    </i>
  </colItems>
  <pageFields count="3">
    <pageField fld="4" hier="-1"/>
    <pageField fld="0" hier="-1"/>
    <pageField fld="5" hier="-1"/>
  </pageFields>
  <dataFields count="1">
    <dataField name="Somma di Importo €" fld="3" baseField="0" baseItem="0" numFmtId="164"/>
  </dataFields>
  <formats count="3">
    <format dxfId="145">
      <pivotArea outline="0" collapsedLevelsAreSubtotals="1" fieldPosition="0"/>
    </format>
    <format dxfId="144">
      <pivotArea dataOnly="0" labelOnly="1" outline="0" fieldPosition="0">
        <references count="1">
          <reference field="4" count="0"/>
        </references>
      </pivotArea>
    </format>
    <format dxfId="1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1000000}" name="Tabella pivot3" cacheId="35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>
  <location ref="A1:E82" firstHeaderRow="1" firstDataRow="2" firstDataCol="1"/>
  <pivotFields count="4">
    <pivotField subtotalTop="0" showAll="0"/>
    <pivotField axis="axisRow" subtotalTop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m="1" x="80"/>
        <item x="78"/>
        <item t="default"/>
      </items>
    </pivotField>
    <pivotField dataField="1" subtotalTop="0" showAll="0"/>
    <pivotField axis="axisCol" subtotalTop="0" showAll="0">
      <items count="5">
        <item x="2"/>
        <item x="1"/>
        <item x="0"/>
        <item x="3"/>
        <item t="default"/>
      </items>
    </pivotField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omma di Importo €" fld="2" baseField="0" baseItem="0" numFmtId="166"/>
  </dataFields>
  <formats count="2">
    <format dxfId="1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BAAF28C5-6449-406F-B5BF-0666A1A357C9}" autoFormatId="16" applyNumberFormats="0" applyBorderFormats="0" applyFontFormats="0" applyPatternFormats="0" applyAlignmentFormats="0" applyWidthHeightFormats="0">
  <queryTableRefresh nextId="14">
    <queryTableFields count="12">
      <queryTableField id="1" name="Column1" tableColumnId="1"/>
      <queryTableField id="2" name="fornitore" tableColumnId="2"/>
      <queryTableField id="3" name="fattura nr" tableColumnId="3"/>
      <queryTableField id="4" name="del" tableColumnId="4"/>
      <queryTableField id="5" name="Scadenza" tableColumnId="5"/>
      <queryTableField id="6" name="Sdo" tableColumnId="6"/>
      <queryTableField id="7" name="Importo" tableColumnId="7"/>
      <queryTableField id="9" name="Cantiere" tableColumnId="9"/>
      <queryTableField id="10" name="Modalità_x000a_pagamento" tableColumnId="10"/>
      <queryTableField id="11" name="Data_x000a_pagamento" tableColumnId="11"/>
      <queryTableField id="12" name="Importo_x000a_pagamento" tableColumnId="12"/>
      <queryTableField id="13" name="NOT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59B0AB29-1990-499C-B12A-0C032C4DF64F}" autoFormatId="16" applyNumberFormats="0" applyBorderFormats="0" applyFontFormats="0" applyPatternFormats="0" applyAlignmentFormats="0" applyWidthHeightFormats="0">
  <queryTableRefresh nextId="11">
    <queryTableFields count="10">
      <queryTableField id="1" name="Fornitore" tableColumnId="1"/>
      <queryTableField id="2" name="Fattura" tableColumnId="2"/>
      <queryTableField id="3" name="Data" tableColumnId="3"/>
      <queryTableField id="4" name="Scadenza" tableColumnId="4"/>
      <queryTableField id="5" name="S.do" tableColumnId="5"/>
      <queryTableField id="6" name="Importo" tableColumnId="6"/>
      <queryTableField id="7" name="Cantiere" tableColumnId="7"/>
      <queryTableField id="8" name="Mod.Pag" tableColumnId="8"/>
      <queryTableField id="9" name="IVA" tableColumnId="9"/>
      <queryTableField id="10" name="Data Pag.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79F61424-9819-4B87-BB23-2925D7D443D3}" autoFormatId="16" applyNumberFormats="0" applyBorderFormats="0" applyFontFormats="0" applyPatternFormats="0" applyAlignmentFormats="0" applyWidthHeightFormats="0">
  <queryTableRefresh nextId="14">
    <queryTableFields count="12">
      <queryTableField id="1" name="Column1" tableColumnId="1"/>
      <queryTableField id="2" name="fornitore" tableColumnId="2"/>
      <queryTableField id="3" name="fattura nr" tableColumnId="3"/>
      <queryTableField id="4" name="del" tableColumnId="4"/>
      <queryTableField id="5" name="Scadenza" tableColumnId="5"/>
      <queryTableField id="6" name="Sdo" tableColumnId="6"/>
      <queryTableField id="7" name="Importo" tableColumnId="7"/>
      <queryTableField id="9" name="Cantiere" tableColumnId="9"/>
      <queryTableField id="10" name="Modalità_x000a_pagamento" tableColumnId="10"/>
      <queryTableField id="11" name="Data_x000a_pagamento" tableColumnId="11"/>
      <queryTableField id="12" name="Importo_x000a_pagamento" tableColumnId="12"/>
      <queryTableField id="13" name="NOTE" tableColumnId="13"/>
    </queryTableFields>
    <queryTableDeletedFields count="1">
      <deletedField name="Ft in pdf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CD464731-A333-494F-B1BD-CC7DE38BF486}" autoFormatId="16" applyNumberFormats="0" applyBorderFormats="0" applyFontFormats="0" applyPatternFormats="0" applyAlignmentFormats="0" applyWidthHeightFormats="0">
  <queryTableRefresh nextId="22">
    <queryTableFields count="10">
      <queryTableField id="1" name="fornitore" tableColumnId="1"/>
      <queryTableField id="13" name="Fattura" tableColumnId="2"/>
      <queryTableField id="14" name="Data" tableColumnId="3"/>
      <queryTableField id="4" name="Scadenza" tableColumnId="4"/>
      <queryTableField id="15" name="S.do" tableColumnId="5"/>
      <queryTableField id="6" name="Importo" tableColumnId="6"/>
      <queryTableField id="7" name="Cantiere" tableColumnId="7"/>
      <queryTableField id="16" name="Mod.Pag" tableColumnId="8"/>
      <queryTableField id="17" name="IVA" tableColumnId="9"/>
      <queryTableField id="18" name="Data Pag.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808A4-76BB-4C04-AB84-6B34F1E95374}" name="tania_fornitori" displayName="tania_fornitori" ref="A1:L1240" tableType="queryTable" totalsRowShown="0">
  <autoFilter ref="A1:L1240" xr:uid="{5E8808A4-76BB-4C04-AB84-6B34F1E95374}">
    <filterColumn colId="1">
      <filters>
        <filter val="pc genesi di bosio ferruccio"/>
      </filters>
    </filterColumn>
  </autoFilter>
  <tableColumns count="12">
    <tableColumn id="1" xr3:uid="{4BBC62CD-15BC-4FE5-AF37-0ECC3339CAFF}" uniqueName="1" name="Column1" queryTableFieldId="1" dataDxfId="16"/>
    <tableColumn id="2" xr3:uid="{850C7A0F-9FF6-427C-9A89-572857D94053}" uniqueName="2" name="fornitore" queryTableFieldId="2" dataDxfId="15"/>
    <tableColumn id="3" xr3:uid="{D629C262-813A-438F-8A91-6376162DF362}" uniqueName="3" name="fattura nr" queryTableFieldId="3" dataDxfId="14"/>
    <tableColumn id="4" xr3:uid="{4F32CC7C-1475-4EC5-891A-59C20011E4DF}" uniqueName="4" name="del" queryTableFieldId="4" dataDxfId="13"/>
    <tableColumn id="5" xr3:uid="{AB51EE30-F1A4-42DA-9405-D6B2885CB024}" uniqueName="5" name="Scadenza" queryTableFieldId="5" dataDxfId="12"/>
    <tableColumn id="6" xr3:uid="{C3987EB4-06AB-4A8A-AEE4-D51FA3756234}" uniqueName="6" name="Sdo" queryTableFieldId="6" dataDxfId="11"/>
    <tableColumn id="7" xr3:uid="{8665B7DD-0639-42D5-9E13-DD052CA7924C}" uniqueName="7" name="Importo" queryTableFieldId="7" dataDxfId="10"/>
    <tableColumn id="9" xr3:uid="{BD44242F-D55A-4101-9939-BF4944581DEE}" uniqueName="9" name="Cantiere" queryTableFieldId="9" dataDxfId="9"/>
    <tableColumn id="10" xr3:uid="{5158F6D3-DFC1-4B4F-A8C1-BF86D73C803F}" uniqueName="10" name="Modalità_x000a_pagamento" queryTableFieldId="10" dataDxfId="8"/>
    <tableColumn id="11" xr3:uid="{E29AD944-80C4-449C-9037-79D99CD367A7}" uniqueName="11" name="Data_x000a_pagamento" queryTableFieldId="11" dataDxfId="7"/>
    <tableColumn id="12" xr3:uid="{7D61A333-DAFB-4DC6-8CFE-BFCBD1BB6A84}" uniqueName="12" name="Importo_x000a_pagamento" queryTableFieldId="12" dataDxfId="6"/>
    <tableColumn id="13" xr3:uid="{E321A223-8B1E-471F-A3CE-3FDF88C5FD80}" uniqueName="13" name="NOTE" queryTableFieldId="13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1B6D20-67B4-4CA4-A6BB-44898D56788F}" name="report_xml" displayName="report_xml" ref="A1:J702" tableType="queryTable" totalsRowShown="0">
  <autoFilter ref="A1:J702" xr:uid="{BD1B6D20-67B4-4CA4-A6BB-44898D56788F}">
    <filterColumn colId="0">
      <filters>
        <filter val="agriristorante sant'alessandro s.r.l."/>
        <filter val="iris mobili s.r.l."/>
        <filter val="iris mobili srl"/>
      </filters>
    </filterColumn>
  </autoFilter>
  <sortState xmlns:xlrd2="http://schemas.microsoft.com/office/spreadsheetml/2017/richdata2" ref="A2:J702">
    <sortCondition ref="A1:A702"/>
  </sortState>
  <tableColumns count="10">
    <tableColumn id="1" xr3:uid="{D03F6124-A386-495F-9997-ACDBDE714587}" uniqueName="1" name="Fornitore" queryTableFieldId="1" dataDxfId="174"/>
    <tableColumn id="2" xr3:uid="{3512D9DA-1A79-4A6A-AA3C-D20A1A714660}" uniqueName="2" name="Fattura" queryTableFieldId="2" dataDxfId="173"/>
    <tableColumn id="3" xr3:uid="{6423D193-1CB7-4EC2-993E-99195C60752B}" uniqueName="3" name="Data" queryTableFieldId="3" dataDxfId="27"/>
    <tableColumn id="4" xr3:uid="{D161E415-88D4-4844-92C7-0D69F7D9DD3E}" uniqueName="4" name="Scadenza" queryTableFieldId="4" dataDxfId="26"/>
    <tableColumn id="5" xr3:uid="{E4FED49E-63EB-4777-83C7-19141A69A096}" uniqueName="5" name="S.do" queryTableFieldId="5"/>
    <tableColumn id="6" xr3:uid="{5830455A-5B9B-4D26-8750-352F84FC9E63}" uniqueName="6" name="Importo" queryTableFieldId="6" dataDxfId="25"/>
    <tableColumn id="7" xr3:uid="{5CCDD19B-8393-45A5-8B67-36F5A426C4B5}" uniqueName="7" name="Cantiere" queryTableFieldId="7" dataDxfId="172"/>
    <tableColumn id="8" xr3:uid="{AFE3F550-7A5F-4DF0-A76F-A3A1AB5AE5FC}" uniqueName="8" name="Mod.Pag" queryTableFieldId="8" dataDxfId="171"/>
    <tableColumn id="9" xr3:uid="{B3D913F5-B6A5-4660-8C6B-05EB838ABD08}" uniqueName="9" name="IVA" queryTableFieldId="9" dataDxfId="24"/>
    <tableColumn id="10" xr3:uid="{86CBB2DE-018F-421C-BCCC-C88230DEE8A7}" uniqueName="10" name="Data Pag." queryTableFieldId="10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853498C-A99D-43D3-A629-9EBCFEC68A9B}" name="unione_tania_main" displayName="unione_tania_main" ref="A1:L316" tableType="queryTable" totalsRowShown="0">
  <autoFilter ref="A1:L316" xr:uid="{D853498C-A99D-43D3-A629-9EBCFEC68A9B}"/>
  <tableColumns count="12">
    <tableColumn id="1" xr3:uid="{15D1E7B2-1030-46B2-9BFE-9254AACE6163}" uniqueName="1" name="Column1" queryTableFieldId="1"/>
    <tableColumn id="2" xr3:uid="{4E5FA169-4C81-471D-9100-29A1F7346717}" uniqueName="2" name="fornitore" queryTableFieldId="2"/>
    <tableColumn id="3" xr3:uid="{FF07AB35-0945-4638-8309-56CC251D477E}" uniqueName="3" name="fattura nr" queryTableFieldId="3"/>
    <tableColumn id="4" xr3:uid="{3E2D8E53-F87E-45E0-A299-C2C9D8B42BC5}" uniqueName="4" name="del" queryTableFieldId="4" dataDxfId="4"/>
    <tableColumn id="5" xr3:uid="{40565995-2FB6-483F-88C4-F27A945503C3}" uniqueName="5" name="Scadenza" queryTableFieldId="5" dataDxfId="3"/>
    <tableColumn id="6" xr3:uid="{B16C9DC7-0EAA-467B-BD10-005FEB1040DD}" uniqueName="6" name="Sdo" queryTableFieldId="6"/>
    <tableColumn id="7" xr3:uid="{A6F537CF-3179-46B2-8AE0-5DFD3897DD83}" uniqueName="7" name="Importo" queryTableFieldId="7" dataDxfId="2"/>
    <tableColumn id="9" xr3:uid="{4D4E5BCD-6D2D-4883-9E23-8C1D9CAD333C}" uniqueName="9" name="Cantiere" queryTableFieldId="9"/>
    <tableColumn id="10" xr3:uid="{11890438-E4F8-4A71-95E3-A92755D35A53}" uniqueName="10" name="Modalità_x000a_pagamento" queryTableFieldId="10"/>
    <tableColumn id="11" xr3:uid="{4DB3368E-7AE2-40A4-852C-093DA2665D5D}" uniqueName="11" name="Data_x000a_pagamento" queryTableFieldId="11" dataDxfId="1"/>
    <tableColumn id="12" xr3:uid="{5DA1FF63-749C-4F36-BA30-F240F9B25110}" uniqueName="12" name="Importo_x000a_pagamento" queryTableFieldId="12" dataDxfId="0"/>
    <tableColumn id="13" xr3:uid="{8C42302C-7054-4031-9D67-774671896A44}" uniqueName="13" name="NOTE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D33804-5B0E-48CB-A180-CC4E4D3C05D4}" name="unione_report_main" displayName="unione_report_main" ref="A1:J61" tableType="queryTable" totalsRowShown="0">
  <autoFilter ref="A1:J61" xr:uid="{11D33804-5B0E-48CB-A180-CC4E4D3C05D4}">
    <filterColumn colId="4">
      <filters blank="1"/>
    </filterColumn>
  </autoFilter>
  <tableColumns count="10">
    <tableColumn id="1" xr3:uid="{6063AE2A-290D-440B-A21D-0093FA32E9DD}" uniqueName="1" name="Fornitore" queryTableFieldId="1" dataDxfId="170"/>
    <tableColumn id="2" xr3:uid="{6956A3F9-6752-4DE7-9C46-ADB2275E2794}" uniqueName="2" name="Fattura" queryTableFieldId="13" dataDxfId="169"/>
    <tableColumn id="3" xr3:uid="{35F577B1-CF02-483C-B642-350098AC17E7}" uniqueName="3" name="Data" queryTableFieldId="14" dataDxfId="22"/>
    <tableColumn id="4" xr3:uid="{43E1791F-88BA-4995-BD1D-80339C2D8F24}" uniqueName="4" name="Scadenza" queryTableFieldId="4" dataDxfId="21"/>
    <tableColumn id="5" xr3:uid="{CD734707-7FD1-463F-9B68-10B781A28865}" uniqueName="5" name="S.do" queryTableFieldId="15"/>
    <tableColumn id="6" xr3:uid="{0DCAB11D-AA76-4B0E-A3DE-16C9FD9C62EF}" uniqueName="6" name="Importo" queryTableFieldId="6" dataDxfId="20"/>
    <tableColumn id="7" xr3:uid="{5AD6FD77-18CF-4E7B-9B7B-05B6F4F7F4CE}" uniqueName="7" name="Cantiere" queryTableFieldId="7" dataDxfId="19"/>
    <tableColumn id="8" xr3:uid="{935C2492-07E1-400F-AE90-E6957BFE5037}" uniqueName="8" name="Mod.Pag" queryTableFieldId="16" dataDxfId="168"/>
    <tableColumn id="9" xr3:uid="{1DE6CDE4-A5CA-4B8B-9356-0AFEF2288D24}" uniqueName="9" name="IVA" queryTableFieldId="17" dataDxfId="18"/>
    <tableColumn id="10" xr3:uid="{0D750D2E-C689-4C0C-AF4B-139010B4DDCC}" uniqueName="10" name="Data Pag." queryTableFieldId="18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Fatture_statico" displayName="Tbl_Fatture_statico" ref="A1:N1001" totalsRowShown="0" headerRowDxfId="167" dataDxfId="166" tableBorderDxfId="165">
  <autoFilter ref="A1:N1001" xr:uid="{00000000-0009-0000-0100-000003000000}">
    <filterColumn colId="1">
      <filters>
        <filter val="Termoidraulica V.M"/>
      </filters>
    </filterColumn>
  </autoFilter>
  <sortState xmlns:xlrd2="http://schemas.microsoft.com/office/spreadsheetml/2017/richdata2" ref="A2:N1001">
    <sortCondition ref="B1:B1001"/>
  </sortState>
  <tableColumns count="14">
    <tableColumn id="1" xr3:uid="{00000000-0010-0000-0200-000001000000}" name="APPUNTI" dataDxfId="164"/>
    <tableColumn id="2" xr3:uid="{00000000-0010-0000-0200-000002000000}" name="fornitore" dataDxfId="163"/>
    <tableColumn id="3" xr3:uid="{00000000-0010-0000-0200-000003000000}" name="fattura nr" dataDxfId="162"/>
    <tableColumn id="4" xr3:uid="{00000000-0010-0000-0200-000004000000}" name="del" dataDxfId="161"/>
    <tableColumn id="5" xr3:uid="{00000000-0010-0000-0200-000005000000}" name="Scadenza" dataDxfId="160"/>
    <tableColumn id="6" xr3:uid="{00000000-0010-0000-0200-000006000000}" name="Sdo" dataDxfId="159"/>
    <tableColumn id="7" xr3:uid="{00000000-0010-0000-0200-000007000000}" name="Importo" dataDxfId="158"/>
    <tableColumn id="8" xr3:uid="{00000000-0010-0000-0200-000008000000}" name="Ft in pdf" dataDxfId="157"/>
    <tableColumn id="9" xr3:uid="{00000000-0010-0000-0200-000009000000}" name="Cantiere" dataDxfId="156"/>
    <tableColumn id="10" xr3:uid="{00000000-0010-0000-0200-00000A000000}" name="Modalità_x000a_pagamento" dataDxfId="155"/>
    <tableColumn id="11" xr3:uid="{00000000-0010-0000-0200-00000B000000}" name="Data_x000a_pagamento" dataDxfId="154"/>
    <tableColumn id="12" xr3:uid="{00000000-0010-0000-0200-00000C000000}" name="Importo_x000a_pagamento" dataDxfId="153" dataCellStyle="Valuta"/>
    <tableColumn id="13" xr3:uid="{00000000-0010-0000-0200-00000D000000}" name="NOTE" dataDxfId="152"/>
    <tableColumn id="14" xr3:uid="{00000000-0010-0000-0200-00000E000000}" name="Colonna1" dataDxfId="1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a10" displayName="Tabella10" ref="A1:M839" totalsRowShown="0">
  <autoFilter ref="A1:M839" xr:uid="{00000000-0009-0000-0100-000004000000}"/>
  <sortState xmlns:xlrd2="http://schemas.microsoft.com/office/spreadsheetml/2017/richdata2" ref="A2:M839">
    <sortCondition ref="B1:B839"/>
  </sortState>
  <tableColumns count="13">
    <tableColumn id="1" xr3:uid="{00000000-0010-0000-0300-000001000000}" name="Column1"/>
    <tableColumn id="2" xr3:uid="{00000000-0010-0000-0300-000002000000}" name="fornitore"/>
    <tableColumn id="3" xr3:uid="{00000000-0010-0000-0300-000003000000}" name="fattura nr"/>
    <tableColumn id="4" xr3:uid="{00000000-0010-0000-0300-000004000000}" name="del" dataDxfId="150"/>
    <tableColumn id="5" xr3:uid="{00000000-0010-0000-0300-000005000000}" name="Scadenza" dataDxfId="149"/>
    <tableColumn id="6" xr3:uid="{00000000-0010-0000-0300-000006000000}" name="Sdo"/>
    <tableColumn id="7" xr3:uid="{00000000-0010-0000-0300-000007000000}" name="Importo" dataDxfId="148"/>
    <tableColumn id="8" xr3:uid="{00000000-0010-0000-0300-000008000000}" name="Ft in pdf"/>
    <tableColumn id="9" xr3:uid="{00000000-0010-0000-0300-000009000000}" name="Cantiere"/>
    <tableColumn id="10" xr3:uid="{00000000-0010-0000-0300-00000A000000}" name="Modalità_x000a_pagamento"/>
    <tableColumn id="11" xr3:uid="{00000000-0010-0000-0300-00000B000000}" name="Data_x000a_pagamento"/>
    <tableColumn id="12" xr3:uid="{00000000-0010-0000-0300-00000C000000}" name="Importo_x000a_pagamento"/>
    <tableColumn id="13" xr3:uid="{00000000-0010-0000-0300-00000D000000}" name="NO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ashflow" displayName="Tbl_Cashflow" ref="A1:Q535" totalsRowShown="0">
  <autoFilter ref="A1:Q535" xr:uid="{00000000-0009-0000-0100-000005000000}">
    <filterColumn colId="2">
      <filters>
        <filter val="System project srl"/>
      </filters>
    </filterColumn>
  </autoFilter>
  <tableColumns count="17">
    <tableColumn id="1" xr3:uid="{00000000-0010-0000-0400-000001000000}" name="Mese" dataDxfId="142"/>
    <tableColumn id="2" xr3:uid="{00000000-0010-0000-0400-000002000000}" name="Giorno" dataDxfId="141"/>
    <tableColumn id="3" xr3:uid="{00000000-0010-0000-0400-000003000000}" name="Beneficiario"/>
    <tableColumn id="4" xr3:uid="{00000000-0010-0000-0400-000004000000}" name="Importo €" dataDxfId="140">
      <calculatedColumnFormula>8000/4</calculatedColumnFormula>
    </tableColumn>
    <tableColumn id="5" xr3:uid="{00000000-0010-0000-0400-000005000000}" name="E/U" dataDxfId="139"/>
    <tableColumn id="6" xr3:uid="{00000000-0010-0000-0400-000006000000}" name="CONFERMATO?" dataDxfId="138"/>
    <tableColumn id="7" xr3:uid="{00000000-0010-0000-0400-000007000000}" name="Conto"/>
    <tableColumn id="8" xr3:uid="{00000000-0010-0000-0400-000008000000}" name="BCC" dataDxfId="137"/>
    <tableColumn id="9" xr3:uid="{00000000-0010-0000-0400-000009000000}" name="INTESA" dataDxfId="136"/>
    <tableColumn id="10" xr3:uid="{00000000-0010-0000-0400-00000A000000}" name="BPM " dataDxfId="135"/>
    <tableColumn id="11" xr3:uid="{00000000-0010-0000-0400-00000B000000}" name="SONDRIO " dataDxfId="134"/>
    <tableColumn id="12" xr3:uid="{00000000-0010-0000-0400-00000C000000}" name="BPER " dataDxfId="133"/>
    <tableColumn id="13" xr3:uid="{00000000-0010-0000-0400-00000D000000}" name="CASSA" dataDxfId="132"/>
    <tableColumn id="14" xr3:uid="{00000000-0010-0000-0400-00000E000000}" name="Tot Saldo " dataDxfId="131"/>
    <tableColumn id="15" xr3:uid="{00000000-0010-0000-0400-00000F000000}" name="Colonna1" dataDxfId="130"/>
    <tableColumn id="16" xr3:uid="{00000000-0010-0000-0400-000010000000}" name="Colonna2" dataDxfId="129"/>
    <tableColumn id="17" xr3:uid="{00000000-0010-0000-0400-000011000000}" name="Colonna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Ufficio\AppData\Ufficio\Desktop\Amministrazione\Acquisti\2024\EV\Fatture\EV%20-%20TERMOIDRAULICA%20ft%20181%20del%2028-11-2024.pdf" TargetMode="External"/><Relationship Id="rId299" Type="http://schemas.openxmlformats.org/officeDocument/2006/relationships/hyperlink" Target="file:///C:\Users\Ufficio\AppData\Roaming\Acquisti\2025\EV\FATTURE\EV%20-%20METRO%20ft%2015471%20del%2022-07-2025.pdf" TargetMode="External"/><Relationship Id="rId21" Type="http://schemas.openxmlformats.org/officeDocument/2006/relationships/hyperlink" Target="file:///C:\Users\Ufficio\AppData\Roaming\Acquisti\2025\EV\FATTURE\EV%20-%20VERISURE%20ft%202510C313955%20del%2001-10-2025.pdf" TargetMode="External"/><Relationship Id="rId63" Type="http://schemas.openxmlformats.org/officeDocument/2006/relationships/hyperlink" Target="file:///C:\Users\Ufficio\AppData\Roaming\Acquisti\2025\EV\FATTURE\EV%20-%20VARG%20ft%20149%20del%2018-06-2025.pdf" TargetMode="External"/><Relationship Id="rId159" Type="http://schemas.openxmlformats.org/officeDocument/2006/relationships/hyperlink" Target="file:///C:\Users\Ufficio\AppData\Roaming\Acquisti\2025\EV\FATTURE\EV%20-%20SPELGATTI%20ft%20817%20del%2031-03-2025.pdf" TargetMode="External"/><Relationship Id="rId324" Type="http://schemas.openxmlformats.org/officeDocument/2006/relationships/hyperlink" Target="file:///C:\Users\Ufficio\AppData\Roaming\Acquisti\2025\EV\FATTURE\EV%20-%20LUCE%20IN%20ft%201659%20del%2024-09-2025.pdf" TargetMode="External"/><Relationship Id="rId366" Type="http://schemas.openxmlformats.org/officeDocument/2006/relationships/hyperlink" Target="file:///C:\Users\Ufficio\AppData\Roaming\Acquisti\2025\EV\FATTURE\EV%20-%20LA%20PIAZZONI%20ft%20144%20del%2020-01-2025.pdf" TargetMode="External"/><Relationship Id="rId531" Type="http://schemas.openxmlformats.org/officeDocument/2006/relationships/hyperlink" Target="file:///C:\Users\Ufficio\AppData\Roaming\Acquisti\2025\EV\FATTURE\EV%20-%20CHIURLO%20SRL%20ft%2020250019056741%20del%2025-03-2025.pdf" TargetMode="External"/><Relationship Id="rId573" Type="http://schemas.openxmlformats.org/officeDocument/2006/relationships/hyperlink" Target="file:///C:\Users\Ufficio\AppData\Roaming\Acquisti\2025\EV\FATTURE\EV%20-%20BCC%20DI%20MILANO%20ft%20902922%20del%2030-09-2025.pdf" TargetMode="External"/><Relationship Id="rId170" Type="http://schemas.openxmlformats.org/officeDocument/2006/relationships/hyperlink" Target="file:///C:\Users\Ufficio\AppData\Roaming\Acquisti\2025\EV\FATTURE\EV%20-%20SERVICE%20PRECAST%20nc%201%20del%2007-01-2025.pdf" TargetMode="External"/><Relationship Id="rId226" Type="http://schemas.openxmlformats.org/officeDocument/2006/relationships/hyperlink" Target="file:///\\192.168.1.231\..\AppData\Acquisti\2024\EV\Fatture\EV%20-%20RBP%20ft%2008%20del%2031-01-2024.pdf" TargetMode="External"/><Relationship Id="rId433" Type="http://schemas.openxmlformats.org/officeDocument/2006/relationships/hyperlink" Target="file:///C:\Users\Ufficio\AppData\Ufficio\Desktop\Amministrazione\Acquisti\2024\EV\Fatture\EV%20-%20F_LLI%20TESTA%20ft%20191%20del%2031-01-2024.pdf" TargetMode="External"/><Relationship Id="rId268" Type="http://schemas.openxmlformats.org/officeDocument/2006/relationships/hyperlink" Target="file:///C:\Users\Ufficio\AppData\Roaming\Acquisti\2025\EV\FATTURE\EV%20-%20OLIMPIA%20SRL%20ft%200716774%20del%2009-09-2025.pdf" TargetMode="External"/><Relationship Id="rId475" Type="http://schemas.openxmlformats.org/officeDocument/2006/relationships/hyperlink" Target="file:///C:\Users\Ufficio\AppData\Roaming\Acquisti\2025\EV\FATTURE\EV%20-%20ECOTAURUS%20ft%20196%20del%2009-01-2025.pdf" TargetMode="External"/><Relationship Id="rId32" Type="http://schemas.openxmlformats.org/officeDocument/2006/relationships/hyperlink" Target="file:///C:\Users\Ufficio\AppData\Roaming\Acquisti\2025\EV\FATTURE\EV%20-%20VERISURE%20ft%20377227%20del%2001-08-2025.pdf" TargetMode="External"/><Relationship Id="rId74" Type="http://schemas.openxmlformats.org/officeDocument/2006/relationships/hyperlink" Target="file:///C:\Users\Ufficio\AppData\Roaming\Acquisti\2025\EV\FATTURE\EV%20-%20UNIACQUE%20SRL%20ft%20202510290015%20del%2025-03-2025.pdf" TargetMode="External"/><Relationship Id="rId128" Type="http://schemas.openxmlformats.org/officeDocument/2006/relationships/hyperlink" Target="file:///C:\Users\Ufficio\AppData\Roaming\Acquisti\2025\EV\FATTURE\EV%20-%20TELEPASS%20SPA%20ft%2057354274%20del%2030-04-2025.pdf" TargetMode="External"/><Relationship Id="rId335" Type="http://schemas.openxmlformats.org/officeDocument/2006/relationships/hyperlink" Target="file:///\\192.168.1.231\..\AppData\Acquisti\2023\EV\Proforme\BELLOLI%204162%20nota%2027.10.23%20-%20Colombini_Gagliolo.pdf" TargetMode="External"/><Relationship Id="rId377" Type="http://schemas.openxmlformats.org/officeDocument/2006/relationships/hyperlink" Target="file:///C:\Users\Ufficio\AppData\Roaming\Acquisti\2025\EV\FATTURE\EV-%20KUWAIT%20PETROLEUM%20ft%2009834777%20del%2030-04-2025.pdf" TargetMode="External"/><Relationship Id="rId500" Type="http://schemas.openxmlformats.org/officeDocument/2006/relationships/hyperlink" Target="file:///C:\Users\Ufficio\AppData\Roaming\Acquisti\2025\EV\FATTURE\EV%20-%20DA%20LEONE%20DI%20COSTA%20CARLO%20ft%20974%20del%2017-04-2025.pdf" TargetMode="External"/><Relationship Id="rId542" Type="http://schemas.openxmlformats.org/officeDocument/2006/relationships/hyperlink" Target="file:///C:\Users\Ufficio\AppData\Roaming\Acquisti\2025\EV\FATTURE\EV%20-%20CAMPLONE%20MAURO%20MASSIMO%20ft%2045%20del%2018-03-2025.pdf" TargetMode="External"/><Relationship Id="rId584" Type="http://schemas.openxmlformats.org/officeDocument/2006/relationships/hyperlink" Target="file:///C:\Users\Ufficio\AppData\Roaming\Acquisti\2025\EV\FATTURE\EV%20-%20BANCO%20BPM%20ft%209365%20del%2008-01-2025.pdf" TargetMode="External"/><Relationship Id="rId5" Type="http://schemas.openxmlformats.org/officeDocument/2006/relationships/hyperlink" Target="file:///C:\Users\Ufficio\AppData\Roaming\Acquisti\2025\EV\FATTURE\EV%20-%20ZANUTTA%20SPA%20ft%20125003957%20del%2031-01-2025.pdf" TargetMode="External"/><Relationship Id="rId181" Type="http://schemas.openxmlformats.org/officeDocument/2006/relationships/hyperlink" Target="file:///C:\Users\Ufficio\AppData\Roaming\Acquisti\2025\EV\FATTURE\EV%20-%20SER%20CAR%20ft%2022111%20del%2025-06-2025.pdf" TargetMode="External"/><Relationship Id="rId237" Type="http://schemas.openxmlformats.org/officeDocument/2006/relationships/hyperlink" Target="file:///C:\Users\Ufficio\AppData\Roaming\Acquisti\2025\EV\FATTURE\EV%20-%20PER%20PIU%20SOLUZIONI%20ft%20689%20del%2030-09-2025.pdf" TargetMode="External"/><Relationship Id="rId402" Type="http://schemas.openxmlformats.org/officeDocument/2006/relationships/hyperlink" Target="file:///C:\Users\Ufficio\AppData\Roaming\Acquisti\2025\EV\FATTURE\EV-%20HAPPILY%20ft%20901%20del%2012-02-2025.pdf" TargetMode="External"/><Relationship Id="rId279" Type="http://schemas.openxmlformats.org/officeDocument/2006/relationships/hyperlink" Target="file:///C:\Users\Ufficio\AppData\Roaming\Acquisti\2025\EV\FATTURE\EV%20-%20OLIMPIA%20SRL%20ft%20216656%20del%2011-03-2025.pdf" TargetMode="External"/><Relationship Id="rId444" Type="http://schemas.openxmlformats.org/officeDocument/2006/relationships/hyperlink" Target="file:///C:\Users\Ufficio\AppData\Acquisti\2025\EV\FATTURE\EV%20-%20EDILCOMMERCIO%20ft%201860%20del%2015-09-2025.pdf" TargetMode="External"/><Relationship Id="rId486" Type="http://schemas.openxmlformats.org/officeDocument/2006/relationships/hyperlink" Target="file:///C:\Users\Ufficio\AppData\Ufficio\Desktop\Amministrazione\Acquisti\2024\EV\Fatture\EV-%20Duferco%20ft%20705%20del%2011-12-2024.pdf" TargetMode="External"/><Relationship Id="rId43" Type="http://schemas.openxmlformats.org/officeDocument/2006/relationships/hyperlink" Target="file:///C:\Users\Ufficio\AppData\Roaming\Acquisti\2025\EV\FATTURE\EV%20-%20VERISURE%20SRL%20ft%202505C347188%20del%2001-05-2025.pdf" TargetMode="External"/><Relationship Id="rId139" Type="http://schemas.openxmlformats.org/officeDocument/2006/relationships/hyperlink" Target="file:///C:\Users\Ufficio\AppData\Roaming\Acquisti\2025\EV\FATTURE\EV%20-%20TAPPEZZIERE%20MORONI%20ft%2052%20del%2014-05-2025.pdf" TargetMode="External"/><Relationship Id="rId290" Type="http://schemas.openxmlformats.org/officeDocument/2006/relationships/hyperlink" Target="file:///C:\Users\Ufficio\AppData\Roaming\Acquisti\2025\EV\FATTURE\EV%20-%20MYO%20ft%2033148%20del%2028-02-2025.pdf" TargetMode="External"/><Relationship Id="rId304" Type="http://schemas.openxmlformats.org/officeDocument/2006/relationships/hyperlink" Target="file:///C:\Users\Ufficio\AppData\Roaming\Acquisti\2025\EV\FATTURE\MET%20ENERGIA%20ft%2052072%20del%2017-02-2025.pdf" TargetMode="External"/><Relationship Id="rId346" Type="http://schemas.openxmlformats.org/officeDocument/2006/relationships/hyperlink" Target="file:///C:\Users\Ufficio\AppData\Roaming\Acquisti\2025\EV\FATTURE\EV%20-%20LEADERS%20SRL%20ft%2040%20del%2029-01-2025.pdf" TargetMode="External"/><Relationship Id="rId388" Type="http://schemas.openxmlformats.org/officeDocument/2006/relationships/hyperlink" Target="file:///C:\Users\Ufficio\AppData\Roaming\Acquisti\2025\EV\FATTURE\EV%20-%20IRIS%20MOBILI%20SRL%20ft%202440505%20del%2023-09-2025.pdf" TargetMode="External"/><Relationship Id="rId511" Type="http://schemas.openxmlformats.org/officeDocument/2006/relationships/hyperlink" Target="file:///C:\Users\Ufficio\AppData\Roaming\Acquisti\2025\EV\FATTURE\EV%20-%20CULLIGAN%20ITALY%20ft%206001212656%20del%2027-06-2025.pdf" TargetMode="External"/><Relationship Id="rId553" Type="http://schemas.openxmlformats.org/officeDocument/2006/relationships/hyperlink" Target="file:///C:\Users\Ufficio\AppData\Roaming\Acquisti\2025\EV\FATTURE\EV%20-%20BRICOMAN%20ITALIA%20SRL%20ft%20966%20del%2010-04-2025.pdf" TargetMode="External"/><Relationship Id="rId609" Type="http://schemas.openxmlformats.org/officeDocument/2006/relationships/hyperlink" Target="file:///C:\Users\Ufficio\AppData\Ufficio\Desktop\Amministrazione\Acquisti\2024\EV\Fatture\EV%20-%20ASSOLARI%20DOMENICO%20ft%202223%20del%2024-12-2024.pdf" TargetMode="External"/><Relationship Id="rId85" Type="http://schemas.openxmlformats.org/officeDocument/2006/relationships/hyperlink" Target="file:///C:\Users\Ufficio\AppData\Roaming\Acquisti\2025\EV\FATTURE\EV%20-%20TRATTORIA%20LA%20PATTA%20FT%20793%20DEL%2031-03-2025.pdf" TargetMode="External"/><Relationship Id="rId150" Type="http://schemas.openxmlformats.org/officeDocument/2006/relationships/hyperlink" Target="file:///C:\Users\Ufficio\AppData\Ufficio\Desktop\Amministrazione\Acquisti\2024\EV\Fatture\EV%20-STUDIO%20NOTARILE%20TUCCI%20TURCONI%20ft%204439%20del%2024-12-2024.pdf" TargetMode="External"/><Relationship Id="rId192" Type="http://schemas.openxmlformats.org/officeDocument/2006/relationships/hyperlink" Target="file:///C:\Users\Ufficio\AppData\Roaming\Acquisti\2025\EV\FATTURE\EV%20-%20RUBINETTERIA%20SHOP%20SRL%20ft%2012090%20del%2027-07-2025.pdf" TargetMode="External"/><Relationship Id="rId206" Type="http://schemas.openxmlformats.org/officeDocument/2006/relationships/hyperlink" Target="file:///C:\Users\Ufficio\AppData\Ufficio\Desktop\Amministrazione\Acquisti\2024\EV\Fatture\EV%20-%20RESIDENZA%20PARADISO%20ft%2095%20del%2004-09-2024.pdf" TargetMode="External"/><Relationship Id="rId413" Type="http://schemas.openxmlformats.org/officeDocument/2006/relationships/hyperlink" Target="file:///C:\Users\Ufficio\AppData\Roaming\Acquisti\2025\EV\FATTURE\EV%20-%20GRUPPO%20CARMELI%20SPA%20ft%2020282%20del%2028-08-2025.pdf" TargetMode="External"/><Relationship Id="rId595" Type="http://schemas.openxmlformats.org/officeDocument/2006/relationships/hyperlink" Target="file:///C:\Users\Ufficio\AppData\Roaming\Acquisti\2025\EV\FATTURE\EV%20-%20AUTOSTRADE%20PER%20L'ITALIA%20SPA%20ft%202880628%20del%2030-04-2025.pdf" TargetMode="External"/><Relationship Id="rId248" Type="http://schemas.openxmlformats.org/officeDocument/2006/relationships/hyperlink" Target="file:///C:\Users\Ufficio\AppData\Roaming\Acquisti\2025\EV\FATTURE\EV%20-%20PARCHEGGI%20ITALIA%20SPA%20ft%20108024826P%20del%2030-09-2025.pdf" TargetMode="External"/><Relationship Id="rId455" Type="http://schemas.openxmlformats.org/officeDocument/2006/relationships/hyperlink" Target="file:///C:\Users\Ufficio\AppData\Roaming\Acquisti\2025\EV\FATTURE\EV-%20EDILCOMMERCIO%20%20ft%20508%20del%2015-03-2025.pdf" TargetMode="External"/><Relationship Id="rId497" Type="http://schemas.openxmlformats.org/officeDocument/2006/relationships/hyperlink" Target="file:///C:\Users\Ufficio\AppData\Roaming\Acquisti\2025\EV\FATTURE\EV%20-%20DA%20LEONE%20DI%20COSTA%20CARLO%20ft%201115%20del%2008-05-2025.pdf" TargetMode="External"/><Relationship Id="rId620" Type="http://schemas.openxmlformats.org/officeDocument/2006/relationships/hyperlink" Target="file:///C:\Users\Ufficio\AppData\Roaming\Acquisti\2025\EV\FATTURE\EV%20-%20AK%20INFORMATICA%20TEK%20ft%20521%20del%2011-02-2025.pdf" TargetMode="External"/><Relationship Id="rId12" Type="http://schemas.openxmlformats.org/officeDocument/2006/relationships/hyperlink" Target="file:///C:\Users\Ufficio\AppData\Roaming\Acquisti\2025\EV\FATTURE\EV%20-%20VIEMME%20PORTA%20ft%206486%20del%2009-09-2025.pdf" TargetMode="External"/><Relationship Id="rId108" Type="http://schemas.openxmlformats.org/officeDocument/2006/relationships/hyperlink" Target="file:///C:\Users\Ufficio\AppData\Roaming\Acquisti\2025\EV\FATTURE\EV%20-%20TERMOIDRAULICA%20V.M.%20nc%201%20del%2013-3-2025.pdf" TargetMode="External"/><Relationship Id="rId315" Type="http://schemas.openxmlformats.org/officeDocument/2006/relationships/hyperlink" Target="file:///\\192.168.1.231\..\AppData\Acquisti\2023\EV\Proforme\BELLOLI%20doc%204185%20del%2020-11-2023-dm.pdf" TargetMode="External"/><Relationship Id="rId357" Type="http://schemas.openxmlformats.org/officeDocument/2006/relationships/hyperlink" Target="file:///C:\Users\Ufficio\AppData\Roaming\Acquisti\2025\EV\FATTURE\EV%20-%20LA%20PIAZZONI%20ft%205820%20del%2017-09-2025.pdf" TargetMode="External"/><Relationship Id="rId522" Type="http://schemas.openxmlformats.org/officeDocument/2006/relationships/hyperlink" Target="file:///C:\Users\Ufficio\AppData\Roaming\Acquisti\2025\EV\FATTURE\EV%20-%20CORNOLTI%20POSATORI%20SNC%20ft%203%20del%2028-01-2025.pdf" TargetMode="External"/><Relationship Id="rId54" Type="http://schemas.openxmlformats.org/officeDocument/2006/relationships/hyperlink" Target="file:///C:\Users\Ufficio\AppData\Roaming\Acquisti\2025\EV\FATTURE\EV%20-%20VERISURE%20ft%20363200%20del%2001-03-2025.pdf" TargetMode="External"/><Relationship Id="rId96" Type="http://schemas.openxmlformats.org/officeDocument/2006/relationships/hyperlink" Target="file:///C:\Users\Ufficio\AppData\Roaming\Acquisti\2025\EV\FATTURE\EV%20-%20TIM%20SPA%20ft%20484355%20del%2011-06-2025.pdf" TargetMode="External"/><Relationship Id="rId161" Type="http://schemas.openxmlformats.org/officeDocument/2006/relationships/hyperlink" Target="file:///C:\Users\Ufficio\AppData\Ufficio\Desktop\Amministrazione\Acquisti\2024\EV\Fatture\EV%20-%20SPELGATTI%20ft%202854%20del%2031-10-2024.pdf" TargetMode="External"/><Relationship Id="rId217" Type="http://schemas.openxmlformats.org/officeDocument/2006/relationships/hyperlink" Target="file:///C:\Users\Ufficio\AppData\Ufficio\Desktop\Amministrazione\Acquisti\2024\EV\Fatture\EV%20-%20RBP%20ft%20726%20del%2030-12-2024.pdf" TargetMode="External"/><Relationship Id="rId399" Type="http://schemas.openxmlformats.org/officeDocument/2006/relationships/hyperlink" Target="file:///C:\Users\Ufficio\AppData\Roaming\Acquisti\2025\EV\FATTURE\EV%20-%20IKEA%20ft%2056666%20del%2020-07-2025.pdf" TargetMode="External"/><Relationship Id="rId564" Type="http://schemas.openxmlformats.org/officeDocument/2006/relationships/hyperlink" Target="file:///C:\Users\Ufficio\AppData\Roaming\Acquisti\2025\EV\FATTURE\EV%20-%20BORDOGNI%20FABIO%20ft%20506%20del%2016-06-2025.pdf" TargetMode="External"/><Relationship Id="rId259" Type="http://schemas.openxmlformats.org/officeDocument/2006/relationships/hyperlink" Target="file:///C:\Users\Ufficio\AppData\Roaming\Acquisti\2025\EV\FATTURE\EV%20-%20PARCHEGGI%20ITALIA%20SPA%20ft%20311%20del%2030-01-2025.pdf" TargetMode="External"/><Relationship Id="rId424" Type="http://schemas.openxmlformats.org/officeDocument/2006/relationships/hyperlink" Target="file:///C:\Users\Ufficio\AppData\Roaming\Acquisti\2025\EV\FATTURE\EV%20-%20F.LLI%20TESTA%20ft%2062%20del%2031-01-2025.pdf" TargetMode="External"/><Relationship Id="rId466" Type="http://schemas.openxmlformats.org/officeDocument/2006/relationships/hyperlink" Target="file:///C:\Users\Ufficio\AppData\Ufficio\Documents\20250224161941543.pdf" TargetMode="External"/><Relationship Id="rId23" Type="http://schemas.openxmlformats.org/officeDocument/2006/relationships/hyperlink" Target="file:///C:\Users\Ufficio\AppData\Roaming\Acquisti\2025\EV\FATTURE\EV%20-%20VERISURE%20ft%202510C363736%20del%2001-10-2025.pdf" TargetMode="External"/><Relationship Id="rId119" Type="http://schemas.openxmlformats.org/officeDocument/2006/relationships/hyperlink" Target="file:///C:\Users\Ufficio\AppData\Ufficio\Desktop\Amministrazione\Acquisti\2024\EV\Fatture\EV%20-%20TERMOIDRAULICA%20VM%20ft%20143%20del%2004-10-2024.pdf" TargetMode="External"/><Relationship Id="rId270" Type="http://schemas.openxmlformats.org/officeDocument/2006/relationships/hyperlink" Target="file:///C:\Users\Ufficio\AppData\Roaming\Acquisti\2025\EV\FATTURE\EV%20-%20OLIMPIA%20ft%200633847%20del%2007-08-2025.pdf" TargetMode="External"/><Relationship Id="rId326" Type="http://schemas.openxmlformats.org/officeDocument/2006/relationships/hyperlink" Target="file:///C:\Users\Ufficio\AppData\Roaming\Acquisti\2025\EV\FATTURE\EV%20-%20LUCE%20IN%20ft%20390%20del%2028-02-2025.pdf" TargetMode="External"/><Relationship Id="rId533" Type="http://schemas.openxmlformats.org/officeDocument/2006/relationships/hyperlink" Target="file:///C:\Users\Ufficio\AppData\Roaming\Acquisti\2025\EV\FATTURE\EV%20-%20CHIURLO%20SRL%20ft%2019018303%20del%2028-01-2025.pdf" TargetMode="External"/><Relationship Id="rId65" Type="http://schemas.openxmlformats.org/officeDocument/2006/relationships/hyperlink" Target="file:///C:\Users\Ufficio\AppData\Roaming\Acquisti\2025\EV\FATTURE\EV%20-%20VARG%20ft%20004%20del%2008-01-2025.pdf" TargetMode="External"/><Relationship Id="rId130" Type="http://schemas.openxmlformats.org/officeDocument/2006/relationships/hyperlink" Target="file:///C:\Users\Ufficio\AppData\Roaming\Acquisti\2025\EV\FATTURE\EV%20-%20TELEPASS%20SPA%20ft%2052970381%20del%2028-02-2025.pdf" TargetMode="External"/><Relationship Id="rId368" Type="http://schemas.openxmlformats.org/officeDocument/2006/relationships/hyperlink" Target="file:///C:\Users\Ufficio\AppData\Roaming\Acquisti\2025\EV\FATTURE\EV%20-%20KUWAIT%20PETROLEUM%20ft%20PJ10452503%20del%2015-09-2025.pdf" TargetMode="External"/><Relationship Id="rId575" Type="http://schemas.openxmlformats.org/officeDocument/2006/relationships/hyperlink" Target="file:///C:\Users\Ufficio\AppData\Roaming\Acquisti\2025\EV\FATTURE\EV%20-%20BCC%20DI%20MILANO%20ft%2056902218%20del%2031-07-2025.pdf" TargetMode="External"/><Relationship Id="rId172" Type="http://schemas.openxmlformats.org/officeDocument/2006/relationships/hyperlink" Target="file:///C:\Users\Ufficio\AppData\Roaming\Acquisti\2025\EV\FATTURE\EV%20-%20SER%20CAR%20ft%2022262%20del%2004-07-2025.pdf" TargetMode="External"/><Relationship Id="rId228" Type="http://schemas.openxmlformats.org/officeDocument/2006/relationships/hyperlink" Target="file:///C:\Users\Ufficio\AppData\Roaming\Acquisti\2025\EV\FATTURE\EV%20-%20PUNTO%20GRU%20DI%20ROMANO%20GIUSEPPE%20ft%20225%20del%2019-07-2025.pdf" TargetMode="External"/><Relationship Id="rId435" Type="http://schemas.openxmlformats.org/officeDocument/2006/relationships/hyperlink" Target="file:///C:\Users\Ufficio\AppData\Roaming\Acquisti\2025\EV\FATTURE\EV%20-%20EUREKA%20LED%20DI%20ZHU%20MIAO%20ft%203730%20del%2004-08-2025.pdf" TargetMode="External"/><Relationship Id="rId477" Type="http://schemas.openxmlformats.org/officeDocument/2006/relationships/hyperlink" Target="file:///C:\Users\Ufficio\AppData\Ufficio\Desktop\Amministrazione\Acquisti\2024\EV\Fatture\EV%20-%20ECOTAURUS%20ft%207424%20del%2012-12-2024.pdf" TargetMode="External"/><Relationship Id="rId600" Type="http://schemas.openxmlformats.org/officeDocument/2006/relationships/hyperlink" Target="file:///C:\Users\Ufficio\AppData\Roaming\Acquisti\2025\EV\FATTURE\EV%20-%20ASSOLARI%20DOMENICO%20ft%201417%20del%2031-08-2025.pdf" TargetMode="External"/><Relationship Id="rId281" Type="http://schemas.openxmlformats.org/officeDocument/2006/relationships/hyperlink" Target="file:///C:\Users\Ufficio\AppData\Roaming\Acquisti\2025\EV\FATTURE\EV%20-%20OLIMPIA%20SRL%20ft%2043714%20del%2013-01-2025.pdf" TargetMode="External"/><Relationship Id="rId337" Type="http://schemas.openxmlformats.org/officeDocument/2006/relationships/hyperlink" Target="file:///\\192.168.1.231\..\AppData\Acquisti\2023\EV\Proforme\BELLOLI%204162%20nota%2027.10.23%20-%20Colombini_Gagliolo.pdf" TargetMode="External"/><Relationship Id="rId502" Type="http://schemas.openxmlformats.org/officeDocument/2006/relationships/hyperlink" Target="file:///C:\Users\Ufficio\AppData\Roaming\Acquisti\2025\EV\FATTURE\EV%20-%20DA%20LEONE%20DI%20COSTA%20CARLO%20ft%20948%20del%2015-04-2025.pdf" TargetMode="External"/><Relationship Id="rId34" Type="http://schemas.openxmlformats.org/officeDocument/2006/relationships/hyperlink" Target="file:///C:\Users\Ufficio\AppData\Roaming\Acquisti\2025\EV\FATTURE\EV%20-%20VERISURE%20ft%2044174%20del%2001-07-2025.pdf" TargetMode="External"/><Relationship Id="rId76" Type="http://schemas.openxmlformats.org/officeDocument/2006/relationships/hyperlink" Target="file:///C:\Users\Ufficio\AppData\Roaming\Acquisti\2025\EV\FATTURE\EV%20-%20UNIACQUE%20SRL%20ft%202526000497%20del%2018-02-2025.pdf" TargetMode="External"/><Relationship Id="rId141" Type="http://schemas.openxmlformats.org/officeDocument/2006/relationships/hyperlink" Target="file:///C:\Users\Ufficio\AppData\Roaming\Acquisti\2025\EV\FATTURE\EV%20-%20TAPPEZZIERE%20MORONI%20ft%208%20del%2003-02-2025.pdf" TargetMode="External"/><Relationship Id="rId379" Type="http://schemas.openxmlformats.org/officeDocument/2006/relationships/hyperlink" Target="file:///C:\Users\Ufficio\AppData\Roaming\Acquisti\2025\EV\FATTURE\EV%20-%20KUWAIT%20PETROLEUM%20ft%2009741477%20del%2031-03-2025.pdf" TargetMode="External"/><Relationship Id="rId544" Type="http://schemas.openxmlformats.org/officeDocument/2006/relationships/hyperlink" Target="file:///C:\Users\Ufficio\AppData\Roaming\Acquisti\2025\EV\FATTURE\EV-%20CMM%20CARPENTERIA%20METALLICA%20ft%2010%20del%2012-02-2025.pdf" TargetMode="External"/><Relationship Id="rId586" Type="http://schemas.openxmlformats.org/officeDocument/2006/relationships/hyperlink" Target="file:///C:\Users\Ufficio\AppData\Roaming\Acquisti\2025\EV\FATTURE\EV%20-%20BALLAN%20ft%20273%20del%2017-01-2025.pdf" TargetMode="External"/><Relationship Id="rId7" Type="http://schemas.openxmlformats.org/officeDocument/2006/relationships/hyperlink" Target="file:///\\192.168.1.231\..\AppData\Acquisti\2023\EV\Fatture\EV%20-%20WUERTH%20ft%20-676%20del%2004-10-2023.pdf" TargetMode="External"/><Relationship Id="rId183" Type="http://schemas.openxmlformats.org/officeDocument/2006/relationships/hyperlink" Target="file:///C:\Users\Ufficio\AppData\Roaming\Acquisti\2025\EV\FATTURE\EV%20-%20SER%20CAR%20ft%2022067%20del%2020-06-2025.pdf" TargetMode="External"/><Relationship Id="rId239" Type="http://schemas.openxmlformats.org/officeDocument/2006/relationships/hyperlink" Target="file:///C:\Users\Ufficio\AppData\Roaming\Acquisti\2025\EV\FATTURE\EV%20_%20PER%20PIU%20SOLUZIONI%20ft%20258%20del%2001-08-2025.pdf" TargetMode="External"/><Relationship Id="rId390" Type="http://schemas.openxmlformats.org/officeDocument/2006/relationships/hyperlink" Target="file:///C:\Users\Ufficio\AppData\Roaming\Acquisti\2025\EV\FATTURE\EV%20-%20IRIS%20MOBILI%20SRL%20ft%202170097%20del%2026-08-2025.pdf" TargetMode="External"/><Relationship Id="rId404" Type="http://schemas.openxmlformats.org/officeDocument/2006/relationships/hyperlink" Target="file:///C:\Users\Ufficio\AppData\Roaming\Acquisti\2025\EV\FATTURE\EV%20-%20GYPSUM%20SRL%20ft%20250%20del%2011-04-2025.pdf" TargetMode="External"/><Relationship Id="rId446" Type="http://schemas.openxmlformats.org/officeDocument/2006/relationships/hyperlink" Target="file:///C:\Users\Ufficio\AppData\Roaming\Acquisti\2025\EV\FATTURE\EV%20-%20EDILCOMMERCIO%20ft%201582%20del%2031-07-2025.pdf" TargetMode="External"/><Relationship Id="rId611" Type="http://schemas.openxmlformats.org/officeDocument/2006/relationships/hyperlink" Target="file:///C:\Users\Ufficio\AppData\Roaming\Acquisti\2025\EV\FATTURE\EV%20-%20ARTES%20SRL%20ft%20308%20del%2023-06-2025.pdf" TargetMode="External"/><Relationship Id="rId250" Type="http://schemas.openxmlformats.org/officeDocument/2006/relationships/hyperlink" Target="file:///C:\Users\Ufficio\AppData\Roaming\Acquisti\2025\EV\FATTURE\EV%20-%20PARCHEGGI%20ITALIA%20SPA%20ft%20602011310P%20fdel%2030-08-2025.pdf" TargetMode="External"/><Relationship Id="rId292" Type="http://schemas.openxmlformats.org/officeDocument/2006/relationships/hyperlink" Target="file:///C:\Users\Ufficio\AppData\Roaming\Acquisti\2025\EV\FATTURE\EV%20-%20MYA%20SRL%20ft%20562%20del%2009-03-2025.pdf" TargetMode="External"/><Relationship Id="rId306" Type="http://schemas.openxmlformats.org/officeDocument/2006/relationships/hyperlink" Target="file:///C:\Users\Ufficio\AppData\Roaming\Acquisti\2025\EV\FATTURE\EV%20-%20MERELLI%20ANNAMARIA%20ft%20125000914%20del%2012-05-2025.pdf" TargetMode="External"/><Relationship Id="rId488" Type="http://schemas.openxmlformats.org/officeDocument/2006/relationships/hyperlink" Target="file:///C:\Users\Ufficio\AppData\Roaming\Acquisti\2025\EV\FATTURE\EV-%20DELTA%20SRL%20ft%2017%20del%2031-01-2025.pdf" TargetMode="External"/><Relationship Id="rId45" Type="http://schemas.openxmlformats.org/officeDocument/2006/relationships/hyperlink" Target="file:///C:\Users\Ufficio\AppData\Roaming\Acquisti\2025\EV\FATTURE\EV%20-%20VERISURE%20ft%20122729%20del%2011-04-2025.pdf" TargetMode="External"/><Relationship Id="rId87" Type="http://schemas.openxmlformats.org/officeDocument/2006/relationships/hyperlink" Target="file:///C:\Users\Ufficio\AppData\Roaming\Acquisti\2025\EV\FATTURE\EV%20-%20TRATTORIA%20LA%20PATTA%20ft%20246%20del%2031-01-2025.pdf" TargetMode="External"/><Relationship Id="rId110" Type="http://schemas.openxmlformats.org/officeDocument/2006/relationships/hyperlink" Target="file:///C:\Users\Ufficio\AppData\Roaming\Acquisti\2025\EV\FATTURE\EV%20-%20TERMOIDRAULICA%20V.M.%20ft%209%20del%2030-01-2025.pdf" TargetMode="External"/><Relationship Id="rId348" Type="http://schemas.openxmlformats.org/officeDocument/2006/relationships/hyperlink" Target="file:///\\192.168.1.231\..\AppData\Acquisti\2023\EV\Proforme\Bellini%20173-edilvertova-prog-via%20ghislandiBG-L10.pdf" TargetMode="External"/><Relationship Id="rId513" Type="http://schemas.openxmlformats.org/officeDocument/2006/relationships/hyperlink" Target="file:///C:\Users\Ufficio\AppData\Roaming\Acquisti\2025\EV\FATTURE\EV%20-%20CUCCHI%20PETER%20ft%2043%20del%2028-08-2025.pdf" TargetMode="External"/><Relationship Id="rId555" Type="http://schemas.openxmlformats.org/officeDocument/2006/relationships/hyperlink" Target="file:///C:\Users\Ufficio\AppData\Roaming\Acquisti\2025\EV\FATTURE\EV%20-%20BP33%20ft%203%20del%2030-01-2025.pdf" TargetMode="External"/><Relationship Id="rId597" Type="http://schemas.openxmlformats.org/officeDocument/2006/relationships/hyperlink" Target="file:///C:\Users\Ufficio\AppData\Roaming\Acquisti\2025\EV\FATTURE\EV%20-%20AUTOSTRADE%20PER%20L'ITALIA%20SPA%20ft%201278316%20del%2028-02-2025.pdf" TargetMode="External"/><Relationship Id="rId152" Type="http://schemas.openxmlformats.org/officeDocument/2006/relationships/hyperlink" Target="file:///C:\Users\Ufficio\AppData\Roaming\Microsoft\7aa421c7-2b34-46b2-9cb8-8bae2072a22d-72ee7a3a-836c-4167-a878-488259757a95\Amministrazione\Acquisti\2024\EV\Fatture\EV%20-%20STUDIO%20NOTARILE%20TUCCI%20TURCONI%20ft%202644%20del%2007-08-2024.pdf" TargetMode="External"/><Relationship Id="rId194" Type="http://schemas.openxmlformats.org/officeDocument/2006/relationships/hyperlink" Target="file:///C:\Users\Ufficio\AppData\Roaming\Acquisti\2025\EV\FATTURE\EV%20-%20ROCCA%20GIUSEPPE%20ft%2015%20del%2027-03-2025.pdf" TargetMode="External"/><Relationship Id="rId208" Type="http://schemas.openxmlformats.org/officeDocument/2006/relationships/hyperlink" Target="file:///C:\Users\Ufficio\AppData\Roaming\Acquisti\2025\EV\FATTURE\EV%20-%20RESIDENZA%20PARADISO%20nc%202%20del%2020-05-2025.pdf" TargetMode="External"/><Relationship Id="rId415" Type="http://schemas.openxmlformats.org/officeDocument/2006/relationships/hyperlink" Target="file:///C:\Users\Ufficio\AppData\Roaming\Acquisti\2025\EV\FATTURE\EV%20-%20G.M.V.%20IMPIANTI%20ELETTRICI%20%20ft%207%20del%2027-02-2025.pdf" TargetMode="External"/><Relationship Id="rId457" Type="http://schemas.openxmlformats.org/officeDocument/2006/relationships/hyperlink" Target="file:///C:\Users\Ufficio\AppData\Ufficio\Desktop\Amministrazione\Acquisti\2024\EV\Fatture\EV%20-%20EDILCOMMERCIO%20ft%202587%20del%2020-12-2024.pdf" TargetMode="External"/><Relationship Id="rId622" Type="http://schemas.openxmlformats.org/officeDocument/2006/relationships/hyperlink" Target="file:///C:\Users\Ufficio\AppData\Roaming\Acquisti\2025\EV\FATTURE\EV%20-%20AGRIRISTORANTE%20SANT'ALESSANDRO%20ft%208%20del%2018-01-2025.pdf" TargetMode="External"/><Relationship Id="rId261" Type="http://schemas.openxmlformats.org/officeDocument/2006/relationships/hyperlink" Target="file:///C:\Users\Ufficio\AppData\Roaming\Acquisti\2025\EV\FATTURE\EV%20-%20P.F.A.%20SAS%20ft%20498%20del%2012-09-2025.pdf" TargetMode="External"/><Relationship Id="rId499" Type="http://schemas.openxmlformats.org/officeDocument/2006/relationships/hyperlink" Target="file:///C:\Users\Ufficio\AppData\Roaming\Acquisti\2025\EV\FATTURE\EV%20-%20DA%20LEONE%20DI%20COSTA%20CARLO%20ft%20987%20del%2018-04-2025.pdf" TargetMode="External"/><Relationship Id="rId14" Type="http://schemas.openxmlformats.org/officeDocument/2006/relationships/hyperlink" Target="file:///C:\Users\Ufficio\AppData\Roaming\Acquisti\2025\EV\FATTURE\EV%20-%20VIEMME%20PORTE%20ft%203469%20del%2023-05-2025.pdf" TargetMode="External"/><Relationship Id="rId56" Type="http://schemas.openxmlformats.org/officeDocument/2006/relationships/hyperlink" Target="file:///C:\Users\Ufficio\AppData\Roaming\Acquisti\2025\EV\FATTURE\EV%20-%20VERISURE%20SRL%20ft%20261720%20del%2001-02-2025.pdf" TargetMode="External"/><Relationship Id="rId317" Type="http://schemas.openxmlformats.org/officeDocument/2006/relationships/hyperlink" Target="file:///\\192.168.1.231\..\AppData\Acquisti\2023\EV\Proforme\BELLOLI%20doc%204185%20del%2020-11-2023-dm.pdf" TargetMode="External"/><Relationship Id="rId359" Type="http://schemas.openxmlformats.org/officeDocument/2006/relationships/hyperlink" Target="file:///C:\Users\Ufficio\AppData\Roaming\Acquisti\2025\EV\FATTURE\EV%20-%20LA%20PIAZZONI%20ft%204980%20del%2031-07-2025.pdf" TargetMode="External"/><Relationship Id="rId524" Type="http://schemas.openxmlformats.org/officeDocument/2006/relationships/hyperlink" Target="file:///C:\Users\Ufficio\AppData\Roaming\Acquisti\2025\EV\FATTURE\EV%20-%20CHIURLO%20SRL%20ft%2019145400%20del%2026-08-2025.pdf" TargetMode="External"/><Relationship Id="rId566" Type="http://schemas.openxmlformats.org/officeDocument/2006/relationships/hyperlink" Target="file:///C:\Users\Ufficio\AppData\Roaming\Acquisti\2025\EV\FATTURE\EV%20-%20BORDOGNI%20FABIO%20ft%20200%20del%2017-03-2025.pdf" TargetMode="External"/><Relationship Id="rId98" Type="http://schemas.openxmlformats.org/officeDocument/2006/relationships/hyperlink" Target="file:///C:\Users\Ufficio\AppData\Roaming\Acquisti\2025\EV\FATTURE\EV%20-%20TIM%20SPA%20ft%20352704%20del%2010-05-2025.pdf" TargetMode="External"/><Relationship Id="rId121" Type="http://schemas.openxmlformats.org/officeDocument/2006/relationships/hyperlink" Target="file:///C:\Users\Ufficio\AppData\Roaming\Acquisti\2025\EV\FATTURE\EV%20-%20TELEPASS%20SPA%20ft%2064581212T%20del%2030-07-2025.pdf" TargetMode="External"/><Relationship Id="rId163" Type="http://schemas.openxmlformats.org/officeDocument/2006/relationships/hyperlink" Target="file:///C:\Users\Ufficio\AppData\Ufficio\Desktop\Amministrazione\Acquisti\2024\EV\Fatture\EV%20-%20SPELGATTI%20ft%202854%20del%2031-10-2024.pdf" TargetMode="External"/><Relationship Id="rId219" Type="http://schemas.openxmlformats.org/officeDocument/2006/relationships/hyperlink" Target="file:///C:\Users\Ufficio\AppData\Ufficio\Desktop\Amministrazione\Acquisti\2024\EV\Fatture\EV%20-%20RBP%20ft%20549%20del%2030-09-2024.pdf" TargetMode="External"/><Relationship Id="rId370" Type="http://schemas.openxmlformats.org/officeDocument/2006/relationships/hyperlink" Target="file:///C:\Users\Ufficio\AppData\Roaming\Acquisti\2025\EV\FATTURE\EV%20-%20KUWAIT%20PETROLEUM%20ft%20PJ10323778%20del%2015-08-2025.pdf" TargetMode="External"/><Relationship Id="rId426" Type="http://schemas.openxmlformats.org/officeDocument/2006/relationships/hyperlink" Target="file:///C:\Users\Ufficio\AppData\Ufficio\Desktop\Amministrazione\Acquisti\2024\EV\Fatture\EV-F.LLI%20TESTA%20ft%204554%20del%2031-12-2024.pdf" TargetMode="External"/><Relationship Id="rId230" Type="http://schemas.openxmlformats.org/officeDocument/2006/relationships/hyperlink" Target="file:///C:\Users\Ufficio\AppData\Roaming\Acquisti\2025\EV\FATTURE\EV%20-%20PREAN%20ft%2011223%20del%2020-06-2025.pdf" TargetMode="External"/><Relationship Id="rId468" Type="http://schemas.openxmlformats.org/officeDocument/2006/relationships/hyperlink" Target="file:///C:\Users\Ufficio\AppData\Roaming\Acquisti\2025\EV\FATTURE\EV%20-%20ECOTAURUS%20ft%203394%20del%2029-05-2025.pdf" TargetMode="External"/><Relationship Id="rId25" Type="http://schemas.openxmlformats.org/officeDocument/2006/relationships/hyperlink" Target="file:///C:\Users\Ufficio\AppData\Roaming\Acquisti\2025\EV\FATTURE\EV%20-%20VERISURE%20ft%20253974%20del%2001-09-2025.pdf" TargetMode="External"/><Relationship Id="rId67" Type="http://schemas.openxmlformats.org/officeDocument/2006/relationships/hyperlink" Target="file:///C:\Users\Ufficio\AppData\Roaming\Acquisti\2025\EV\FATTURE\EV%20-%20UNIACQUE%20SRL%20ft%20202510892147%20del%2019-09-2025.pdf" TargetMode="External"/><Relationship Id="rId272" Type="http://schemas.openxmlformats.org/officeDocument/2006/relationships/hyperlink" Target="file:///C:\Users\Ufficio\AppData\Roaming\Acquisti\2025\EV\FATTURE\EV%20-%20OLIMPIA%20ft%20550939%20del%2010-07-2025.pdf" TargetMode="External"/><Relationship Id="rId328" Type="http://schemas.openxmlformats.org/officeDocument/2006/relationships/hyperlink" Target="file:///C:\Users\Ufficio\AppData\Roaming\Acquisti\2025\EV\FATTURE\EV%20-%20LUCE%20IN%20ft%20161%20del%2031-01-2025.pdf" TargetMode="External"/><Relationship Id="rId535" Type="http://schemas.openxmlformats.org/officeDocument/2006/relationships/hyperlink" Target="file:///C:\Users\Ufficio\AppData\Roaming\Acquisti\2025\EV\FATTURE\EV%20-%20CENTRO%20EDILIZIA%20ft%201602%20del%2004-08-2025.pdf" TargetMode="External"/><Relationship Id="rId577" Type="http://schemas.openxmlformats.org/officeDocument/2006/relationships/hyperlink" Target="file:///C:\Users\Ufficio\AppData\Roaming\Acquisti\2025\EV\FATTURE\EV%20-%20BCC%20DI%20MILANO%20ft%206901486%20del%2030-05-2025.pdf" TargetMode="External"/><Relationship Id="rId132" Type="http://schemas.openxmlformats.org/officeDocument/2006/relationships/hyperlink" Target="file:///C:\Users\Ufficio\AppData\Roaming\Acquisti\2025\EV\FATTURE\EV%20-%20TELEPASS%20SPA%20ft%20912%20del%2030-01-2025.pdf" TargetMode="External"/><Relationship Id="rId174" Type="http://schemas.openxmlformats.org/officeDocument/2006/relationships/hyperlink" Target="file:///C:\Users\Ufficio\AppData\Roaming\Acquisti\2025\EV\FATTURE\EV%20-%20SER%20CAR%20ft%2022795%20del%2029-08-2025.pdf" TargetMode="External"/><Relationship Id="rId381" Type="http://schemas.openxmlformats.org/officeDocument/2006/relationships/hyperlink" Target="file:///C:\Users\Ufficio\AppData\Roaming\Acquisti\2025\EV\FATTURE\EV%20-%20KUWAIT%20PETROLEUM%20ft%20PJ09570709%20del%2028-02-2025.pdf" TargetMode="External"/><Relationship Id="rId602" Type="http://schemas.openxmlformats.org/officeDocument/2006/relationships/hyperlink" Target="file:///C:\Users\Ufficio\AppData\Roaming\Acquisti\2025\EV\FATTURE\EV%20-%20ASSOLARI%20DOMENICO%20ft%201022%20del%2030-06-2025.pdf" TargetMode="External"/><Relationship Id="rId241" Type="http://schemas.openxmlformats.org/officeDocument/2006/relationships/hyperlink" Target="file:///\\192.168.1.231\..\AppData\Acquisti\2023\EV\Proforme\BELLOLI%20doc%204185%20del%2020-11-2023-dm.pdf" TargetMode="External"/><Relationship Id="rId437" Type="http://schemas.openxmlformats.org/officeDocument/2006/relationships/hyperlink" Target="file:///C:\Users\Ufficio\AppData\Ufficio\Desktop\Amministrazione\Acquisti\2024\EV\Fatture\EV-%20ELETTRAUTO%20BELOTTI%20FRANCO%20&amp;%20C.%20ft%20561%20del%2012-12-2024.pdf" TargetMode="External"/><Relationship Id="rId479" Type="http://schemas.openxmlformats.org/officeDocument/2006/relationships/hyperlink" Target="file:///C:\Users\Ufficio\AppData\Roaming\Acquisti\2025\EV\FATTURE\EV%20-%20ECOBERG%20ft%20287%20del%2031-05-2025.pdf" TargetMode="External"/><Relationship Id="rId36" Type="http://schemas.openxmlformats.org/officeDocument/2006/relationships/hyperlink" Target="file:///C:\Users\Ufficio\AppData\Roaming\Acquisti\2025\EV\FATTURE\EV%20-%20VERISURE%20ft%2076481%20del%2001-07-2025.pdf" TargetMode="External"/><Relationship Id="rId283" Type="http://schemas.openxmlformats.org/officeDocument/2006/relationships/hyperlink" Target="file:///C:\Users\Ufficio\AppData\Ufficio\Desktop\Amministrazione\Acquisti\2024\EV\Fatture\EV%20-%20NODARI%20ft%2017%20del%2018-12-2024.pdf" TargetMode="External"/><Relationship Id="rId339" Type="http://schemas.openxmlformats.org/officeDocument/2006/relationships/hyperlink" Target="file:///\\192.168.1.231\..\AppData\Acquisti\2023\EV\Proforme\BELLOLI%204162%20nota%2027.10.23%20-%20Colombini_Gagliolo.pdf" TargetMode="External"/><Relationship Id="rId490" Type="http://schemas.openxmlformats.org/officeDocument/2006/relationships/hyperlink" Target="file:///C:\Users\Ufficio\AppData\Roaming\Acquisti\2025\EV\FATTURE\EV%20-%20DA%20LEONE%20DI%20COSTA%20CARLO%20ft%202180%20del%2019-09-2025.pdf" TargetMode="External"/><Relationship Id="rId504" Type="http://schemas.openxmlformats.org/officeDocument/2006/relationships/hyperlink" Target="file:///C:\Users\Ufficio\AppData\Roaming\Acquisti\2025\EV\FATTURE\EV%20-%20DA%20LEONE%20DI%20COSTA%20CARLO%20ft%20926%20del%2010-04-2025.pdf" TargetMode="External"/><Relationship Id="rId546" Type="http://schemas.openxmlformats.org/officeDocument/2006/relationships/hyperlink" Target="file:///C:\Users\Ufficio\AppData\Roaming\Acquisti\2025\EV\FATTURE\EV%20-%20BUTTINONI%20GIUSEPPE%20ft%202779%20del%2031-07-2025.pdf" TargetMode="External"/><Relationship Id="rId78" Type="http://schemas.openxmlformats.org/officeDocument/2006/relationships/hyperlink" Target="file:///C:\Users\Ufficio\AppData\Roaming\Acquisti\2025\EV\FATTURE\EV-%20ULTRASONIC%20SRL%20ft%20131%20del%2005-02-2025.pdf" TargetMode="External"/><Relationship Id="rId101" Type="http://schemas.openxmlformats.org/officeDocument/2006/relationships/hyperlink" Target="file:///C:\Users\Ufficio\AppData\Roaming\Acquisti\2025\EV\FATTURE\EV%20-%20TIM%20SPA%20FT%20115106%20del%2011-02-2025.pdf" TargetMode="External"/><Relationship Id="rId143" Type="http://schemas.openxmlformats.org/officeDocument/2006/relationships/hyperlink" Target="file:///C:\Users\Ufficio\AppData\Roaming\Acquisti\2025\EV\FATTURE\EV%20-%20SYSTEM%20PROJECT%20ft%201390%20del%2030-04-2025.pdf" TargetMode="External"/><Relationship Id="rId185" Type="http://schemas.openxmlformats.org/officeDocument/2006/relationships/hyperlink" Target="file:///C:\Users\Ufficio\AppData\Roaming\Acquisti\2025\EV\FATTURE\EV%20-%20SALVETTI%20SRL%20ft%20182%20del%2026-05-2025.pdf" TargetMode="External"/><Relationship Id="rId350" Type="http://schemas.openxmlformats.org/officeDocument/2006/relationships/hyperlink" Target="file:///C:\Users\Ufficio\AppData\Roaming\Acquisti\2025\EV\FATTURE\EV%20-%20LANZI%20FLOROVIVAISTICA%20ft%20953%20del%2030-06-2025.pdf" TargetMode="External"/><Relationship Id="rId406" Type="http://schemas.openxmlformats.org/officeDocument/2006/relationships/hyperlink" Target="file:///C:\Users\Ufficio\AppData\Roaming\Acquisti\2025\EV\FATTURE\EV%20-%20GYPSUM%20SRL%20ft%2028%20del%2027-01-2025.pdf" TargetMode="External"/><Relationship Id="rId588" Type="http://schemas.openxmlformats.org/officeDocument/2006/relationships/hyperlink" Target="file:///\\192.168.1.231\..\AppData\Acquisti\2024\EV\Fatture\EV%20-%20BACCINO%20ft%2016%20del%2012-03-2024.pdf" TargetMode="External"/><Relationship Id="rId9" Type="http://schemas.openxmlformats.org/officeDocument/2006/relationships/hyperlink" Target="file:///\\192.168.1.231\..\AppData\Acquisti\2023\EV\Fatture\EV%20-%20WUERTH%20ft%20-677%20del%2004-10-2023.pdf" TargetMode="External"/><Relationship Id="rId210" Type="http://schemas.openxmlformats.org/officeDocument/2006/relationships/hyperlink" Target="file:///C:\Users\Ufficio\AppData\Roaming\Acquisti\2025\EV\FATTURE\EV-%20REPOWER%20VENDITA%20ITALIA%20ft%2071453%20del%2013-02-2025.pdf" TargetMode="External"/><Relationship Id="rId392" Type="http://schemas.openxmlformats.org/officeDocument/2006/relationships/hyperlink" Target="file:///C:\Users\Ufficio\AppData\Roaming\Acquisti\2025\EV\FATTURE\EV%20-%20INTESA%20SAN%20PAOLO%20ft%20319780%20del%2015-07-2025.pdf" TargetMode="External"/><Relationship Id="rId448" Type="http://schemas.openxmlformats.org/officeDocument/2006/relationships/hyperlink" Target="file:///C:\Users\Ufficio\AppData\Roaming\Acquisti\2025\EV\FATTURE\EV%20-%20EDILCOMMERCIO%20ft%201331%20del%2030-05-2025.pdf" TargetMode="External"/><Relationship Id="rId613" Type="http://schemas.openxmlformats.org/officeDocument/2006/relationships/hyperlink" Target="file:///C:\Users\Ufficio\AppData\Ufficio\Desktop\Amministrazione\Acquisti\2024\EV\Fatture\EV%20-%20ARTES%20ft%20519%20del%2030-11-2024.pdf" TargetMode="External"/><Relationship Id="rId252" Type="http://schemas.openxmlformats.org/officeDocument/2006/relationships/hyperlink" Target="file:///C:\Users\Ufficio\AppData\Roaming\Acquisti\2025\EV\FATTURE\EV%20-%20PARCHEGGI%20ITALIA%20SPA%20ft%207200%20del%2030-06-2025.pdf" TargetMode="External"/><Relationship Id="rId294" Type="http://schemas.openxmlformats.org/officeDocument/2006/relationships/hyperlink" Target="file:///C:\Users\Ufficio\AppData\Roaming\Acquisti\2025\EV\FATTURE\EV%20-%20MOIOLI%20VALERIO%20ft%20351%20del%2015-05-2025.pdf" TargetMode="External"/><Relationship Id="rId308" Type="http://schemas.openxmlformats.org/officeDocument/2006/relationships/hyperlink" Target="file:///C:\Users\Ufficio\AppData\Roaming\Acquisti\2025\EV\FATTURE\EV%20-%20MEDIAMARKET%20ft%2099899%20del%2009-07-2025.pdf" TargetMode="External"/><Relationship Id="rId515" Type="http://schemas.openxmlformats.org/officeDocument/2006/relationships/hyperlink" Target="file:///C:\Users\Ufficio\AppData\Roaming\Acquisti\2025\EV\FATTURE\EV%20-%20CRI.MER%20ft%20111%20del%2028-04-2025.pdf" TargetMode="External"/><Relationship Id="rId47" Type="http://schemas.openxmlformats.org/officeDocument/2006/relationships/hyperlink" Target="file:///C:\Users\Ufficio\AppData\Roaming\Acquisti\2025\EV\FATTURE\EV%20-%20VERISURE%20ft%202503C379793%20del%2031-03-2025.pdf" TargetMode="External"/><Relationship Id="rId89" Type="http://schemas.openxmlformats.org/officeDocument/2006/relationships/hyperlink" Target="file:///C:\Users\Ufficio\AppData\Roaming\Acquisti\2025\EV\FATTURE\EV%20-%20TOP%20COPERTURE%20SRL%20ft%20151%20del%2030-06-2025.pdf" TargetMode="External"/><Relationship Id="rId112" Type="http://schemas.openxmlformats.org/officeDocument/2006/relationships/hyperlink" Target="file:///C:\Users\Ufficio\AppData\Ufficio\Desktop\Amministrazione\Acquisti\2024\EV\Fatture\EV-%20TERMOIDRAULICA%20VM%20ft%20223%20del%2030-12-2024.pdf" TargetMode="External"/><Relationship Id="rId154" Type="http://schemas.openxmlformats.org/officeDocument/2006/relationships/hyperlink" Target="file:///C:\Users\Ufficio\AppData\Roaming\Acquisti\2025\EV\FATTURE\EV%20-%20STUDIO%20NOTARILE%20TUCCI%20ft%20132%20del%2020-01-2025.pdf" TargetMode="External"/><Relationship Id="rId361" Type="http://schemas.openxmlformats.org/officeDocument/2006/relationships/hyperlink" Target="file:///C:\Users\Ufficio\AppData\Ufficio\Desktop\Amministrazione\Acquisti\2024\EV\Fatture\EV%20-%20LA%20PIAZZONI%20ft%209271%20del%2027-12-2024.pdf" TargetMode="External"/><Relationship Id="rId557" Type="http://schemas.openxmlformats.org/officeDocument/2006/relationships/hyperlink" Target="file:///C:\Users\Ufficio\AppData\Roaming\Acquisti\2025\EV\FATTURE\EV%20-%20BP33%20ft%202%20del%2025-01-2025.pdf" TargetMode="External"/><Relationship Id="rId599" Type="http://schemas.openxmlformats.org/officeDocument/2006/relationships/hyperlink" Target="file:///C:\Users\Ufficio\AppData\Roaming\Acquisti\2025\EV\FATTURE\EV%20-%20ASSOLARI%20DOMENICO%20ft%201606%20del%2030-09-2025.pdf" TargetMode="External"/><Relationship Id="rId196" Type="http://schemas.openxmlformats.org/officeDocument/2006/relationships/hyperlink" Target="file:///C:\Users\Ufficio\AppData\Roaming\Acquisti\2025\EV\FATTURE\EV%20-%20ROCCA%20GIUSEPPE%20ft%2011%20del%2025-02-2025.pdf" TargetMode="External"/><Relationship Id="rId417" Type="http://schemas.openxmlformats.org/officeDocument/2006/relationships/hyperlink" Target="file:///C:\Users\Ufficio\AppData\Roaming\Acquisti\2025\EV\FATTURE\EV%20-%20FORNONI%20MARMI%20SRL%20ft%2089%20del%2030-08-2025.pdf" TargetMode="External"/><Relationship Id="rId459" Type="http://schemas.openxmlformats.org/officeDocument/2006/relationships/hyperlink" Target="file:///C:\Users\Ufficio\AppData\Ufficio\Desktop\Amministrazione\Acquisti\2024\EV\Fatture\EV%20-%20EDILCOMMERCIO%20ft%202430%20del%2030-11-2024.pdf" TargetMode="External"/><Relationship Id="rId624" Type="http://schemas.openxmlformats.org/officeDocument/2006/relationships/printerSettings" Target="../printerSettings/printerSettings5.bin"/><Relationship Id="rId16" Type="http://schemas.openxmlformats.org/officeDocument/2006/relationships/hyperlink" Target="file:///C:\Users\Ufficio\AppData\Roaming\Acquisti\2025\EV\FATTURE\EV%20-%20VIEMME%20PORTE%20ft%201737%20del%2015-03-2025.pdf" TargetMode="External"/><Relationship Id="rId221" Type="http://schemas.openxmlformats.org/officeDocument/2006/relationships/hyperlink" Target="file:///C:\Users\Ufficio\AppData\Roaming\Microsoft\7aa421c7-2b34-46b2-9cb8-8bae2072a22d-72ee7a3a-836c-4167-a878-488259757a95\Amministrazione\Acquisti\2024\EV\Fatture\EV%20-%20RBP%20ft%20-417%20del%2031-07-2024.pdf" TargetMode="External"/><Relationship Id="rId263" Type="http://schemas.openxmlformats.org/officeDocument/2006/relationships/hyperlink" Target="file:///C:\Users\Ufficio\AppData\Roaming\Acquisti\2025\EV\FATTURE\EV%20-%20ORIGINAL%20SALADS%20ft%20767%20del%2018-06-2025.pdf" TargetMode="External"/><Relationship Id="rId319" Type="http://schemas.openxmlformats.org/officeDocument/2006/relationships/hyperlink" Target="file:///C:\Users\Ufficio\AppData\Roaming\Acquisti\2025\EV\FATTURE\EV%20-%20MADASCHI%20GIUSEPPE%20ft%2016%20del%2031-03-2025.pdf" TargetMode="External"/><Relationship Id="rId470" Type="http://schemas.openxmlformats.org/officeDocument/2006/relationships/hyperlink" Target="file:///C:\Users\Ufficio\AppData\Roaming\Acquisti\2025\EV\FATTURE\EV%20-%20ECOTAURUS%20ft%202078%20del%2003-04-2025.pdf" TargetMode="External"/><Relationship Id="rId526" Type="http://schemas.openxmlformats.org/officeDocument/2006/relationships/hyperlink" Target="file:///C:\Users\Ufficio\AppData\Roaming\Acquisti\2025\EV\FATTURE\EV%20-%20CHIURLO%20SRL%20ft%2019108792%20del%2025-06-2025.pdf" TargetMode="External"/><Relationship Id="rId58" Type="http://schemas.openxmlformats.org/officeDocument/2006/relationships/hyperlink" Target="file:///C:\Users\Ufficio\AppData\Roaming\Acquisti\2025\EV\FATTURE\EV%20-%20VERISURE%20SRL%20ft%20356889%20del%2001-02-2025.pdf" TargetMode="External"/><Relationship Id="rId123" Type="http://schemas.openxmlformats.org/officeDocument/2006/relationships/hyperlink" Target="file:///C:\Users\Ufficio\AppData\Roaming\Acquisti\2025\EV\FATTURE\EV%20-%20TELEPASS%20SPA%20ft%2069343603T%20del%2030-09-2025.pdf" TargetMode="External"/><Relationship Id="rId330" Type="http://schemas.openxmlformats.org/officeDocument/2006/relationships/hyperlink" Target="file:///C:\Users\Ufficio\AppData\Roaming\Acquisti\2025\EV\FATTURE\EV%20-%20LOCANDA%20ROSA%20SAS%20ft%20407%20del%2014-04-2025.pdf" TargetMode="External"/><Relationship Id="rId568" Type="http://schemas.openxmlformats.org/officeDocument/2006/relationships/hyperlink" Target="file:///C:\Users\Ufficio\AppData\Roaming\Acquisti\2025\EV\FATTURE\EV%20-%20BIALETTI%20ft%2063%20del%2010-05-2025.pdf" TargetMode="External"/><Relationship Id="rId165" Type="http://schemas.openxmlformats.org/officeDocument/2006/relationships/hyperlink" Target="file:///C:\Users\Ufficio\AppData\Roaming\Acquisti\2025\EV\FATTURE\EV%20-%20SPELGATTI%20ft%20256%20del%2031-01-2025.pdf" TargetMode="External"/><Relationship Id="rId372" Type="http://schemas.openxmlformats.org/officeDocument/2006/relationships/hyperlink" Target="file:///C:\Users\Ufficio\AppData\Roaming\Acquisti\2025\EV\FATTURE\EV%20-%20KUWAIT%20PETROLEUM%20ft%20PJ10190079%20del%2015-07-2025.pdf" TargetMode="External"/><Relationship Id="rId428" Type="http://schemas.openxmlformats.org/officeDocument/2006/relationships/hyperlink" Target="file:///C:\Users\Ufficio\AppData\Ufficio\Desktop\Amministrazione\Acquisti\2024\EV\Fatture\EV%20-%20F_LLI%20TESTA%20%20ft%204350%20del%2019-12-2024.pdf" TargetMode="External"/><Relationship Id="rId232" Type="http://schemas.openxmlformats.org/officeDocument/2006/relationships/hyperlink" Target="file:///C:\Users\Ufficio\AppData\Roaming\Acquisti\2025\EV\FATTURE\EV%20-%20POMA%20MARIO%20SRL%20ft%20852%20del%2013-03-2025.pdf" TargetMode="External"/><Relationship Id="rId274" Type="http://schemas.openxmlformats.org/officeDocument/2006/relationships/hyperlink" Target="file:///C:\Users\Ufficio\AppData\Roaming\Acquisti\2025\EV\FATTURE\EV%20-%20OLIMPIA%20ft%20467958%20del%2009-06-2025.pdf" TargetMode="External"/><Relationship Id="rId481" Type="http://schemas.openxmlformats.org/officeDocument/2006/relationships/hyperlink" Target="file:///C:\Users\Ufficio\AppData\Roaming\Acquisti\2025\EV\FATTURE\EV%20-%20ECOBERG%20SRL%20ft%2020%20del%2031-01-2025.pdf" TargetMode="External"/><Relationship Id="rId27" Type="http://schemas.openxmlformats.org/officeDocument/2006/relationships/hyperlink" Target="file:///C:\Users\Ufficio\AppData\Roaming\Acquisti\2025\EV\FATTURE\EV%20-%20VERISURE%20ft%20331805%20del%2001-09-2025.pdf" TargetMode="External"/><Relationship Id="rId69" Type="http://schemas.openxmlformats.org/officeDocument/2006/relationships/hyperlink" Target="file:///C:\Users\Ufficio\AppData\Roaming\Acquisti\2025\EV\FATTURE\EV%20-%20UNIACQUE%20SRL%20ft%20202510892147%20del%2019-09-2025.pdf" TargetMode="External"/><Relationship Id="rId134" Type="http://schemas.openxmlformats.org/officeDocument/2006/relationships/hyperlink" Target="file:///C:\Users\Ufficio\AppData\Roaming\Acquisti\2025\EV\FATTURE\EV%20-%20TECHIND%20SRL%20ft%202569%20del%2015-05-2025.pdf" TargetMode="External"/><Relationship Id="rId537" Type="http://schemas.openxmlformats.org/officeDocument/2006/relationships/hyperlink" Target="file:///C:\Users\Ufficio\AppData\Roaming\Acquisti\2025\EV\FATTURE\EV%20-%20CENPI%20SCRL%20ft%2013532%20del%2027-08-2025.pdf" TargetMode="External"/><Relationship Id="rId579" Type="http://schemas.openxmlformats.org/officeDocument/2006/relationships/hyperlink" Target="file:///C:\Users\Ufficio\AppData\Roaming\Acquisti\2025\EV\FATTURE\EV%20-%20BCC%20DI%20MILANO%20ft%206900402%20del%2028-02-2025.pdf" TargetMode="External"/><Relationship Id="rId80" Type="http://schemas.openxmlformats.org/officeDocument/2006/relationships/hyperlink" Target="file:///C:\Users\Ufficio\AppData\Roaming\Acquisti\2025\EV\FATTURE\EV%20-%20TRENTINO%20MOBILITA%20SPA%20ft%20136%20del%2030-01-2025.pdf" TargetMode="External"/><Relationship Id="rId176" Type="http://schemas.openxmlformats.org/officeDocument/2006/relationships/hyperlink" Target="file:///C:\Users\Ufficio\AppData\Roaming\Acquisti\2025\EV\FATTURE\EV%20-%20SER%20CAR%20ft%2022240%20del%2003-07-2025.pdf" TargetMode="External"/><Relationship Id="rId341" Type="http://schemas.openxmlformats.org/officeDocument/2006/relationships/hyperlink" Target="file:///C:\Users\Ufficio\AppData\Roaming\Acquisti\2025\EV\FATTURE\EV%20-%20LEROY%20MERLIN%20ft%20041-036214%20del%2030-07-2025.pdf" TargetMode="External"/><Relationship Id="rId383" Type="http://schemas.openxmlformats.org/officeDocument/2006/relationships/hyperlink" Target="file:///C:\Users\Ufficio\AppData\Roaming\Acquisti\2025\EV\FATTURE\EV-%20KUWAIT%20PETROLEUM%20ft%209440238%20del%2031-01-2025.pdf" TargetMode="External"/><Relationship Id="rId439" Type="http://schemas.openxmlformats.org/officeDocument/2006/relationships/hyperlink" Target="file:///C:\Users\Ufficio\AppData\Roaming\Acquisti\2025\EV\FATTURE\EV%20-%20EDILSCAVI%20SRL%20ft%205%20del%2026-05-2025.pdf" TargetMode="External"/><Relationship Id="rId590" Type="http://schemas.openxmlformats.org/officeDocument/2006/relationships/hyperlink" Target="file:///C:\Users\Ufficio\AppData\Roaming\Acquisti\2025\EV\FATTURE\EV%20-%20AUTOSTRADE%20PER%20L'ITALIA%20ft%206660810D%20del%2030-09-2025.pdf" TargetMode="External"/><Relationship Id="rId604" Type="http://schemas.openxmlformats.org/officeDocument/2006/relationships/hyperlink" Target="file:///C:\Users\Ufficio\AppData\Roaming\Acquisti\2025\EV\FATTURE\EV%20-%20ASSOLARI%20DOMENICO%20nc%20752%20del%2030-04-2025.pdf" TargetMode="External"/><Relationship Id="rId201" Type="http://schemas.openxmlformats.org/officeDocument/2006/relationships/hyperlink" Target="file:///C:\Users\Ufficio\AppData\Roaming\Acquisti\2025\EV\FATTURE\EV%20-%20MERELLI%20ANNAMARIA%20ft%20125000969%20del%2016-05-2025.pdf" TargetMode="External"/><Relationship Id="rId222" Type="http://schemas.openxmlformats.org/officeDocument/2006/relationships/hyperlink" Target="file:///C:\Users\Ufficio\AppData\Roaming\Microsoft\7aa421c7-2b34-46b2-9cb8-8bae2072a22d-72ee7a3a-836c-4167-a878-488259757a95\Amministrazione\Acquisti\2024\EV\Fatture\EV%20-%20RBP%20ft%20303%20del%2031-05-2024.pdf" TargetMode="External"/><Relationship Id="rId243" Type="http://schemas.openxmlformats.org/officeDocument/2006/relationships/hyperlink" Target="file:///C:\Users\Ufficio\AppData\Roaming\Acquisti\2025\EV\FATTURE\EV%20-%20PC%20GENESI%20ft%2015%20del%2031-03-2025.pdf" TargetMode="External"/><Relationship Id="rId264" Type="http://schemas.openxmlformats.org/officeDocument/2006/relationships/hyperlink" Target="file:///C:\Users\Ufficio\AppData\Roaming\Acquisti\2025\EV\FATTURE\EV%20-%20ORIGINAL%20SALADS%20ft%20465%20del%2015-04-2025.pdf" TargetMode="External"/><Relationship Id="rId285" Type="http://schemas.openxmlformats.org/officeDocument/2006/relationships/hyperlink" Target="file:///C:\Users\Ufficio\AppData\Acquisti\2025\EV\FATTURE\EV%20-%20NEWTEAM%20SRL%20ft%2000360%20del%2008-10-2025.pdf" TargetMode="External"/><Relationship Id="rId450" Type="http://schemas.openxmlformats.org/officeDocument/2006/relationships/hyperlink" Target="file:///C:\Users\Ufficio\AppData\Roaming\Acquisti\2025\EV\FATTURE\EV%20-%20EDILCOMMERCIO%20ft%201101%20del%2031-05-2025.pdf" TargetMode="External"/><Relationship Id="rId471" Type="http://schemas.openxmlformats.org/officeDocument/2006/relationships/hyperlink" Target="file:///C:\Users\Ufficio\AppData\Roaming\Acquisti\2025\EV\FATTURE\EV%20-%20ECOTAURUS%20ft%201426%20del%2006-0-2025.pdf" TargetMode="External"/><Relationship Id="rId506" Type="http://schemas.openxmlformats.org/officeDocument/2006/relationships/hyperlink" Target="file:///C:\Users\Ufficio\AppData\Roaming\Acquisti\2025\EV\FATTURE\EV%20-%20DA%20LEONE%20DI%20COSTA%20CARLO%20ft%20822%20del%2029-03-2025.pdf" TargetMode="External"/><Relationship Id="rId17" Type="http://schemas.openxmlformats.org/officeDocument/2006/relationships/hyperlink" Target="file:///C:\Users\Ufficio\AppData\Roaming\Acquisti\2025\EV\FATTURE\EV%20-%20VIEMME%20PORTE%20nc%2089%20del%2031-01-2025.pdf" TargetMode="External"/><Relationship Id="rId38" Type="http://schemas.openxmlformats.org/officeDocument/2006/relationships/hyperlink" Target="file:///C:\Users\Ufficio\AppData\Roaming\Acquisti\2025\EV\FATTURE\EV%20-%20VERISURE%20ft%20343378%20del%2001-06-2025.pdf" TargetMode="External"/><Relationship Id="rId59" Type="http://schemas.openxmlformats.org/officeDocument/2006/relationships/hyperlink" Target="file:///C:\Users\Ufficio\AppData\Roaming\Acquisti\2025\EV\FATTURE\EV%20-%20VERISURE%20ft%205745%20del%2001-01-2025.pdf" TargetMode="External"/><Relationship Id="rId103" Type="http://schemas.openxmlformats.org/officeDocument/2006/relationships/hyperlink" Target="file:///C:\Users\Ufficio\AppData\Roaming\Acquisti\2025\EV\FATTURE\EV%20-%20TERMOIDRAULICA%20V.M.%20nc%206%20del%2024-07-2025.pdf" TargetMode="External"/><Relationship Id="rId124" Type="http://schemas.openxmlformats.org/officeDocument/2006/relationships/hyperlink" Target="file:///C:\Users\Ufficio\AppData\Roaming\Acquisti\2025\EV\FATTURE\EV%20-%20TELEPASS%20SPA%20ft%2012048545%20del%2030-08-2025.pdf" TargetMode="External"/><Relationship Id="rId310" Type="http://schemas.openxmlformats.org/officeDocument/2006/relationships/hyperlink" Target="file:///C:\Users\Ufficio\AppData\Roaming\Acquisti\2025\EV\FATTURE\EV%20-%20MAZZUCCHELLI%20NADIA%20ft%2059%20del%2003-07-2025.pdf" TargetMode="External"/><Relationship Id="rId492" Type="http://schemas.openxmlformats.org/officeDocument/2006/relationships/hyperlink" Target="file:///C:\Users\Ufficio\AppData\Roaming\Acquisti\2025\EV\FATTURE\EV%20-%20DA%20LEONE%20DI%20COSTA%20CARLO%20ft%201647%20del%2001-07-2025.pdf" TargetMode="External"/><Relationship Id="rId527" Type="http://schemas.openxmlformats.org/officeDocument/2006/relationships/hyperlink" Target="file:///C:\Users\Ufficio\AppData\Roaming\Acquisti\2025\EV\FATTURE\EV%20-%20CHIURLO%20SRL%20nc%2019083273%20del%2027-05-2025.pdf" TargetMode="External"/><Relationship Id="rId548" Type="http://schemas.openxmlformats.org/officeDocument/2006/relationships/hyperlink" Target="file:///C:\Users\Ufficio\AppData\Roaming\Acquisti\2025\EV\FATTURE\EV%20-%20BUTTINONI%20GIUSEPPE%20ft%20588%20del%2023-06-2025.pdf" TargetMode="External"/><Relationship Id="rId569" Type="http://schemas.openxmlformats.org/officeDocument/2006/relationships/hyperlink" Target="file:///\\192.168.1.231\..\..\Desktop\Amministrazione\Acquisti\2024\EV\Fatture\EV%20-%20BERGAMELLI%20ft%20-1616%20del%2031-07-2024.pdf" TargetMode="External"/><Relationship Id="rId70" Type="http://schemas.openxmlformats.org/officeDocument/2006/relationships/hyperlink" Target="file:///C:\Users\Ufficio\AppData\Roaming\Acquisti\2025\EV\FATTURE\EV%20-%20UNIACQUE%20SRL%20ft%20202510892147%20del%2019-09-2025.pdf" TargetMode="External"/><Relationship Id="rId91" Type="http://schemas.openxmlformats.org/officeDocument/2006/relationships/hyperlink" Target="file:///C:\Users\Ufficio\AppData\Roaming\Acquisti\2025\EV\FATTURE\EV%20-%20TONY%20SRL%20ft%20342%20del%2014-03-2025.pdf" TargetMode="External"/><Relationship Id="rId145" Type="http://schemas.openxmlformats.org/officeDocument/2006/relationships/hyperlink" Target="file:///C:\Users\Ufficio\AppData\Ufficio\Desktop\Amministrazione\Acquisti\2024\EV\Fatture\EV%20-%20SYSTEM%20PROJECT%20ft%203612%20del%2031-10-2024.pdf" TargetMode="External"/><Relationship Id="rId166" Type="http://schemas.openxmlformats.org/officeDocument/2006/relationships/hyperlink" Target="file:///C:\Users\Ufficio\AppData\Roaming\Acquisti\2025\EV\FATTURE\EV%20-%20SPELGATTI%20ft%20256%20del%2031-01-2025.pdf" TargetMode="External"/><Relationship Id="rId187" Type="http://schemas.openxmlformats.org/officeDocument/2006/relationships/hyperlink" Target="file:///\\192.168.1.231\..\AppData\Acquisti\2024\EV\Fatture\EV%20-%20SALVETTI%20ft%20113%20del%2011-04-2024.pdf" TargetMode="External"/><Relationship Id="rId331" Type="http://schemas.openxmlformats.org/officeDocument/2006/relationships/hyperlink" Target="file:///\\192.168.1.231\..\AppData\Acquisti\2023\EV\Proforme\BELLOLI%204162%20nota%2027.10.23%20-%20Colombini_Gagliolo.pdf" TargetMode="External"/><Relationship Id="rId352" Type="http://schemas.openxmlformats.org/officeDocument/2006/relationships/hyperlink" Target="file:///C:\Users\Ufficio\AppData\Roaming\Acquisti\2025\EV\FATTURE\EV%20-%20LANFRANCHI%20MARCO%20ft%20637%20del%2031-05-2025+.pdf" TargetMode="External"/><Relationship Id="rId373" Type="http://schemas.openxmlformats.org/officeDocument/2006/relationships/hyperlink" Target="file:///C:\Users\Ufficio\AppData\Roaming\Acquisti\2025\EV\FATTURE\EV%20-%20KUWAIT%20PETROLEUM%20ft%2010140636%20del%2030-06-2025.pdf" TargetMode="External"/><Relationship Id="rId394" Type="http://schemas.openxmlformats.org/officeDocument/2006/relationships/hyperlink" Target="file:///C:\Users\Ufficio\AppData\Ufficio\Desktop\Amministrazione\Acquisti\2024\EV\Fatture\EV%20-%20INTESA%20HOME%20ft%20365%20del%2016-12-2024.pdf" TargetMode="External"/><Relationship Id="rId408" Type="http://schemas.openxmlformats.org/officeDocument/2006/relationships/hyperlink" Target="file:///C:\Users\Ufficio\AppData\Roaming\Acquisti\2025\EV\FATTURE\EV%20-%20AVV.%20MARIO%20GUAFFANTI%20ft%20861%20del%2017-06-2025.pdf" TargetMode="External"/><Relationship Id="rId429" Type="http://schemas.openxmlformats.org/officeDocument/2006/relationships/hyperlink" Target="file:///C:\Users\Ufficio\AppData\Ufficio\Desktop\Amministrazione\Acquisti\2024\EV\Fatture\EV%20-%20F_LLI%20TESTA%20ft%204048%20del%2030-11-2024.pdf" TargetMode="External"/><Relationship Id="rId580" Type="http://schemas.openxmlformats.org/officeDocument/2006/relationships/hyperlink" Target="file:///C:\Users\Ufficio\AppData\Roaming\Acquisti\2025\EV\FATTURE\EV%20-%20BCC%20DI%20MILANO%20ft%200040%20del%2031-01-2025.pdf" TargetMode="External"/><Relationship Id="rId615" Type="http://schemas.openxmlformats.org/officeDocument/2006/relationships/hyperlink" Target="file:///C:\Users\Ufficio\AppData\Ufficio\Desktop\Amministrazione\Acquisti\2024\EV\Fatture\EV%20-%20ARTES%20ft%20783%20del%2012-11-2024.pdf" TargetMode="External"/><Relationship Id="rId1" Type="http://schemas.openxmlformats.org/officeDocument/2006/relationships/hyperlink" Target="file:///C:\Users\Ufficio\AppData\Roaming\Acquisti\2025\EV\FATTURE\EV%20-%20ZENONI%20MAICOL%20ALESSANDRO%20ft%201%20del%2028-01-2025.pdf" TargetMode="External"/><Relationship Id="rId212" Type="http://schemas.openxmlformats.org/officeDocument/2006/relationships/hyperlink" Target="file:///C:\Users\Ufficio\AppData\Roaming\Acquisti\2025\EV\FATTURE\EV%20-%20RBP%20ft%20348%20del%2030-06-2025.pdf" TargetMode="External"/><Relationship Id="rId233" Type="http://schemas.openxmlformats.org/officeDocument/2006/relationships/hyperlink" Target="file:///C:\Users\Ufficio\AppData\Roaming\Acquisti\2025\EV\FATTURE\EV%20-%20POKER%20DI%20GRASSI%20DANILO%20ft%2085%20del%2028-02-2025.pdf" TargetMode="External"/><Relationship Id="rId254" Type="http://schemas.openxmlformats.org/officeDocument/2006/relationships/hyperlink" Target="file:///C:\Users\Ufficio\AppData\Roaming\Acquisti\2025\EV\FATTURE\EV%20-%20PARCHEGGI%20ITALIA%20SPA%20ft%20108007679%20del%2030-03-2025.pdf" TargetMode="External"/><Relationship Id="rId440" Type="http://schemas.openxmlformats.org/officeDocument/2006/relationships/hyperlink" Target="file:///C:\Users\Ufficio\AppData\Roaming\Acquisti\2025\EV\FATTURE\EV%20-%20EDILSCAVI%20SRL%20ft%205%20del%2026-05-2025.pdf" TargetMode="External"/><Relationship Id="rId28" Type="http://schemas.openxmlformats.org/officeDocument/2006/relationships/hyperlink" Target="file:///C:\Users\Ufficio\AppData\Roaming\Acquisti\2025\EV\FATTURE\EV%20-%20VERISURE%20ft%20376690%20del%2001-09-2025.pdf" TargetMode="External"/><Relationship Id="rId49" Type="http://schemas.openxmlformats.org/officeDocument/2006/relationships/hyperlink" Target="file:///C:\Users\Ufficio\AppData\Roaming\Acquisti\2025\EV\FATTURE\EV-%20VERISURE%20SRL%20ft%20265521%20DEL%2001-04-2025.pdf" TargetMode="External"/><Relationship Id="rId114" Type="http://schemas.openxmlformats.org/officeDocument/2006/relationships/hyperlink" Target="file:///C:\Users\Ufficio\AppData\Ufficio\Desktop\Amministrazione\Acquisti\2024\EV\Fatture\EV-%20TERMOIDRAULICA%20VM%20ft%20222%20del%2030-12-2024.pdf" TargetMode="External"/><Relationship Id="rId275" Type="http://schemas.openxmlformats.org/officeDocument/2006/relationships/hyperlink" Target="file:///C:\Users\Ufficio\AppData\Roaming\Acquisti\2025\EV\FATTURE\EV%20-%20OLIMPIA%20ft%20467962%20del%2009-06-2025.pdf" TargetMode="External"/><Relationship Id="rId296" Type="http://schemas.openxmlformats.org/officeDocument/2006/relationships/hyperlink" Target="file:///\\192.168.1.231\..\AppData\Acquisti\2024\EV\Fatture\EV%20-%20MOIOLI%20ft%20247%20del%2030-04-2024.pdf" TargetMode="External"/><Relationship Id="rId300" Type="http://schemas.openxmlformats.org/officeDocument/2006/relationships/hyperlink" Target="file:///C:\Users\Ufficio\AppData\Roaming\Acquisti\2025\EV\FATTURE\EV%20-%20METRO%20ft%2012293%20del%2014-06-2025.pdf" TargetMode="External"/><Relationship Id="rId461" Type="http://schemas.openxmlformats.org/officeDocument/2006/relationships/hyperlink" Target="file:///C:\Users\Ufficio\AppData\Ufficio\Desktop\Amministrazione\Acquisti\2024\EV\Fatture\EV%20-%20EDILCOMMERCIO%20ft%202068%20del%2015-10-2024.pdf" TargetMode="External"/><Relationship Id="rId482" Type="http://schemas.openxmlformats.org/officeDocument/2006/relationships/hyperlink" Target="file:///C:\Users\Ufficio\AppData\Roaming\Acquisti\2025\EV\FATTURE\EV%20-%20EON%20ENERGIA%20ft%2040148857%20del%2001-08-2025.pdf" TargetMode="External"/><Relationship Id="rId517" Type="http://schemas.openxmlformats.org/officeDocument/2006/relationships/hyperlink" Target="file:///C:\Users\Ufficio\AppData\Roaming\Acquisti\2025\EV\FATTURE\EV%20-%20COSTRUZIONI%20EDILI%20ALMICI%20ft%2043%20del%2021-05-2025.pdf" TargetMode="External"/><Relationship Id="rId538" Type="http://schemas.openxmlformats.org/officeDocument/2006/relationships/hyperlink" Target="file:///C:\Users\Ufficio\AppData\Roaming\Acquisti\2025\EV\FATTURE\EV%20-%20CAVALLINI%20&amp;%20PARTNERS%20ft%201002%20del%2018-09-2025.pdf" TargetMode="External"/><Relationship Id="rId559" Type="http://schemas.openxmlformats.org/officeDocument/2006/relationships/hyperlink" Target="file:///C:\Users\Ufficio\AppData\Roaming\Acquisti\2025\EV\FATTURE\EV%20-%20BORGIA%20GABRIELE%20ft%2019%20del%2030-07-2025.pdf" TargetMode="External"/><Relationship Id="rId60" Type="http://schemas.openxmlformats.org/officeDocument/2006/relationships/hyperlink" Target="file:///C:\Users\Ufficio\AppData\Roaming\Acquisti\2025\EV\FATTURE\EV%20-%20VERISURE%20ft%207429%20del%2001-01-2025.pdf" TargetMode="External"/><Relationship Id="rId81" Type="http://schemas.openxmlformats.org/officeDocument/2006/relationships/hyperlink" Target="file:///C:\Users\Ufficio\AppData\Roaming\Acquisti\2025\EV\FATTURE\EV%20-%20TRATTORIA%20PARIETTI%20ft%20317%20del%2010-05-2025.pdf" TargetMode="External"/><Relationship Id="rId135" Type="http://schemas.openxmlformats.org/officeDocument/2006/relationships/hyperlink" Target="file:///C:\Users\Ufficio\AppData\Roaming\Acquisti\2025\EV\FATTURE\EV%20-%20TAVERNA%20SAN%20GIORGIO%20ft%20572%20del%2020-05-2025.pdf" TargetMode="External"/><Relationship Id="rId156" Type="http://schemas.openxmlformats.org/officeDocument/2006/relationships/hyperlink" Target="file:///C:\Users\Ufficio\AppData\Roaming\Acquisti\2025\EV\FATTURE\EV%20-%20STELLA%20HOME%20ft%20158%20del%2029-08-2025.pdf" TargetMode="External"/><Relationship Id="rId177" Type="http://schemas.openxmlformats.org/officeDocument/2006/relationships/hyperlink" Target="file:///C:\Users\Ufficio\AppData\Roaming\Acquisti\2025\EV\FATTURE\EV%20-%20SER%20CAR%20ft%2022215%20del%2002-07-2025.pdf" TargetMode="External"/><Relationship Id="rId198" Type="http://schemas.openxmlformats.org/officeDocument/2006/relationships/hyperlink" Target="file:///C:\Users\Ufficio\AppData\Roaming\Acquisti\2025\EV\FATTURE\EV%20-%20RISTORANTE%20PIZZERIA%20CENTAURI%20ft%201296%20del%2002-07-2025.pdf" TargetMode="External"/><Relationship Id="rId321" Type="http://schemas.openxmlformats.org/officeDocument/2006/relationships/hyperlink" Target="file:///C:\Users\Ufficio\AppData\Ufficio\Desktop\Amministrazione\Acquisti\2024\EV\Fatture\EV%20-%20MADASCHI%20GIUSEPPE%20ft%20105%20del%2023-12-204.pdf" TargetMode="External"/><Relationship Id="rId342" Type="http://schemas.openxmlformats.org/officeDocument/2006/relationships/hyperlink" Target="file:///C:\Users\Ufficio\AppData\Roaming\Acquisti\2025\EV\FATTURE\EV%20-%20LEROY%20MERLIN%20ft%2033921%20del%2016-07-2025.pdf" TargetMode="External"/><Relationship Id="rId363" Type="http://schemas.openxmlformats.org/officeDocument/2006/relationships/hyperlink" Target="file:///C:\Users\Ufficio\AppData\Ufficio\Desktop\Amministrazione\Acquisti\2024\EV\Fatture\EV%20-%20LA%20PIAZZONI%20ft%206079%20del%2031-08-2024.pdf" TargetMode="External"/><Relationship Id="rId384" Type="http://schemas.openxmlformats.org/officeDocument/2006/relationships/hyperlink" Target="file:///C:\Users\Ufficio\AppData\Roaming\Acquisti\2025\EV\FATTURE\EV%20-%20KUWAIT%20PETROLEUM%20ft%207306%20del%2015-01-2025.pdf" TargetMode="External"/><Relationship Id="rId419" Type="http://schemas.openxmlformats.org/officeDocument/2006/relationships/hyperlink" Target="file:///C:\Users\Ufficio\AppData\Roaming\Acquisti\2025\EV\FATTURE\EV%20-%20FORNONI%20MARMI%20SRL%20ft%2052%20del%2031-05-2025.pdf" TargetMode="External"/><Relationship Id="rId570" Type="http://schemas.openxmlformats.org/officeDocument/2006/relationships/hyperlink" Target="file:///\\192.168.1.231\..\..\Desktop\Amministrazione\Acquisti\2024\EV\Fatture\EV%20-%20BERGAMELLI%20ft%201397%20del%2030-06-2024.pdf" TargetMode="External"/><Relationship Id="rId591" Type="http://schemas.openxmlformats.org/officeDocument/2006/relationships/hyperlink" Target="file:///C:\Users\Ufficio\AppData\Roaming\Acquisti\2025\EV\FATTURE\EV%20-%20AUTOSTRADE%20PER%20L'ITALIA%20ft%205897417D%20del%2030-08-2025.pdf" TargetMode="External"/><Relationship Id="rId605" Type="http://schemas.openxmlformats.org/officeDocument/2006/relationships/hyperlink" Target="file:///C:\Users\Ufficio\AppData\Roaming\Acquisti\2025\EV\FATTURE\EV%20-%20ASSOLARI%20DOMENICO%20ft%20635%20del%2030-04-2025.pdf" TargetMode="External"/><Relationship Id="rId202" Type="http://schemas.openxmlformats.org/officeDocument/2006/relationships/hyperlink" Target="file:///C:\Users\Ufficio\AppData\Roaming\Acquisti\2025\EV\FATTURE\EV%20-%20MERELLI%20ANNAMARIA%20ft%20125000956%20del%2015-05-2025.pdf" TargetMode="External"/><Relationship Id="rId223" Type="http://schemas.openxmlformats.org/officeDocument/2006/relationships/hyperlink" Target="file:///\\192.168.1.231\..\AppData\Acquisti\2024\EV\Fatture\EV%20-%20RBP%20ft%20238%20del%2030-04-2024.pdf" TargetMode="External"/><Relationship Id="rId244" Type="http://schemas.openxmlformats.org/officeDocument/2006/relationships/hyperlink" Target="file:///C:\Users\Ufficio\AppData\Roaming\Acquisti\2025\EV\FATTURE\EV%20-%20PARCHEGGI%20ITALIA%20SPA%20ft%20214009126P%20del%2030-09-2025.pdf" TargetMode="External"/><Relationship Id="rId430" Type="http://schemas.openxmlformats.org/officeDocument/2006/relationships/hyperlink" Target="file:///C:\Users\Ufficio\AppData\Roaming\Microsoft\7aa421c7-2b34-46b2-9cb8-8bae2072a22d-72ee7a3a-836c-4167-a878-488259757a95\Amministrazione\Acquisti\2024\EV\Fatture\EV%20-%20F_LLI%20TESTA%20ft%203043%20del%2031-08-2024.pdf" TargetMode="External"/><Relationship Id="rId18" Type="http://schemas.openxmlformats.org/officeDocument/2006/relationships/hyperlink" Target="file:///C:\Users\Ufficio\AppData\Roaming\Acquisti\2025\EV\FATTURE\EV%20-%20VIEMME%20PORTE%20ft%2018%20del%2013-01-2025.pdf" TargetMode="External"/><Relationship Id="rId39" Type="http://schemas.openxmlformats.org/officeDocument/2006/relationships/hyperlink" Target="file:///C:\Users\Ufficio\AppData\Roaming\Acquisti\2025\EV\FATTURE\EV%20-%20VERISURE%20ft%20355561%20del%2001-06-2025.pdf" TargetMode="External"/><Relationship Id="rId265" Type="http://schemas.openxmlformats.org/officeDocument/2006/relationships/hyperlink" Target="file:///C:\Users\Ufficio\AppData\Roaming\Acquisti\2025\EV\FATTURE\EV%20-%20OLTREVINO%20DI%20ANTONIO%20LACERENZA%20ft%2011%20del%2014-02-2025.pdf" TargetMode="External"/><Relationship Id="rId286" Type="http://schemas.openxmlformats.org/officeDocument/2006/relationships/hyperlink" Target="file:///C:\Users\Ufficio\AppData\Roaming\Acquisti\2025\EV\FATTURE\EV%20-%20NEWTEAM%20SRL%20ft%2030722800085%20del%2014-03-2025.pdf" TargetMode="External"/><Relationship Id="rId451" Type="http://schemas.openxmlformats.org/officeDocument/2006/relationships/hyperlink" Target="file:///C:\Users\Ufficio\AppData\Roaming\Acquisti\2025\EV\FATTURE\EV%20-%20EDILCOMMERCIO%20ft%20984%20del%2015-05-2025.pdf" TargetMode="External"/><Relationship Id="rId472" Type="http://schemas.openxmlformats.org/officeDocument/2006/relationships/hyperlink" Target="file:///C:\Users\Ufficio\AppData\Roaming\Acquisti\2025\EV\FATTURE\EV%20-%20ECOTAURUS%20ft%20905%20del%2011-02-2025.pdf" TargetMode="External"/><Relationship Id="rId493" Type="http://schemas.openxmlformats.org/officeDocument/2006/relationships/hyperlink" Target="file:///C:\Users\Ufficio\AppData\Roaming\Acquisti\2025\EV\FATTURE\EV%20-%20DA%20LEONE%20DI%20COSTA%20CARLO%20ft%201653%20del%2001-07-2025.pdf" TargetMode="External"/><Relationship Id="rId507" Type="http://schemas.openxmlformats.org/officeDocument/2006/relationships/hyperlink" Target="file:///C:\Users\Ufficio\AppData\Roaming\Acquisti\2025\EV\FATTURE\EV%20-%20DA%20LEONE%20DI%20COSTA%20CARLO%20ft%20770%20del%2022-03-2025.pdf" TargetMode="External"/><Relationship Id="rId528" Type="http://schemas.openxmlformats.org/officeDocument/2006/relationships/hyperlink" Target="file:///C:\Users\Ufficio\AppData\Roaming\Acquisti\2025\EV\FATTURE\EV%20-%20CHIURLO%20SRL%20ft%2019087393%20del%2027-05-2025.pdf" TargetMode="External"/><Relationship Id="rId549" Type="http://schemas.openxmlformats.org/officeDocument/2006/relationships/hyperlink" Target="file:///C:\Users\Ufficio\AppData\Roaming\Acquisti\2025\EV\FATTURE\EV%20-%20BUTTINONI%20GIUSEPPE%20ft%20581%20del%2020-06-2025.pdf" TargetMode="External"/><Relationship Id="rId50" Type="http://schemas.openxmlformats.org/officeDocument/2006/relationships/hyperlink" Target="file:///C:\Users\Ufficio\AppData\Roaming\Acquisti\2025\EV\FATTURE\EV%20-%20VERISURE%20SRL%20ft%20346303%20del%2001-04-2025.pdf" TargetMode="External"/><Relationship Id="rId104" Type="http://schemas.openxmlformats.org/officeDocument/2006/relationships/hyperlink" Target="file:///C:\Users\Ufficio\AppData\Roaming\Acquisti\2025\EV\FATTURE\EV%20-%20TERMOIDRAULICA%20V.M.%20ft%20109%20del%2024-07-2025.pdf" TargetMode="External"/><Relationship Id="rId125" Type="http://schemas.openxmlformats.org/officeDocument/2006/relationships/hyperlink" Target="file:///C:\Users\Ufficio\AppData\Roaming\Acquisti\2025\EV\FATTURE\EV%20-%20TELEPASS%20SPA%20ft%2066829724%20del%2030-08-2025.pdf" TargetMode="External"/><Relationship Id="rId146" Type="http://schemas.openxmlformats.org/officeDocument/2006/relationships/hyperlink" Target="file:///\\192.168.1.231\..\..\Desktop\Amministrazione\Acquisti\2024\EV\Fatture\EV%20-%20SYSTEM%20PROJECT%20ft%201698%20del%2031-05-2024.pdf" TargetMode="External"/><Relationship Id="rId167" Type="http://schemas.openxmlformats.org/officeDocument/2006/relationships/hyperlink" Target="file:///C:\Users\Ufficio\AppData\Roaming\Acquisti\2025\EV\FATTURE\EV%20-%20SESSANTINI%20IMPIANTI%20SRL%20ft%20416%20del%2018-08-2025.pdf" TargetMode="External"/><Relationship Id="rId188" Type="http://schemas.openxmlformats.org/officeDocument/2006/relationships/hyperlink" Target="file:///\\192.168.1.231\..\AppData\Acquisti\2024\EV\Fatture\EV%20-%20SALVETTI%20ft%20112%20del%2011-04-2024.pdf" TargetMode="External"/><Relationship Id="rId311" Type="http://schemas.openxmlformats.org/officeDocument/2006/relationships/hyperlink" Target="file:///C:\Users\Ufficio\AppData\Roaming\Acquisti\2025\EV\FATTURE\EV%20-%20MAZZOLENI%20RUDY%20ft%205%20del%2017-02-2025.pdf" TargetMode="External"/><Relationship Id="rId332" Type="http://schemas.openxmlformats.org/officeDocument/2006/relationships/hyperlink" Target="file:///\\192.168.1.231\..\AppData\Acquisti\2023\EV\Proforme\BELLOLI%204162%20nota%2027.10.23%20-%20Colombini_Gagliolo.pdf" TargetMode="External"/><Relationship Id="rId353" Type="http://schemas.openxmlformats.org/officeDocument/2006/relationships/hyperlink" Target="file:///C:\Users\Ufficio\AppData\Roaming\Acquisti\2025\EV\FATTURE\EV%20-%20LANFRANCHI%20MARCO%20ft%20502%20del%2030-04-2025.pdf" TargetMode="External"/><Relationship Id="rId374" Type="http://schemas.openxmlformats.org/officeDocument/2006/relationships/hyperlink" Target="file:///C:\Users\Ufficio\AppData\Roaming\Acquisti\2025\EV\FATTURE\EV%20-%20KUWAIT%20PETROLEUM%20ft%20PJ10056457%20del%2015-06-2025.pdf" TargetMode="External"/><Relationship Id="rId395" Type="http://schemas.openxmlformats.org/officeDocument/2006/relationships/hyperlink" Target="file:///C:\Users\Ufficio\AppData\Acquisti\2025\EV\FATTURE\EV%20-%20INFOCAMERE%20ft%2025060472%20del%2003-10-2025.pdf" TargetMode="External"/><Relationship Id="rId409" Type="http://schemas.openxmlformats.org/officeDocument/2006/relationships/hyperlink" Target="file:///C:\Users\Ufficio\AppData\Roaming\Acquisti\2025\EV\FATTURE\EV%20-%20GUALENI%20PAOLO%20ft%20001%20del%2010-01-2025.pdf" TargetMode="External"/><Relationship Id="rId560" Type="http://schemas.openxmlformats.org/officeDocument/2006/relationships/hyperlink" Target="file:///C:\Users\Ufficio\AppData\Roaming\Acquisti\2025\EV\FATTURE\EV%20-%20BORDOGNI%20FABIO%20ft%20506%20del%2016-06-2025.pdf" TargetMode="External"/><Relationship Id="rId581" Type="http://schemas.openxmlformats.org/officeDocument/2006/relationships/hyperlink" Target="file:///C:\Users\Ufficio\AppData\Roaming\Acquisti\2025\EV\FATTURE\EV%20-%20BARAZZONI%20ft%2034%20del%2004-08-2025.pdf" TargetMode="External"/><Relationship Id="rId71" Type="http://schemas.openxmlformats.org/officeDocument/2006/relationships/hyperlink" Target="file:///C:\Users\Ufficio\AppData\Roaming\Acquisti\2025\EV\FATTURE\EV%20-%20UNIACQUE%20SRL%20ft%20202510743674%20del%2005-08-2025.pdf" TargetMode="External"/><Relationship Id="rId92" Type="http://schemas.openxmlformats.org/officeDocument/2006/relationships/hyperlink" Target="file:///C:\Users\Ufficio\AppData\Roaming\Acquisti\2025\EV\FATTURE\EV%20-%20TOMASONI%20ING.%20LUIGI%20ft%2013%20del%2005-02-2025.pdf" TargetMode="External"/><Relationship Id="rId213" Type="http://schemas.openxmlformats.org/officeDocument/2006/relationships/hyperlink" Target="file:///C:\Users\Ufficio\AppData\Roaming\Acquisti\2025\EV\FATTURE\EV%20-%20RBP%20ft%20353%20del%2030-06-2025.pdf" TargetMode="External"/><Relationship Id="rId234" Type="http://schemas.openxmlformats.org/officeDocument/2006/relationships/hyperlink" Target="file:///C:\Users\Ufficio\AppData\Roaming\Acquisti\2025\EV\FATTURE\EV%20-%20POKER%20DI%20GRASSI%20DANILO%20ft%2085%20del%2028-02-2025.pdf" TargetMode="External"/><Relationship Id="rId420" Type="http://schemas.openxmlformats.org/officeDocument/2006/relationships/hyperlink" Target="file:///C:\Users\Ufficio\AppData\Roaming\Acquisti\2025\EV\FATTURE\EV-%20FERRARI%20ALBERTO%20ft%2022%20del%2025-02-2025.pdf" TargetMode="External"/><Relationship Id="rId616" Type="http://schemas.openxmlformats.org/officeDocument/2006/relationships/hyperlink" Target="file:///C:\Users\Ufficio\AppData\Roaming\Acquisti\2025\EV\PROFORME\antonio%20giannetta%20-%20proforma%20n.9%20del%2029-01-2025.pdf" TargetMode="External"/><Relationship Id="rId2" Type="http://schemas.openxmlformats.org/officeDocument/2006/relationships/hyperlink" Target="file:///C:\Users\Ufficio\AppData\Roaming\Acquisti\2025\EV\FATTURE\EV%20-%20RINALDI%20KRISTIAN%20ft%201%20del%2025-06-2025.pdf" TargetMode="External"/><Relationship Id="rId29" Type="http://schemas.openxmlformats.org/officeDocument/2006/relationships/hyperlink" Target="file:///C:\Users\Ufficio\AppData\Roaming\Acquisti\2025\EV\FATTURE\EV%20-%20VERISURE%20ft%20239041%20del%2001-08-2025.pdf" TargetMode="External"/><Relationship Id="rId255" Type="http://schemas.openxmlformats.org/officeDocument/2006/relationships/hyperlink" Target="file:///C:\Users\Ufficio\AppData\Roaming\Acquisti\2025\EV\FATTURE\EV%20-%20PARCHEGGI%20ITALIA%20SPA%20ft%20602003164%20del%2030-03-2025.pdf" TargetMode="External"/><Relationship Id="rId276" Type="http://schemas.openxmlformats.org/officeDocument/2006/relationships/hyperlink" Target="file:///C:\Users\Ufficio\AppData\Roaming\Acquisti\2025\EV\FATTURE\EV%20-%20OLIMPIA%20SRL%20ft%20386042%20del%2012-05-2025.pdf" TargetMode="External"/><Relationship Id="rId297" Type="http://schemas.openxmlformats.org/officeDocument/2006/relationships/hyperlink" Target="file:///\\192.168.1.231\..\AppData\Acquisti\2023\EV\Fatture\EV%20-%20MOIOLI%20ft%20972%20del%2022-12-2023.pdf" TargetMode="External"/><Relationship Id="rId441" Type="http://schemas.openxmlformats.org/officeDocument/2006/relationships/hyperlink" Target="file:///C:\Users\Ufficio\AppData\Roaming\Acquisti\2025\EV\FATTURE\EV%20-%20EDILSCAVI%20SRL%20ft%201%20del%2002-03-2025.pdf" TargetMode="External"/><Relationship Id="rId462" Type="http://schemas.openxmlformats.org/officeDocument/2006/relationships/hyperlink" Target="file:///C:\Users\Ufficio\AppData\Roaming\Acquisti\2025\EV\FATTURE\EV-%20EDILCOMMERCIO%20ft%20159%20del%2031-01-2025.pdf" TargetMode="External"/><Relationship Id="rId483" Type="http://schemas.openxmlformats.org/officeDocument/2006/relationships/hyperlink" Target="file:///C:\Users\Ufficio\AppData\Roaming\Acquisti\2025\EV\FATTURE\EV%20-%20EON%20ENERGIA%20ft%2040064096%20del%2001-04-2025.pdf" TargetMode="External"/><Relationship Id="rId518" Type="http://schemas.openxmlformats.org/officeDocument/2006/relationships/hyperlink" Target="file:///C:\Users\Ufficio\AppData\Roaming\Acquisti\2025\EV\FATTURE\EV%20-%20COSTRUZIONI%20EDILI%20ALMICI%20ft%2043%20del%2021-05-2025.pdf" TargetMode="External"/><Relationship Id="rId539" Type="http://schemas.openxmlformats.org/officeDocument/2006/relationships/hyperlink" Target="file:///C:\Users\Ufficio\AppData\Roaming\Acquisti\2025\EV\FATTURE\EV%20-%20CASALI%20NICOLA%20ft%2010%20del%2006-02-2025.pdf" TargetMode="External"/><Relationship Id="rId40" Type="http://schemas.openxmlformats.org/officeDocument/2006/relationships/hyperlink" Target="file:///C:\Users\Ufficio\AppData\Roaming\Acquisti\2025\EV\FATTURE\EV%20-%20VERISURE%20ft%20358449%20del%2001-06-2025.pdf" TargetMode="External"/><Relationship Id="rId115" Type="http://schemas.openxmlformats.org/officeDocument/2006/relationships/hyperlink" Target="file:///C:\Users\Ufficio\AppData\Ufficio\Desktop\Amministrazione\Acquisti\2024\EV\Fatture\EV-%20TERMOIDRAULICA%20VM%20ft%20222%20del%2030-12-2024.pdf" TargetMode="External"/><Relationship Id="rId136" Type="http://schemas.openxmlformats.org/officeDocument/2006/relationships/hyperlink" Target="file:///C:\Users\Ufficio\AppData\Roaming\Acquisti\2025\EV\FATTURE\EV%20-%20TAPPEZZIERE%20MORONI%20ft%2077%20del%2011-06-2025.pdf" TargetMode="External"/><Relationship Id="rId157" Type="http://schemas.openxmlformats.org/officeDocument/2006/relationships/hyperlink" Target="file:///C:\Users\Ufficio\AppData\Roaming\Acquisti\2025\EV\FATTURE\EV%20-%20SPELGATTI%20ft%201342%20del%2031-05-2025.pdf" TargetMode="External"/><Relationship Id="rId178" Type="http://schemas.openxmlformats.org/officeDocument/2006/relationships/hyperlink" Target="file:///C:\Users\Ufficio\AppData\Roaming\Acquisti\2025\EV\FATTURE\EV%20-%20SER%20CAR%20ft%2022182%20del%2030-06-2025.pdf" TargetMode="External"/><Relationship Id="rId301" Type="http://schemas.openxmlformats.org/officeDocument/2006/relationships/hyperlink" Target="file:///C:\Users\Ufficio\AppData\Roaming\Acquisti\2025\EV\FATTURE\EV%20-%20METRO%20ft%202691%20del%2008-03-2025.pdf" TargetMode="External"/><Relationship Id="rId322" Type="http://schemas.openxmlformats.org/officeDocument/2006/relationships/hyperlink" Target="file:///C:\Users\Ufficio\AppData\Acquisti\2025\EV\FATTURE\EV%20-%20LUCE%20IN%20nc%201780%20del%2030-09-2025.pdf" TargetMode="External"/><Relationship Id="rId343" Type="http://schemas.openxmlformats.org/officeDocument/2006/relationships/hyperlink" Target="file:///C:\Users\Ufficio\AppData\Roaming\Acquisti\2025\EV\FATTURE\EV%20-%20LEROY%20MERLIN%20ft%2031572%20del%2002-07-2025.pdf" TargetMode="External"/><Relationship Id="rId364" Type="http://schemas.openxmlformats.org/officeDocument/2006/relationships/hyperlink" Target="file:///C:\Users\Ufficio\AppData\Ufficio\Desktop\Amministrazione\Acquisti\2024\EV\Fatture\EV%20-%20LA%20PIAZZONI%20ft%204245%20del%2031-05-2024.pdf" TargetMode="External"/><Relationship Id="rId550" Type="http://schemas.openxmlformats.org/officeDocument/2006/relationships/hyperlink" Target="file:///C:\Users\Ufficio\AppData\Roaming\Acquisti\2025\EV\FATTURE\EV%20-%20BUTTINONI%20GIUSEPPE%20ft%20403%20del%2024-04-2025.pdf" TargetMode="External"/><Relationship Id="rId61" Type="http://schemas.openxmlformats.org/officeDocument/2006/relationships/hyperlink" Target="file:///C:\Users\Ufficio\AppData\Roaming\Acquisti\2025\EV\FATTURE\EV%20-%20VERISURE%20ft%207335%20del%2001-01-2025.pdf" TargetMode="External"/><Relationship Id="rId82" Type="http://schemas.openxmlformats.org/officeDocument/2006/relationships/hyperlink" Target="file:///C:\Users\Ufficio\AppData\Roaming\Acquisti\2025\EV\FATTURE\EV%20-%20TRATTORIA%20LA%20PATTA%20ft%201433%20del%2030-06-2025.pdf" TargetMode="External"/><Relationship Id="rId199" Type="http://schemas.openxmlformats.org/officeDocument/2006/relationships/hyperlink" Target="file:///C:\Users\Ufficio\AppData\Roaming\Acquisti\2025\EV\FATTURE\EV%20-%20RISTORANTE%20PIZZERIA%20CENTAURI%20ft%201272%20del%2030-06-2025.pdf" TargetMode="External"/><Relationship Id="rId203" Type="http://schemas.openxmlformats.org/officeDocument/2006/relationships/hyperlink" Target="file:///C:\Users\Ufficio\AppData\Roaming\Acquisti\2025\EV\FATTURE\EV%20-%20RINALDI%20GIULIA%20ft%2041%20del%2004-04-2025.pdf" TargetMode="External"/><Relationship Id="rId385" Type="http://schemas.openxmlformats.org/officeDocument/2006/relationships/hyperlink" Target="file:///C:\Users\Ufficio\AppData\Roaming\Acquisti\2025\EV\FATTURE\EV%20-%20IRIS%20MOBILI%20SRL%20ft%202440502%20del%2023-09-2025.pdf" TargetMode="External"/><Relationship Id="rId571" Type="http://schemas.openxmlformats.org/officeDocument/2006/relationships/hyperlink" Target="file:///\\192.168.1.231\..\AppData\Acquisti\2023\EV\Proforme\Belloli%20doc%204195%20del%2030-11-2023%20--%20Colombini%20PIGN%20QUOTE%20nota%20pro%20forma.pdf" TargetMode="External"/><Relationship Id="rId592" Type="http://schemas.openxmlformats.org/officeDocument/2006/relationships/hyperlink" Target="file:///C:\Users\Ufficio\AppData\Roaming\Acquisti\2025\EV\FATTURE\EV%20-%20AUTOSTRADE%20PER%20L'ITALIA%20ft%204857452D%20del%2030-07-2025.pdf" TargetMode="External"/><Relationship Id="rId606" Type="http://schemas.openxmlformats.org/officeDocument/2006/relationships/hyperlink" Target="file:///C:\Users\Ufficio\AppData\Roaming\Acquisti\2025\EV\FATTURE\EV%20-%20ASSOLARI%20DOMENICO%20ft%20447%20del%2031-03-2025.pdf" TargetMode="External"/><Relationship Id="rId19" Type="http://schemas.openxmlformats.org/officeDocument/2006/relationships/hyperlink" Target="file:///C:\Users\Ufficio\AppData\Roaming\Acquisti\2025\EV\FATTURE\EV%20-%20VIEMME%20PORTE%20ft%2018%20del%2013-01-2025.pdf" TargetMode="External"/><Relationship Id="rId224" Type="http://schemas.openxmlformats.org/officeDocument/2006/relationships/hyperlink" Target="file:///\\192.168.1.231\..\AppData\Acquisti\2024\EV\Fatture\EV%20-%20RBP%20ft%2008%20del%2031-01-2024.pdf" TargetMode="External"/><Relationship Id="rId245" Type="http://schemas.openxmlformats.org/officeDocument/2006/relationships/hyperlink" Target="file:///C:\Users\Ufficio\AppData\Roaming\Acquisti\2025\EV\FATTURE\EV%20-%20PARCHEGGI%20ITALIA%20ft%201080019866P%20del%2030-07-2025.pdf" TargetMode="External"/><Relationship Id="rId266" Type="http://schemas.openxmlformats.org/officeDocument/2006/relationships/hyperlink" Target="file:///C:\Users\Ufficio\AppData\Acquisti\2025\EV\FATTURE\EV%20-%20OLIMPIA%20SRL%20ft%20799636%20del%2008-10-2025.pdf" TargetMode="External"/><Relationship Id="rId287" Type="http://schemas.openxmlformats.org/officeDocument/2006/relationships/hyperlink" Target="file:///C:\Users\Ufficio\AppData\Roaming\Acquisti\2025\EV\FATTURE\EV%20-%20NAGOYA%20CURNO%20SRL%20ft%202201%20del%2003-10-2025.pdf" TargetMode="External"/><Relationship Id="rId410" Type="http://schemas.openxmlformats.org/officeDocument/2006/relationships/hyperlink" Target="file:///C:\Users\Ufficio\AppData\Roaming\Acquisti\2025\EV\FATTURE\EV%20-%20GUALENI%20PAOLO%20ft%20001%20del%2010-01-2025.pdf" TargetMode="External"/><Relationship Id="rId431" Type="http://schemas.openxmlformats.org/officeDocument/2006/relationships/hyperlink" Target="file:///\\192.168.1.231\..\..\Desktop\Amministrazione\Acquisti\2024\EV\Fatture\EV%20-%20F_LLI%20TESTA%20ft1857%20del%2031-05-2024.pdf" TargetMode="External"/><Relationship Id="rId452" Type="http://schemas.openxmlformats.org/officeDocument/2006/relationships/hyperlink" Target="file:///C:\Users\Ufficio\AppData\Roaming\Acquisti\2025\EV\FATTURE\EV%20-%20EDILCOMMERCIO%20ft%20871%20del%2030-04-2025.pdf" TargetMode="External"/><Relationship Id="rId473" Type="http://schemas.openxmlformats.org/officeDocument/2006/relationships/hyperlink" Target="file:///C:\Users\Ufficio\AppData\Roaming\Acquisti\2025\EV\FATTURE\EV%20-%20ESCOTAURUS%20SRL%20%20ft%20810%20del%2006-02-2025.pdf" TargetMode="External"/><Relationship Id="rId494" Type="http://schemas.openxmlformats.org/officeDocument/2006/relationships/hyperlink" Target="file:///C:\Users\Ufficio\AppData\Roaming\Acquisti\2025\EV\FATTURE\EV%20-%20DA%20LEONE%20DI%20COSTA%20CARLO%20ft%201365%20del%2031-05-2025.pdf" TargetMode="External"/><Relationship Id="rId508" Type="http://schemas.openxmlformats.org/officeDocument/2006/relationships/hyperlink" Target="file:///C:\Users\Ufficio\AppData\Roaming\Acquisti\2025\EV\FATTURE\EV%20-%20DA%20LEONE%20DI%20COSTA%20CARLO%20ft%20694%20del%2018-03-2025.pdf" TargetMode="External"/><Relationship Id="rId529" Type="http://schemas.openxmlformats.org/officeDocument/2006/relationships/hyperlink" Target="file:///C:\Users\Ufficio\AppData\Roaming\Acquisti\2025\EV\FATTURE\EV-%20CHIURLO%20SRL%20ft%2019081946%20del%2028-04-2025.pdf" TargetMode="External"/><Relationship Id="rId30" Type="http://schemas.openxmlformats.org/officeDocument/2006/relationships/hyperlink" Target="file:///C:\Users\Ufficio\AppData\Roaming\Acquisti\2025\EV\FATTURE\EV%20-%20VERISURE%20ft%20329801%20del%2001-08-2025.pdf" TargetMode="External"/><Relationship Id="rId105" Type="http://schemas.openxmlformats.org/officeDocument/2006/relationships/hyperlink" Target="file:///C:\Users\Ufficio\AppData\Roaming\Acquisti\2025\EV\FATTURE\EV%20-%20TERMOIDRAUKICA%20V.M.%20ft%2095%20del%2027-06-2025.pdf" TargetMode="External"/><Relationship Id="rId126" Type="http://schemas.openxmlformats.org/officeDocument/2006/relationships/hyperlink" Target="file:///C:\Users\Ufficio\AppData\Roaming\Acquisti\2025\EV\FATTURE\EV%20-%20TELEPASS%20SPA%20ft%2061769018%20del%2030-06-2025.pdf" TargetMode="External"/><Relationship Id="rId147" Type="http://schemas.openxmlformats.org/officeDocument/2006/relationships/hyperlink" Target="file:///C:\Users\Ufficio\AppData\Roaming\Acquisti\2025\EV\FATTURE\EV-%20SYSTEM%20PROJECT%20ft%20137%20del%2031-01-2025.pdf" TargetMode="External"/><Relationship Id="rId168" Type="http://schemas.openxmlformats.org/officeDocument/2006/relationships/hyperlink" Target="file:///C:\Users\Ufficio\AppData\Roaming\Acquisti\2025\EV\FATTURE\EV%20-%20SESSANTINI%20IMPIANTI%20SRL%20ft%20275%20del%2031-05-2025.pdf" TargetMode="External"/><Relationship Id="rId312" Type="http://schemas.openxmlformats.org/officeDocument/2006/relationships/hyperlink" Target="file:///\\192.168.1.231\..\AppData\Acquisti\2023\EV\Proforme\BELLOLI%20doc%204185%20del%2020-11-2023-dm.pdf" TargetMode="External"/><Relationship Id="rId333" Type="http://schemas.openxmlformats.org/officeDocument/2006/relationships/hyperlink" Target="file:///\\192.168.1.231\..\AppData\Acquisti\2023\EV\Proforme\BELLOLI%204162%20nota%2027.10.23%20-%20Colombini_Gagliolo.pdf" TargetMode="External"/><Relationship Id="rId354" Type="http://schemas.openxmlformats.org/officeDocument/2006/relationships/hyperlink" Target="file:///C:\Users\Ufficio\AppData\Roaming\Acquisti\2025\EV\FATTURE\EV%20-%20LANFRANCHI%20MARCO%20ft%20410%20del%2031-03-2025.pdf" TargetMode="External"/><Relationship Id="rId540" Type="http://schemas.openxmlformats.org/officeDocument/2006/relationships/hyperlink" Target="file:///C:\Users\Ufficio\AppData\Roaming\Acquisti\2025\EV\FATTURE\EV%20-%20CASALI%20NICOLA%20ft%2010%20del%2006-02-2025.pdf" TargetMode="External"/><Relationship Id="rId51" Type="http://schemas.openxmlformats.org/officeDocument/2006/relationships/hyperlink" Target="file:///C:\Users\Ufficio\AppData\Roaming\Acquisti\2025\EV\FATTURE\EV-%20VERISURE%20SRL%20ft%20355812%20del%2001-04-2025.pdf" TargetMode="External"/><Relationship Id="rId72" Type="http://schemas.openxmlformats.org/officeDocument/2006/relationships/hyperlink" Target="file:///C:\Users\Ufficio\AppData\Roaming\Acquisti\2025\EV\FATTURE\EV%20-%20UNIACQUE%20SRL%20ft%20202510490837%20del%2028-05-2025.pdf" TargetMode="External"/><Relationship Id="rId93" Type="http://schemas.openxmlformats.org/officeDocument/2006/relationships/hyperlink" Target="file:///C:\Users\Ufficio\AppData\Acquisti\2025\EV\FATTURE\EV%20-%20TIM%20SPA%20ft%20790466%20del%2009-10-2025.pdf" TargetMode="External"/><Relationship Id="rId189" Type="http://schemas.openxmlformats.org/officeDocument/2006/relationships/hyperlink" Target="file:///C:\Users\Ufficio\AppData\Roaming\Acquisti\2025\EV\FATTURE\EV%20-%20S.E.A.%20SRL%20ft%202%20del%2016-01-2025.pdf" TargetMode="External"/><Relationship Id="rId375" Type="http://schemas.openxmlformats.org/officeDocument/2006/relationships/hyperlink" Target="file:///C:\Users\Ufficio\AppData\Roaming\Acquisti\2025\EV\FATTURE\EV%20-%20KUWAIT%20PETROLEUM%20ft%20006930%20del%2031-05-2025.pdf" TargetMode="External"/><Relationship Id="rId396" Type="http://schemas.openxmlformats.org/officeDocument/2006/relationships/hyperlink" Target="file:///C:\Users\Ufficio\AppData\Roaming\Acquisti\2025\EV\FATTURE\EV%20-%20IMBERTI%20DANIELE%20ft%209%20del%2014-03-2025.pdf" TargetMode="External"/><Relationship Id="rId561" Type="http://schemas.openxmlformats.org/officeDocument/2006/relationships/hyperlink" Target="file:///C:\Users\Ufficio\AppData\Roaming\Acquisti\2025\EV\FATTURE\EV%20-%20BORDOGNI%20FABIO%20ft%20764%20del%2028-08-2025.pdf" TargetMode="External"/><Relationship Id="rId582" Type="http://schemas.openxmlformats.org/officeDocument/2006/relationships/hyperlink" Target="file:///C:\Users\Ufficio\AppData\Acquisti\2025\EV\FATTURE\EV%20-%20BANCO%20BPM%20ft%20457699%20del%2007-10-2025.pdf" TargetMode="External"/><Relationship Id="rId617" Type="http://schemas.openxmlformats.org/officeDocument/2006/relationships/hyperlink" Target="file:///C:\Users\Ufficio\AppData\Roaming\Acquisti\2025\EV\FATTURE\EV%20-%20ANSELMO%20SRL%20ft%20490%20del%2031-07-2025.pdf" TargetMode="External"/><Relationship Id="rId3" Type="http://schemas.openxmlformats.org/officeDocument/2006/relationships/hyperlink" Target="file:///C:\Users\Ufficio\AppData\Roaming\Acquisti\2025\EV\FATTURE\EV%20-%20ZANUTTA%20SPA%20ft%20125003957%20del%2031-01-2025.pdf" TargetMode="External"/><Relationship Id="rId214" Type="http://schemas.openxmlformats.org/officeDocument/2006/relationships/hyperlink" Target="file:///C:\Users\Ufficio\AppData\Roaming\Acquisti\2025\EV\FATTURE\EV%20-%20RBP%20ft%20264%20del%2030-05-2025.pdf" TargetMode="External"/><Relationship Id="rId235" Type="http://schemas.openxmlformats.org/officeDocument/2006/relationships/hyperlink" Target="file:///\\192.168.1.231\..\AppData\Acquisti\2020\Fatture\EV%20-%20proforme\EV%20-%20Poggio%20Carlo%20npf%2034_2020%20del%2018-06-2020.pdf" TargetMode="External"/><Relationship Id="rId256" Type="http://schemas.openxmlformats.org/officeDocument/2006/relationships/hyperlink" Target="file:///C:\Users\Ufficio\AppData\Roaming\Acquisti\2025\EV\FATTURE\EV%20-%20PARCHEGGI%20ITALIA%20SPA%20ft%206460%20del%2028-02-2025.pdf" TargetMode="External"/><Relationship Id="rId277" Type="http://schemas.openxmlformats.org/officeDocument/2006/relationships/hyperlink" Target="file:///C:\Users\Ufficio\AppData\Roaming\Acquisti\2025\EV\FATTURE\EV%20-%20OLIMPIA%20SRL%20ft%20356046%20del%2012-05-2025.pdf" TargetMode="External"/><Relationship Id="rId298" Type="http://schemas.openxmlformats.org/officeDocument/2006/relationships/hyperlink" Target="file:///\\192.168.1.231\..\AppData\Acquisti\2023\EV\Fatture\EV%20-%20MOIOLI%20ft%20856%20del%2027-11-2023.pdf" TargetMode="External"/><Relationship Id="rId400" Type="http://schemas.openxmlformats.org/officeDocument/2006/relationships/hyperlink" Target="file:///C:\Users\Ufficio\AppData\Roaming\Acquisti\2025\EV\FATTURE\EV%20-%20IDRAS%20SPA%20ft%20700210%20del%2023-04-2025.pdf" TargetMode="External"/><Relationship Id="rId421" Type="http://schemas.openxmlformats.org/officeDocument/2006/relationships/hyperlink" Target="file:///C:\Users\Ufficio\AppData\Roaming\Acquisti\2025\EV\FATTURE\EV-%20FERRARI%20ALBERTO%20ft%2022%20del%2025-02-2025.pdf" TargetMode="External"/><Relationship Id="rId442" Type="http://schemas.openxmlformats.org/officeDocument/2006/relationships/hyperlink" Target="file:///C:\Users\Ufficio\AppData\Roaming\Acquisti\2025\EV\FATTURE\EV%20-%20EDILSCAVI%20DI%20DAMIANO%20PERANI%20ft%2076%20del%2026-05-2025.pdf" TargetMode="External"/><Relationship Id="rId463" Type="http://schemas.openxmlformats.org/officeDocument/2006/relationships/hyperlink" Target="file:///C:\Users\Ufficio\AppData\Roaming\Acquisti\2025\EV\FATTURE\EV-%20EDILCOMMERCIO%20ft%20159%20del%2031-01-2025.pdf" TargetMode="External"/><Relationship Id="rId484" Type="http://schemas.openxmlformats.org/officeDocument/2006/relationships/hyperlink" Target="file:///C:\Users\Ufficio\AppData\Roaming\Acquisti\2025\EV\FATTURE\EV%20-%20DUFERCO%20ft%2000125FT00393783%20del%2010-02-2025.pdf" TargetMode="External"/><Relationship Id="rId519" Type="http://schemas.openxmlformats.org/officeDocument/2006/relationships/hyperlink" Target="file:///C:\Users\Ufficio\AppData\Roaming\Acquisti\2025\EV\FATTURE\EV%20-%20COSTRUZIONI%20EDILI%20ALMICI%20ft%207%20del%2017-02-2025.pdf" TargetMode="External"/><Relationship Id="rId116" Type="http://schemas.openxmlformats.org/officeDocument/2006/relationships/hyperlink" Target="file:///C:\Users\Ufficio\AppData\Ufficio\Desktop\Amministrazione\Acquisti\2024\EV\Fatture\EV%20-%20TERMOIDRAULICA%20ft%20181%20del%2028-11-2024.pdf" TargetMode="External"/><Relationship Id="rId137" Type="http://schemas.openxmlformats.org/officeDocument/2006/relationships/hyperlink" Target="file:///C:\Users\Ufficio\AppData\Roaming\Acquisti\2025\EV\FATTURE\EV%20-%20TAPPEZZIERE%20MORONI%20nc%202%20del%2011-06-2025.pdf" TargetMode="External"/><Relationship Id="rId158" Type="http://schemas.openxmlformats.org/officeDocument/2006/relationships/hyperlink" Target="file:///C:\Users\Ufficio\AppData\Roaming\Acquisti\2025\EV\FATTURE\EV%20-%20SPELGATTI%20ft%201098%20del%2030-04-2025.pdf" TargetMode="External"/><Relationship Id="rId302" Type="http://schemas.openxmlformats.org/officeDocument/2006/relationships/hyperlink" Target="file:///C:\Users\Ufficio\AppData\Roaming\Acquisti\2025\EV\FATTURE\EV%20-%20MET%20ENERGIA%20ITALIA%20ft%20127818%20del%2015-04-2025.pdf" TargetMode="External"/><Relationship Id="rId323" Type="http://schemas.openxmlformats.org/officeDocument/2006/relationships/hyperlink" Target="file:///\\192.168.1.231\..\AppData\Acquisti\2023\EV\Proforme\BELLOLI%20doc%204185%20del%2020-11-2023-dm.pdf" TargetMode="External"/><Relationship Id="rId344" Type="http://schemas.openxmlformats.org/officeDocument/2006/relationships/hyperlink" Target="file:///C:\Users\Ufficio\AppData\Roaming\Acquisti\2025\EV\FATTURE\EV%20-%20LEROY%20MERLIN%20ft%20041-026775%20del%2007-06-2025.pdf" TargetMode="External"/><Relationship Id="rId530" Type="http://schemas.openxmlformats.org/officeDocument/2006/relationships/hyperlink" Target="file:///C:\Users\Ufficio\AppData\Roaming\Acquisti\2025\EV\FATTURE\EV%20-%20CHIURLO%20SRL%20ft%2020250019054075%20del%2025-03-2025.pdf" TargetMode="External"/><Relationship Id="rId20" Type="http://schemas.openxmlformats.org/officeDocument/2006/relationships/hyperlink" Target="file:///C:\Users\Ufficio\AppData\Roaming\Acquisti\2025\EV\FATTURE\EV%20-%20VERISURE%20ft%202510C270588%20del%2001-10-2025.pdf" TargetMode="External"/><Relationship Id="rId41" Type="http://schemas.openxmlformats.org/officeDocument/2006/relationships/hyperlink" Target="file:///C:\Users\Ufficio\AppData\Roaming\Acquisti\2025\EV\FATTURE\EV%20-%20VERISURE%20SRL%20ft%202505C240720%20del%2001-05-2025.pdf" TargetMode="External"/><Relationship Id="rId62" Type="http://schemas.openxmlformats.org/officeDocument/2006/relationships/hyperlink" Target="file:///C:\Users\Ufficio\AppData\Roaming\Acquisti\2025\EV\FATTURE\EV%20-%20VARG%20ft%20172%20del%2015-07-2025.pdf" TargetMode="External"/><Relationship Id="rId83" Type="http://schemas.openxmlformats.org/officeDocument/2006/relationships/hyperlink" Target="file:///C:\Users\Ufficio\AppData\Roaming\Acquisti\2025\EV\FATTURE\EV%20-%20TRATTORIA%20LA%20PATTA%20ft%201209%20del%2003-06-2025.pdf" TargetMode="External"/><Relationship Id="rId179" Type="http://schemas.openxmlformats.org/officeDocument/2006/relationships/hyperlink" Target="file:///C:\Users\Ufficio\AppData\Roaming\Acquisti\2025\EV\FATTURE\EV%20-%20SER%20CAR%20ft%2022143%20del%2027-06-2025.pdf" TargetMode="External"/><Relationship Id="rId365" Type="http://schemas.openxmlformats.org/officeDocument/2006/relationships/hyperlink" Target="file:///C:\Users\Ufficio\AppData\Ufficio\Desktop\Amministrazione\Acquisti\2024\EV\Fatture\EV%20-%20LA%20PIAZZONI%20ft%202994%20del%2030-04-2024.pdf" TargetMode="External"/><Relationship Id="rId386" Type="http://schemas.openxmlformats.org/officeDocument/2006/relationships/hyperlink" Target="file:///C:\Users\Ufficio\AppData\Roaming\Acquisti\2025\EV\FATTURE\EV%20-%20IRIS%20MOBILI%20SRL%20ft%202440503%20del%2023-09-2025.pdf" TargetMode="External"/><Relationship Id="rId551" Type="http://schemas.openxmlformats.org/officeDocument/2006/relationships/hyperlink" Target="file:///C:\Users\Ufficio\AppData\Roaming\Acquisti\2025\EV\FATTURE\EV%20-%20BUTTINONI%20GIUSEPPE%20ft%20575%20del%2028-02-2025.pdf" TargetMode="External"/><Relationship Id="rId572" Type="http://schemas.openxmlformats.org/officeDocument/2006/relationships/hyperlink" Target="file:///\\192.168.1.231\..\AppData\Acquisti\2023\EV\Proforme\Belloli%20nota%204139%2023.9.23%20-%20EV%20vs%20Checchin.pdf" TargetMode="External"/><Relationship Id="rId593" Type="http://schemas.openxmlformats.org/officeDocument/2006/relationships/hyperlink" Target="file:///C:\Users\Ufficio\AppData\Roaming\Acquisti\2025\EV\FATTURE\EV%20-%20AUTOSTRADE%20PER%20L'ITALIA%20SPA%20ft%204585906%20del%2030-06-2025.pdf" TargetMode="External"/><Relationship Id="rId607" Type="http://schemas.openxmlformats.org/officeDocument/2006/relationships/hyperlink" Target="file:///C:\Users\Ufficio\AppData\Roaming\Acquisti\2025\EV\FATTURE\EV%20-%20ASSOLARI%20DOMENICO%20ft%20259%20del%2028-02-2025.pdf" TargetMode="External"/><Relationship Id="rId190" Type="http://schemas.openxmlformats.org/officeDocument/2006/relationships/hyperlink" Target="file:///C:\Users\Ufficio\AppData\Ufficio\Desktop\Amministrazione\Acquisti\2024\EV\Fatture\EV%20-%20RUGGIPAV%20ft%20215%20del%2030-12-2024.pdf" TargetMode="External"/><Relationship Id="rId204" Type="http://schemas.openxmlformats.org/officeDocument/2006/relationships/hyperlink" Target="file:///C:\Users\Ufficio\AppData\Ufficio\Desktop\Amministrazione\Acquisti\2024\EV\Fatture\EV%20-%20RESIDENZA%20PARADISO%20ft%20128%20del%2021-10-2024.pdf" TargetMode="External"/><Relationship Id="rId225" Type="http://schemas.openxmlformats.org/officeDocument/2006/relationships/hyperlink" Target="file:///\\192.168.1.231\..\AppData\Acquisti\2024\EV\Fatture\EV%20-%20RBP%20ft%2008%20del%2031-01-2024.pdf" TargetMode="External"/><Relationship Id="rId246" Type="http://schemas.openxmlformats.org/officeDocument/2006/relationships/hyperlink" Target="file:///C:\Users\Ufficio\AppData\Roaming\Acquisti\2025\EV\FATTURE\EV%20-%20PARCHEGGI%20ITALIA%20SPA%20ft%20108015281%20del%2030-05-2025.pdf" TargetMode="External"/><Relationship Id="rId267" Type="http://schemas.openxmlformats.org/officeDocument/2006/relationships/hyperlink" Target="file:///C:\Users\Ufficio\AppData\Acquisti\2025\EV\FATTURE\EV%20-%20OLIMPIA%20SRL%20ft%20799640%20del%2008-10-2025.pdf" TargetMode="External"/><Relationship Id="rId288" Type="http://schemas.openxmlformats.org/officeDocument/2006/relationships/hyperlink" Target="file:///C:\Users\Ufficio\AppData\Roaming\Acquisti\2025\EV\FATTURE\EV%20-%20NAGOYA%20CURNO%20SRL%20ft%20531%20del%2020-03-2025.pdf" TargetMode="External"/><Relationship Id="rId411" Type="http://schemas.openxmlformats.org/officeDocument/2006/relationships/hyperlink" Target="file:///C:\Users\Ufficio\AppData\Roaming\Acquisti\2025\EV\FATTURE\EV%20-%20GS%20RUBIERA%20SRL%20ft%20665-216%20del%2027-06-2025.pdf" TargetMode="External"/><Relationship Id="rId432" Type="http://schemas.openxmlformats.org/officeDocument/2006/relationships/hyperlink" Target="file:///C:\Users\Ufficio\AppData\Ufficio\Desktop\Amministrazione\Acquisti\2024\EV\Fatture\EV%20-%20F_LLI%20TESTA%20ft%20191%20del%2031-01-2024.pdf" TargetMode="External"/><Relationship Id="rId453" Type="http://schemas.openxmlformats.org/officeDocument/2006/relationships/hyperlink" Target="file:///C:\Users\Ufficio\AppData\Roaming\Acquisti\2025\EV\FATTURE\EV%20-%20EDILCOMMERCIO%20ft%20%20753%20del%2015-04-2025.pdf" TargetMode="External"/><Relationship Id="rId474" Type="http://schemas.openxmlformats.org/officeDocument/2006/relationships/hyperlink" Target="file:///C:\Users\Ufficio\AppData\Roaming\Acquisti\2025\EV\FATTURE\EV%20-%20ECOTAURUS%20ft%20293%20del%2014-01-2025.pdf" TargetMode="External"/><Relationship Id="rId509" Type="http://schemas.openxmlformats.org/officeDocument/2006/relationships/hyperlink" Target="file:///C:\Users\Ufficio\AppData\Roaming\Acquisti\2025\EV\FATTURE\EV%20-%20DA%20LEONE%20DI%20COSTA%20CARLO%20ft%20147%20del%2018-01-2025.pdf" TargetMode="External"/><Relationship Id="rId106" Type="http://schemas.openxmlformats.org/officeDocument/2006/relationships/hyperlink" Target="file:///C:\Users\Ufficio\AppData\Roaming\Acquisti\2025\EV\FATTURE\EV%20-%20TERMOIDRAULICA%20V.M.%20ft%2090%20del%2025-06-2025.pdf" TargetMode="External"/><Relationship Id="rId127" Type="http://schemas.openxmlformats.org/officeDocument/2006/relationships/hyperlink" Target="file:///C:\Users\Ufficio\AppData\Roaming\Acquisti\2025\EV\FATTURE\EV%20-%20TELEPASS%20SPA%20ft%2059518991%20del%2030-05-2025.pdf" TargetMode="External"/><Relationship Id="rId313" Type="http://schemas.openxmlformats.org/officeDocument/2006/relationships/hyperlink" Target="file:///C:\Users\Ufficio\AppData\Acquisti\2025\EV\FATTURE\EV%20-%20MARKOLOR%20SRL%20ft%20442%20del%2030-09-2025.pdf" TargetMode="External"/><Relationship Id="rId495" Type="http://schemas.openxmlformats.org/officeDocument/2006/relationships/hyperlink" Target="file:///C:\Users\Ufficio\AppData\Roaming\Acquisti\2025\EV\FATTURE\EV%20-%20DA%20LEONE%20DI%20COSTA%20CARLO%20ft%201180%20del%2014-05-2025.pdf" TargetMode="External"/><Relationship Id="rId10" Type="http://schemas.openxmlformats.org/officeDocument/2006/relationships/hyperlink" Target="file:///\\192.168.1.231\..\AppData\Acquisti\2023\EV\Fatture\EV%20-%20WUERTH%20ft%20-069%20del%2002-10-2023.pdf" TargetMode="External"/><Relationship Id="rId31" Type="http://schemas.openxmlformats.org/officeDocument/2006/relationships/hyperlink" Target="file:///C:\Users\Ufficio\AppData\Roaming\Acquisti\2025\EV\FATTURE\EV%20-%20VERISURE%20ft%20345972%20del%2001-08-2025.pdf" TargetMode="External"/><Relationship Id="rId52" Type="http://schemas.openxmlformats.org/officeDocument/2006/relationships/hyperlink" Target="file:///C:\Users\Ufficio\AppData\Roaming\Acquisti\2025\EV\FATTURE\EV%20-%20VERISURE%20ft%20255639%20del%2001-03-2025.pdf" TargetMode="External"/><Relationship Id="rId73" Type="http://schemas.openxmlformats.org/officeDocument/2006/relationships/hyperlink" Target="file:///C:\Users\Ufficio\AppData\Roaming\Acquisti\2025\EV\FATTURE\EV%20-%20UNIACQUE%20SRL%20ft%20202510492636%20del%2028-05-2025.pdf" TargetMode="External"/><Relationship Id="rId94" Type="http://schemas.openxmlformats.org/officeDocument/2006/relationships/hyperlink" Target="file:///C:\Users\Ufficio\AppData\Roaming\Acquisti\2025\EV\FATTURE\EV%20-%20TIM%20SPA%20ft%208B00705394%20del%2011-09-2025.pdf" TargetMode="External"/><Relationship Id="rId148" Type="http://schemas.openxmlformats.org/officeDocument/2006/relationships/hyperlink" Target="file:///C:\Users\Ufficio\AppData\Ufficio\Desktop\Amministrazione\Acquisti\2024\EV\Fatture\EV%20-%20STUDIO%20NOTARILE%20TUCCI%20TURCONI%20ft%204437%20del%2024-12-2024.pdf" TargetMode="External"/><Relationship Id="rId169" Type="http://schemas.openxmlformats.org/officeDocument/2006/relationships/hyperlink" Target="file:///C:\Users\Ufficio\AppData\Roaming\Acquisti\2025\EV\FATTURE\EV%20-%20SESSANTI%20IMPIANTI%20SRL%20ft%20249%20del%2031-05-2025.pdf" TargetMode="External"/><Relationship Id="rId334" Type="http://schemas.openxmlformats.org/officeDocument/2006/relationships/hyperlink" Target="file:///\\192.168.1.231\..\AppData\Acquisti\2023\EV\Proforme\BELLOLI%204162%20nota%2027.10.23%20-%20Colombini_Gagliolo.pdf" TargetMode="External"/><Relationship Id="rId355" Type="http://schemas.openxmlformats.org/officeDocument/2006/relationships/hyperlink" Target="file:///C:\Users\Ufficio\AppData\Acquisti\2025\EV\FATTURE\EV%20-%20LA%20PIAZZONI%20ft%206404%20del%2030-09-2025.pdf" TargetMode="External"/><Relationship Id="rId376" Type="http://schemas.openxmlformats.org/officeDocument/2006/relationships/hyperlink" Target="file:///C:\Users\Ufficio\AppData\Roaming\Acquisti\2025\EV\FATTURE\EV%20-%20KUWAIT%20PETROLEUM%20ft%209922790%20del%2015-05-2025.pdf" TargetMode="External"/><Relationship Id="rId397" Type="http://schemas.openxmlformats.org/officeDocument/2006/relationships/hyperlink" Target="file:///C:\Users\Ufficio\AppData\Roaming\Acquisti\2025\EV\FATTURE\EV%20-%20IMBERTI%20DANIELE%20ft%209%20del%2014-03-2025.pdf" TargetMode="External"/><Relationship Id="rId520" Type="http://schemas.openxmlformats.org/officeDocument/2006/relationships/hyperlink" Target="file:///C:\Users\Ufficio\AppData\Acquisti\2025\EV\FATTURE\EV%20-%20STUDIO%20TECNICO%20ARCH%20CORTINOVIS%20ft%2046%20del%2009-10-2025.pdf" TargetMode="External"/><Relationship Id="rId541" Type="http://schemas.openxmlformats.org/officeDocument/2006/relationships/hyperlink" Target="file:///C:\Users\Ufficio\AppData\Roaming\Acquisti\2025\EV\FATTURE\EV%20-%20CASALI%20NICOLA%20ft%2010%20del%2006-02-2025.pdf" TargetMode="External"/><Relationship Id="rId562" Type="http://schemas.openxmlformats.org/officeDocument/2006/relationships/hyperlink" Target="file:///C:\Users\Ufficio\AppData\Roaming\Acquisti\2025\EV\FATTURE\EV%20-%20BORDOGNI%20FABIO%20ft%20670%20del%2024-07-2025.pdf" TargetMode="External"/><Relationship Id="rId583" Type="http://schemas.openxmlformats.org/officeDocument/2006/relationships/hyperlink" Target="file:///C:\Users\Ufficio\AppData\Roaming\Acquisti\2025\EV\FATTURE\EV%20-%20BANCA%20BPM%20ft%20309108%20del%2007-07-2025.pdf" TargetMode="External"/><Relationship Id="rId618" Type="http://schemas.openxmlformats.org/officeDocument/2006/relationships/hyperlink" Target="file:///C:\Users\Ufficio\AppData\Ufficio\Desktop\Amministrazione\Acquisti\2024\EV\Fatture\EV%20-%20ANDREA%20LOSA%20ft%20153%20del%2021-12-204.pdf" TargetMode="External"/><Relationship Id="rId4" Type="http://schemas.openxmlformats.org/officeDocument/2006/relationships/hyperlink" Target="file:///C:\Users\Ufficio\AppData\Roaming\Acquisti\2025\EV\FATTURE\EV%20-%20ZANUTTA%20SPA%20ft%20125003957%20del%2031-01-2025.pdf" TargetMode="External"/><Relationship Id="rId180" Type="http://schemas.openxmlformats.org/officeDocument/2006/relationships/hyperlink" Target="file:///C:\Users\Ufficio\AppData\Roaming\Acquisti\2025\EV\FATTURE\EV%20-%20SER%20CAR%20ft%2022128%20del%2026-06-2025.pdf" TargetMode="External"/><Relationship Id="rId215" Type="http://schemas.openxmlformats.org/officeDocument/2006/relationships/hyperlink" Target="file:///C:\Users\Ufficio\AppData\Roaming\Acquisti\2025\EV\FATTURE\EV%20-%20RBP%20ft%20192%20del%2030-04-2025.pdf" TargetMode="External"/><Relationship Id="rId236" Type="http://schemas.openxmlformats.org/officeDocument/2006/relationships/hyperlink" Target="file:///C:\Users\Ufficio\AppData\Roaming\Acquisti\2025\EV\FATTURE\EV%20-%20PIXARTRINTING%20ft%207251143137%20del%2026-02-2025.pdf" TargetMode="External"/><Relationship Id="rId257" Type="http://schemas.openxmlformats.org/officeDocument/2006/relationships/hyperlink" Target="file:///C:\Users\Ufficio\AppData\Roaming\Acquisti\2025\EV\FATTURE\EV%20-%20PARCHEGGI%20ITALIA%20SPA%20ft%20613%20del%2030-01-2025.pdf" TargetMode="External"/><Relationship Id="rId278" Type="http://schemas.openxmlformats.org/officeDocument/2006/relationships/hyperlink" Target="file:///C:\Users\Ufficio\AppData\Roaming\Acquisti\2025\EV\FATTURE\EV%20-%20OLIMPIA%20SRL%20ft%20302157%20del%2009-04-2025.pdf" TargetMode="External"/><Relationship Id="rId401" Type="http://schemas.openxmlformats.org/officeDocument/2006/relationships/hyperlink" Target="file:///C:\Users\Ufficio\AppData\Roaming\Acquisti\2025\EV\FATTURE\EV%20-%20HAPPILY%20SRL%20ft%201563%20del%2015-04-2025.pdf" TargetMode="External"/><Relationship Id="rId422" Type="http://schemas.openxmlformats.org/officeDocument/2006/relationships/hyperlink" Target="file:///C:\Users\Ufficio\AppData\Roaming\Acquisti\2025\EV\FATTURE\EV%20-%20FERRAMENTA%202000%20ft%2012500475%20del%2030-04-2025.pdf" TargetMode="External"/><Relationship Id="rId443" Type="http://schemas.openxmlformats.org/officeDocument/2006/relationships/hyperlink" Target="file:///C:\Users\Ufficio\AppData\Ufficio\Desktop\Amministrazione\Acquisti\2024\EV\Fatture\EV%20-%20EDILNOVA%20ft%20771%20del%2031-10-2024.pdf" TargetMode="External"/><Relationship Id="rId464" Type="http://schemas.openxmlformats.org/officeDocument/2006/relationships/hyperlink" Target="file:///C:\Users\Ufficio\AppData\Roaming\Acquisti\2025\EV\FATTURE\EV%20-%20EDILCOMMERCIO%20ft%2046%20del%2015-01-2025.pdf" TargetMode="External"/><Relationship Id="rId303" Type="http://schemas.openxmlformats.org/officeDocument/2006/relationships/hyperlink" Target="file:///C:\Users\Ufficio\AppData\Roaming\Acquisti\2025\EV\FATTURE\EV%20-%20MET%20ENERGIA%20SRL%20ft%2090247%20del%2014-03-2025.pdf" TargetMode="External"/><Relationship Id="rId485" Type="http://schemas.openxmlformats.org/officeDocument/2006/relationships/hyperlink" Target="file:///C:\Users\Ufficio\AppData\Roaming\Acquisti\2025\EV\FATTURE\EV%20-%20DUFERCO%20ft%2087343%20del%2013-01-2025.pdf" TargetMode="External"/><Relationship Id="rId42" Type="http://schemas.openxmlformats.org/officeDocument/2006/relationships/hyperlink" Target="file:///C:\Users\Ufficio\AppData\Roaming\Acquisti\2025\EV\FATTURE\EV%20-%20VERISURE%20SRL%20ft%202505C328864%20del%2001-05-2025.pdf" TargetMode="External"/><Relationship Id="rId84" Type="http://schemas.openxmlformats.org/officeDocument/2006/relationships/hyperlink" Target="file:///C:\Users\Ufficio\AppData\Roaming\Acquisti\2025\EV\FATTURE\EV%20-%20TRATTORIA%20LA%20PATTA%20ft%201005%20del%2002-05-2025.pdf" TargetMode="External"/><Relationship Id="rId138" Type="http://schemas.openxmlformats.org/officeDocument/2006/relationships/hyperlink" Target="file:///C:\Users\Ufficio\AppData\Roaming\Acquisti\2025\EV\FATTURE\EV%20-%20TAPPEZZIERE%20MORONI%20ft%2073%20del%2030-05-2025.pdf" TargetMode="External"/><Relationship Id="rId345" Type="http://schemas.openxmlformats.org/officeDocument/2006/relationships/hyperlink" Target="file:///C:\Users\Ufficio\AppData\Roaming\Acquisti\2025\EV\FATTURE\EV%20-%20LEON%20D'ORO%20ft%2098%20del%2027-05-2025.pdf" TargetMode="External"/><Relationship Id="rId387" Type="http://schemas.openxmlformats.org/officeDocument/2006/relationships/hyperlink" Target="file:///C:\Users\Ufficio\AppData\Roaming\Acquisti\2025\EV\FATTURE\EV%20-%20IRIS%20MOBILI%20SRL%20ft%202440504%20del%2023-09-2025.pdf" TargetMode="External"/><Relationship Id="rId510" Type="http://schemas.openxmlformats.org/officeDocument/2006/relationships/hyperlink" Target="file:///C:\Users\Ufficio\AppData\Roaming\Acquisti\2025\EV\FATTURE\EV%20-%20CULLIGAN%20ITALY%20ft%206001362155%20del%2029-09-2025.pdf" TargetMode="External"/><Relationship Id="rId552" Type="http://schemas.openxmlformats.org/officeDocument/2006/relationships/hyperlink" Target="file:///C:\Users\Ufficio\AppData\Roaming\Acquisti\2025\EV\FATTURE\EV%20-%20BUTTINONI%20GIUSEPPE%20ft%20161%20del%2031-01-2025.pdf" TargetMode="External"/><Relationship Id="rId594" Type="http://schemas.openxmlformats.org/officeDocument/2006/relationships/hyperlink" Target="file:///C:\Users\Ufficio\AppData\Roaming\Acquisti\2025\EV\FATTURE\EV%20-%20AUTOSTRADE%20PER%20L'ITALIA%20SPA%20ft%203436352%20del%2030-05-2025.pdf" TargetMode="External"/><Relationship Id="rId608" Type="http://schemas.openxmlformats.org/officeDocument/2006/relationships/hyperlink" Target="file:///C:\Users\Ufficio\AppData\Ufficio\Desktop\Amministrazione\Acquisti\2024\EV\Fatture\EV%20-%20ASSOLARI%20DOMENICO%20ft%202358%20del%2031-12-2024.pdf" TargetMode="External"/><Relationship Id="rId191" Type="http://schemas.openxmlformats.org/officeDocument/2006/relationships/hyperlink" Target="file:///C:\Users\Ufficio\AppData\Ufficio\Desktop\Amministrazione\Acquisti\2024\EV\Fatture\EV%20-%20RUGGIPAV%20SAS%20ft%20187%20del%2031-10-2024.pdf" TargetMode="External"/><Relationship Id="rId205" Type="http://schemas.openxmlformats.org/officeDocument/2006/relationships/hyperlink" Target="file:///C:\Users\Ufficio\AppData\Ufficio\Desktop\Amministrazione\Acquisti\2024\EV\Fatture\EV%20-%20RESIDENZA%20PARADISO%20ft%2095%20del%2004-09-2024.pdf" TargetMode="External"/><Relationship Id="rId247" Type="http://schemas.openxmlformats.org/officeDocument/2006/relationships/hyperlink" Target="file:///C:\Users\Ufficio\AppData\Roaming\Acquisti\2025\EV\FATTURE\EV%20-%20PARCHEGGI%20ITALIA%20SPA%20ft%20214003223%20del%2030-03-2025.pdf" TargetMode="External"/><Relationship Id="rId412" Type="http://schemas.openxmlformats.org/officeDocument/2006/relationships/hyperlink" Target="file:///C:\Users\Ufficio\AppData\Roaming\Acquisti\2025\EV\FATTURE\EV%20-%20GRUPPO%20NEGOZI%20SRL%20ft%2058-C00920%20del%2026-03-2025.pdf" TargetMode="External"/><Relationship Id="rId107" Type="http://schemas.openxmlformats.org/officeDocument/2006/relationships/hyperlink" Target="file:///C:\Users\Ufficio\AppData\Roaming\Acquisti\2025\EV\FATTURE\EV%20-%20TERMOIDRAULICA%20V.M.%20ft%2090%20del%2025-06-2025.pdf" TargetMode="External"/><Relationship Id="rId289" Type="http://schemas.openxmlformats.org/officeDocument/2006/relationships/hyperlink" Target="file:///C:\Users\Ufficio\AppData\Roaming\Acquisti\2025\EV\FATTURE\EV%20-%20MYO%20ft%20107142%20del%2030-06-2025.pdf" TargetMode="External"/><Relationship Id="rId454" Type="http://schemas.openxmlformats.org/officeDocument/2006/relationships/hyperlink" Target="file:///C:\Users\Ufficio\AppData\Roaming\Acquisti\2025\EV\FATTURE\EV%20-%20EDILCOMMERCIO%20FT%20622%20del%2031-03-2025.pdf" TargetMode="External"/><Relationship Id="rId496" Type="http://schemas.openxmlformats.org/officeDocument/2006/relationships/hyperlink" Target="file:///C:\Users\Ufficio\AppData\Roaming\Acquisti\2025\EV\FATTURE\EV%20-%20DA%20LEONE%20DI%20COSTA%20CARLO%20ft%201164%20del%2013-05-2025.pdf" TargetMode="External"/><Relationship Id="rId11" Type="http://schemas.openxmlformats.org/officeDocument/2006/relationships/hyperlink" Target="file:///C:\Users\Ufficio\AppData\Roaming\Acquisti\2025\EV\FATTURE\EV%20-%20WBX%20SRL%20ft%203725%20del%2009-06-2025.pdf" TargetMode="External"/><Relationship Id="rId53" Type="http://schemas.openxmlformats.org/officeDocument/2006/relationships/hyperlink" Target="file:///C:\Users\Ufficio\AppData\Roaming\Acquisti\2025\EV\FATTURE\EV%20-%20VERISURE%20%20ft%20353661%20del%2001-03-2025.pdf" TargetMode="External"/><Relationship Id="rId149" Type="http://schemas.openxmlformats.org/officeDocument/2006/relationships/hyperlink" Target="file:///C:\Users\Ufficio\AppData\Ufficio\Desktop\Amministrazione\Acquisti\2024\EV\Fatture\EV%20-%20STUDIO%20NOTARILE%20TUCCI%20TURCONI%20ft%204438%20del%2024-12-2024.pdf" TargetMode="External"/><Relationship Id="rId314" Type="http://schemas.openxmlformats.org/officeDocument/2006/relationships/hyperlink" Target="file:///\\192.168.1.231\..\AppData\Acquisti\2023\EV\Proforme\BELLOLI%20doc%204185%20del%2020-11-2023-dm.pdf" TargetMode="External"/><Relationship Id="rId356" Type="http://schemas.openxmlformats.org/officeDocument/2006/relationships/hyperlink" Target="file:///C:\Users\Ufficio\AppData\Acquisti\2025\EV\FATTURE\EV%20-%20LA%20PIAZZONI%20ft%206447%20del%2030-09-2025.pdf" TargetMode="External"/><Relationship Id="rId398" Type="http://schemas.openxmlformats.org/officeDocument/2006/relationships/hyperlink" Target="file:///C:\Users\Ufficio\AppData\Roaming\Acquisti\2025\EV\FATTURE\EV%20-%20IKEA%20ft%2065548%20del%2027-08-2025.pdf" TargetMode="External"/><Relationship Id="rId521" Type="http://schemas.openxmlformats.org/officeDocument/2006/relationships/hyperlink" Target="file:///C:\Users\Ufficio\AppData\Roaming\Acquisti\2025\EV\FATTURE\EV%20-%20CORTINOVIS%20GIANLUIGI%20ft%2029%20del%2022-07-2025.pdf" TargetMode="External"/><Relationship Id="rId563" Type="http://schemas.openxmlformats.org/officeDocument/2006/relationships/hyperlink" Target="file:///C:\Users\Ufficio\AppData\Roaming\Acquisti\2025\EV\FATTURE\EV%20-%20BORDOGNi%20FABIO%20ft%20601%20del%2003-07-2025.pdf" TargetMode="External"/><Relationship Id="rId619" Type="http://schemas.openxmlformats.org/officeDocument/2006/relationships/hyperlink" Target="file:///C:\Users\Ufficio\AppData\Roaming\Acquisti\2025\EV\FATTURE\EV%20-%20AL%20GARGHET%20SAS%20DI%20CIPOLLA%20EMANUELA%20ft%20849%20del%2023-05-2025.pdf" TargetMode="External"/><Relationship Id="rId95" Type="http://schemas.openxmlformats.org/officeDocument/2006/relationships/hyperlink" Target="file:///C:\Users\Ufficio\AppData\Roaming\Acquisti\2025\EV\FATTURE\EV%20-%20TIM%20SPA%20ft%208B00666928%20del%2011-08-2025.pdf" TargetMode="External"/><Relationship Id="rId160" Type="http://schemas.openxmlformats.org/officeDocument/2006/relationships/hyperlink" Target="file:///C:\Users\Ufficio\AppData\Roaming\Acquisti\2025\EV\FATTURE\EV%20-%20SPELGATTI%20ft%20529%20del%2028-02-2025.pdf" TargetMode="External"/><Relationship Id="rId216" Type="http://schemas.openxmlformats.org/officeDocument/2006/relationships/hyperlink" Target="file:///C:\Users\Ufficio\AppData\Roaming\Acquisti\2025\EV\FATTURE\EV%20-%20RBP%20ft%20159%20del%2031-03-2025.pdf" TargetMode="External"/><Relationship Id="rId423" Type="http://schemas.openxmlformats.org/officeDocument/2006/relationships/hyperlink" Target="file:///C:\Users\Ufficio\AppData\Roaming\Acquisti\2025\EV\FATTURE\EV%20-%20F.LLI%20TESTA%20ft%2062%20del%2031-01-2025.pdf" TargetMode="External"/><Relationship Id="rId258" Type="http://schemas.openxmlformats.org/officeDocument/2006/relationships/hyperlink" Target="file:///C:\Users\Ufficio\AppData\Roaming\Acquisti\2025\EV\FATTURE\EV%20-%20PARCHEGGI%20ITALIA%20SPA%20ft%201227%20del%2030-01-2025.pdf" TargetMode="External"/><Relationship Id="rId465" Type="http://schemas.openxmlformats.org/officeDocument/2006/relationships/hyperlink" Target="file:///C:\Users\Ufficio\AppData\Roaming\Acquisti\2025\EV\FATTURE\EV%20-%20EDILCOMMERCIO%20ft%2046%20del%2015-01-2025.pdf" TargetMode="External"/><Relationship Id="rId22" Type="http://schemas.openxmlformats.org/officeDocument/2006/relationships/hyperlink" Target="file:///C:\Users\Ufficio\AppData\Roaming\Acquisti\2025\EV\FATTURE\EV%20-%20VERISURE%20ft%202510C327009%20del%2001-10-2025.pdf" TargetMode="External"/><Relationship Id="rId64" Type="http://schemas.openxmlformats.org/officeDocument/2006/relationships/hyperlink" Target="file:///C:\Users\Ufficio\AppData\Roaming\Acquisti\2025\EV\FATTURE\EV%20-%20VARG%20ft%2044%20del%2021-02-2025.pdf" TargetMode="External"/><Relationship Id="rId118" Type="http://schemas.openxmlformats.org/officeDocument/2006/relationships/hyperlink" Target="file:///C:\Users\Ufficio\AppData\Ufficio\Desktop\Amministrazione\Acquisti\2024\EV\Fatture\EV%20-%20TERMOIDRAULICA%20VM%20ft%20143%20del%2004-10-2024.pdf" TargetMode="External"/><Relationship Id="rId325" Type="http://schemas.openxmlformats.org/officeDocument/2006/relationships/hyperlink" Target="file:///C:\Users\Ufficio\AppData\Roaming\Acquisti\2025\EV\FATTURE\EV%20-%20LUCE%20IN%20ft%20581%20del%2031-03-2025.pdf" TargetMode="External"/><Relationship Id="rId367" Type="http://schemas.openxmlformats.org/officeDocument/2006/relationships/hyperlink" Target="file:///C:\Users\Ufficio\AppData\Roaming\Acquisti\2025\EV\FATTURE\EV%20-%20KUWAIT%20PETROLEUM%20ft%20PJ10536722%20del%2030-09-2025.pdf" TargetMode="External"/><Relationship Id="rId532" Type="http://schemas.openxmlformats.org/officeDocument/2006/relationships/hyperlink" Target="file:///C:\Users\Ufficio\AppData\Roaming\Acquisti\2025\EV\FATTURE\EV%20-%20CHIURLO%20SRL%20ft%2019038971%20del%2026-02-2025.pdf" TargetMode="External"/><Relationship Id="rId574" Type="http://schemas.openxmlformats.org/officeDocument/2006/relationships/hyperlink" Target="file:///C:\Users\Ufficio\AppData\Roaming\Acquisti\2025\EV\FATTURE\EV%20-%20BCC%20DI%20MILANO%20ft%202568%20del%2029-08-2025.pdf" TargetMode="External"/><Relationship Id="rId171" Type="http://schemas.openxmlformats.org/officeDocument/2006/relationships/hyperlink" Target="file:///C:\Users\Ufficio\AppData\Roaming\Acquisti\2025\EV\FATTURE\EV%20-%20SER%20CAR%20ft%2022278%20del%2007-07-2025.pdf" TargetMode="External"/><Relationship Id="rId227" Type="http://schemas.openxmlformats.org/officeDocument/2006/relationships/hyperlink" Target="file:///C:\Users\Ufficio\AppData\Roaming\Acquisti\2025\EV\FATTURE\EV%20-%20RAZ%20SNC%20ft%20125000068%20del%2011-06-2025.pdf" TargetMode="External"/><Relationship Id="rId269" Type="http://schemas.openxmlformats.org/officeDocument/2006/relationships/hyperlink" Target="file:///C:\Users\Ufficio\AppData\Roaming\Acquisti\2025\EV\FATTURE\EV%20-%20OLIMPIA%20ft%200716778%20del%2009-09-2025.pdf" TargetMode="External"/><Relationship Id="rId434" Type="http://schemas.openxmlformats.org/officeDocument/2006/relationships/hyperlink" Target="file:///\\192.168.1.231\..\AppData\Acquisti\2023\EV\Fatture\EV%20-%20F_LLI%20TESTA%20ft%204948%20del%2030-12-2023.pdf" TargetMode="External"/><Relationship Id="rId476" Type="http://schemas.openxmlformats.org/officeDocument/2006/relationships/hyperlink" Target="file:///C:\Users\Ufficio\AppData\Ufficio\Desktop\Amministrazione\Acquisti\2024\EV\Fatture\EV%20-%20ECOTAURUS%20ft%207511%20del%2017-12-2024.pdf" TargetMode="External"/><Relationship Id="rId33" Type="http://schemas.openxmlformats.org/officeDocument/2006/relationships/hyperlink" Target="file:///C:\Users\Ufficio\AppData\Roaming\Acquisti\2025\EV\FATTURE\EV%20-%20VERISURE%20ft%20246631%20del%2001-07-2025.pdf" TargetMode="External"/><Relationship Id="rId129" Type="http://schemas.openxmlformats.org/officeDocument/2006/relationships/hyperlink" Target="file:///C:\Users\Ufficio\AppData\Roaming\Acquisti\2025\EV\FATTURE\EV%20-%20TELEPASS%20SPA%20ft%2054943754%20del%2030-03-2025.pdf" TargetMode="External"/><Relationship Id="rId280" Type="http://schemas.openxmlformats.org/officeDocument/2006/relationships/hyperlink" Target="file:///C:\Users\Ufficio\AppData\Roaming\Acquisti\2025\EV\FATTURE\EV%20-%20OLIMPIA%20ft%200129107%20del%2007-02-2025.pdf" TargetMode="External"/><Relationship Id="rId336" Type="http://schemas.openxmlformats.org/officeDocument/2006/relationships/hyperlink" Target="file:///\\192.168.1.231\..\AppData\Acquisti\2023\EV\Proforme\BELLOLI%204162%20nota%2027.10.23%20-%20Colombini_Gagliolo.pdf" TargetMode="External"/><Relationship Id="rId501" Type="http://schemas.openxmlformats.org/officeDocument/2006/relationships/hyperlink" Target="file:///C:\Users\Ufficio\AppData\Roaming\Acquisti\2025\EV\FATTURE\EV%20-%20DA%20LEONE%20DI%20COSTA%20CARLO%20ft%20960%20del%2016-04-2025.pdf" TargetMode="External"/><Relationship Id="rId543" Type="http://schemas.openxmlformats.org/officeDocument/2006/relationships/hyperlink" Target="file:///C:\Users\Ufficio\AppData\Roaming\Acquisti\2025\EV\FATTURE\EV%20-%20C.M.M.%20ft%2019%20del%2028-02-2025.pdf" TargetMode="External"/><Relationship Id="rId75" Type="http://schemas.openxmlformats.org/officeDocument/2006/relationships/hyperlink" Target="file:///C:\Users\Ufficio\AppData\Roaming\Acquisti\2025\EV\FATTURE\EV%20-%20UNIACQUE%20SRL%20ft%20202510256825%20del%2018-03-2025.pdf" TargetMode="External"/><Relationship Id="rId140" Type="http://schemas.openxmlformats.org/officeDocument/2006/relationships/hyperlink" Target="file:///C:\Users\Ufficio\AppData\Roaming\Acquisti\2025\EV\FATTURE\EV%20-%20TAPPEZZIERE%20MORONI%20ft%2052%20del%2014-05-2025.pdf" TargetMode="External"/><Relationship Id="rId182" Type="http://schemas.openxmlformats.org/officeDocument/2006/relationships/hyperlink" Target="file:///C:\Users\Ufficio\AppData\Roaming\Acquisti\2025\EV\FATTURE\EV%20-%20SER%20CAR%20ft%2022094%20del%2024-06-2025.pdf" TargetMode="External"/><Relationship Id="rId378" Type="http://schemas.openxmlformats.org/officeDocument/2006/relationships/hyperlink" Target="file:///C:\Users\Ufficio\AppData\Roaming\Acquisti\2025\EV\FATTURE\EV%20-%20KUWAIT%20PETROLEUM%20ft%2009790213%20del%2015-04-2025.pdf" TargetMode="External"/><Relationship Id="rId403" Type="http://schemas.openxmlformats.org/officeDocument/2006/relationships/hyperlink" Target="file:///C:\Users\Ufficio\AppData\Roaming\Acquisti\2025\EV\FATTURE\EV%20-%20HAPPILY%20SRL%20ft%20869%20del%2011-02-2025.pdf" TargetMode="External"/><Relationship Id="rId585" Type="http://schemas.openxmlformats.org/officeDocument/2006/relationships/hyperlink" Target="file:///C:\Users\Ufficio\AppData\Roaming\Acquisti\2025\EV\FATTURE\EV%20-%20BANCO%20BPM%20ft%209365%20del%2008-01-2025.pdf" TargetMode="External"/><Relationship Id="rId6" Type="http://schemas.openxmlformats.org/officeDocument/2006/relationships/hyperlink" Target="file:///C:\Users\Ufficio\AppData\Roaming\Acquisti\2025\EV\FATTURE\EV%20-%20ZANINONI%20PACKAGING%20SRL%20ft%202533%20del%2027-05-2025.pdf" TargetMode="External"/><Relationship Id="rId238" Type="http://schemas.openxmlformats.org/officeDocument/2006/relationships/hyperlink" Target="file:///C:\Users\Ufficio\AppData\Roaming\Acquisti\2025\EV\FATTURE\EV%20-%20PER%20PIU%20SOLUZIONI%20ft%20431%20del%2001-09-2025.pdf" TargetMode="External"/><Relationship Id="rId445" Type="http://schemas.openxmlformats.org/officeDocument/2006/relationships/hyperlink" Target="file:///C:\Users\Ufficio\AppData\Roaming\Acquisti\2025\EV\FATTURE\EV%20-%20EDILCOMMERCIO%20ft%201726%20del%2031-08-2025.pdf" TargetMode="External"/><Relationship Id="rId487" Type="http://schemas.openxmlformats.org/officeDocument/2006/relationships/hyperlink" Target="file:///C:\Users\Ufficio\AppData\Roaming\Acquisti\2025\EV\FATTURE\EV%20-%20DEUTSCHORDENSSCHWESTERN%20LANA%20ft%20140%20del%2030-01-2025.pdf" TargetMode="External"/><Relationship Id="rId610" Type="http://schemas.openxmlformats.org/officeDocument/2006/relationships/hyperlink" Target="file:///C:\Users\Ufficio\AppData\Roaming\Acquisti\2025\EV\FATTURE\EV%20-%20ASSOLARI%20DOMENICO%20ft%2072%20del%2031-01-2025.pdf" TargetMode="External"/><Relationship Id="rId291" Type="http://schemas.openxmlformats.org/officeDocument/2006/relationships/hyperlink" Target="file:///C:\Users\Ufficio\AppData\Roaming\Acquisti\2025\EV\FATTURE\EV%20-%20MYO%20ft%209528%20del%2030-01-2025.pdf" TargetMode="External"/><Relationship Id="rId305" Type="http://schemas.openxmlformats.org/officeDocument/2006/relationships/hyperlink" Target="file:///C:\Users\Ufficio\AppData\Roaming\Acquisti\2025\EV\FATTURE\EV%20-%20MET%20ENERGIA%20ITALIA%20ft%2036949%20del%2016-01-2025.pdf" TargetMode="External"/><Relationship Id="rId347" Type="http://schemas.openxmlformats.org/officeDocument/2006/relationships/hyperlink" Target="file:///C:\Users\Ufficio\AppData\Roaming\Acquisti\2025\EV\FATTURE\EV%20-%20LEADERS%20SRL%20ft%2041%20del%2029-01-2025.pdf" TargetMode="External"/><Relationship Id="rId512" Type="http://schemas.openxmlformats.org/officeDocument/2006/relationships/hyperlink" Target="file:///C:\Users\Ufficio\AppData\Roaming\Acquisti\2025\EV\FATTURE\EV%20-%20CUCCHI%20PETER%20nc%2045%20del%2010-09-2025.pdf" TargetMode="External"/><Relationship Id="rId44" Type="http://schemas.openxmlformats.org/officeDocument/2006/relationships/hyperlink" Target="file:///C:\Users\Ufficio\AppData\Roaming\Acquisti\2025\EV\FATTURE\EV%20-%20VERISURE%20SRL%20ft%202505C367655%20del%2001-05-2025.pdf" TargetMode="External"/><Relationship Id="rId86" Type="http://schemas.openxmlformats.org/officeDocument/2006/relationships/hyperlink" Target="file:///C:\Users\Ufficio\AppData\Roaming\Acquisti\2025\EV\FATTURE\EV%20-%20TRATTORIA%20LA%20PATTA%20ft%20530%20del%2028-02-2025.pdf" TargetMode="External"/><Relationship Id="rId151" Type="http://schemas.openxmlformats.org/officeDocument/2006/relationships/hyperlink" Target="file:///C:\Users\Ufficio\AppData\Ufficio\Desktop\Amministrazione\Acquisti\2024\EV\Fatture\EV%20-%20STUDIO%20NOTARILE%20TUCCI%20TURCONI%20ft%204440%20del%2024-12-2024.pdf" TargetMode="External"/><Relationship Id="rId389" Type="http://schemas.openxmlformats.org/officeDocument/2006/relationships/hyperlink" Target="file:///C:\Users\Ufficio\AppData\Roaming\Acquisti\2025\EV\FATTURE\EV%20-%20IRIS%20MOBILI%20SRL%20ft%202440506%20del%2023-09-2025.pdf" TargetMode="External"/><Relationship Id="rId554" Type="http://schemas.openxmlformats.org/officeDocument/2006/relationships/hyperlink" Target="file:///C:\Users\Ufficio\AppData\Roaming\Acquisti\2025\EV\FATTURE\EV%20-%20BP33%20ft%2018%20del%2021-05-2025.pdf" TargetMode="External"/><Relationship Id="rId596" Type="http://schemas.openxmlformats.org/officeDocument/2006/relationships/hyperlink" Target="file:///C:\Users\Ufficio\AppData\Roaming\Acquisti\2025\EV\FATTURE\EV%20-%20AUTOSTRADE%20PER%20L'ITALIA%20SPA%20ft%201789130%20del%2030-03-2025.pdf" TargetMode="External"/><Relationship Id="rId193" Type="http://schemas.openxmlformats.org/officeDocument/2006/relationships/hyperlink" Target="file:///C:\Users\Ufficio\AppData\Roaming\Acquisti\2025\EV\FATTURE\EV%20-%20ROCCA%20GIUSEPPE%20ft%2015%20del%2027-03-2025.pdf" TargetMode="External"/><Relationship Id="rId207" Type="http://schemas.openxmlformats.org/officeDocument/2006/relationships/hyperlink" Target="file:///C:\Users\Ufficio\AppData\Ufficio\Desktop\Amministrazione\Acquisti\2024\EV\Fatture\EV%20-%20RESIDENZA%20PARADISO%20ft%2095%20del%2004-09-2024.pdf" TargetMode="External"/><Relationship Id="rId249" Type="http://schemas.openxmlformats.org/officeDocument/2006/relationships/hyperlink" Target="file:///C:\Users\Ufficio\AppData\Roaming\Acquisti\2025\EV\FATTURE\EV%20-%20PARCHEGGI%20ITALIA%20SPA%20ft%20108023561P%20del%2030-08-2025.pdf" TargetMode="External"/><Relationship Id="rId414" Type="http://schemas.openxmlformats.org/officeDocument/2006/relationships/hyperlink" Target="file:///C:\Users\Ufficio\AppData\Ufficio\Desktop\Amministrazione\Acquisti\2024\EV\Fatture\EV-%20GMG%20ft%201599%20del%2031-12-2024.pdf" TargetMode="External"/><Relationship Id="rId456" Type="http://schemas.openxmlformats.org/officeDocument/2006/relationships/hyperlink" Target="file:///C:\Users\Ufficio\AppData\Roaming\Acquisti\2025\EV\FATTURE\EV-%20EDILCOMMERCIO%20%20ft%20508%20del%2015-03-2025.pdf" TargetMode="External"/><Relationship Id="rId498" Type="http://schemas.openxmlformats.org/officeDocument/2006/relationships/hyperlink" Target="file:///C:\Users\Ufficio\AppData\Roaming\Acquisti\2025\EV\FATTURE\EV%20-%20DA%20LEONE%20DI%20COSTA%20CARLO%20ft%201105%20del%2007-05-2025.pdf" TargetMode="External"/><Relationship Id="rId621" Type="http://schemas.openxmlformats.org/officeDocument/2006/relationships/hyperlink" Target="file:///C:\Users\Ufficio\AppData\Roaming\Acquisti\2025\EV\FATTURE\EV%20-%20AGRIRISTORANTE%20SANT'ALESSANDRO%20ft%20169%20del%2001-09-2025.pdf" TargetMode="External"/><Relationship Id="rId13" Type="http://schemas.openxmlformats.org/officeDocument/2006/relationships/hyperlink" Target="file:///C:\Users\Ufficio\AppData\Roaming\Acquisti\2025\EV\FATTURE\EV%20-%20VIEMME%20PORTE%20ft%206097%20del%2005-08-2025.pdf" TargetMode="External"/><Relationship Id="rId109" Type="http://schemas.openxmlformats.org/officeDocument/2006/relationships/hyperlink" Target="file:///C:\Users\Ufficio\AppData\Roaming\Acquisti\2025\EV\FATTURE\EV%20-%20TERMOIDRAULICA%20V.M.%20nc%202%20del%2013-03-2025.pdf" TargetMode="External"/><Relationship Id="rId260" Type="http://schemas.openxmlformats.org/officeDocument/2006/relationships/hyperlink" Target="file:///C:\Users\Ufficio\AppData\Roaming\Acquisti\2025\EV\FATTURE\EV%20-%20PARCHEGGI%20ITALIA%20SPA%20%20ft%20269%20del%2030-01-2025" TargetMode="External"/><Relationship Id="rId316" Type="http://schemas.openxmlformats.org/officeDocument/2006/relationships/hyperlink" Target="file:///C:\Users\Ufficio\AppData\Roaming\Acquisti\2025\EV\FATTURE\EV%20-%20MALTO%20&amp;%20LUPPOLO%20BAR%20LIU%20ft%202352%20del%2007-06-2025.pdf" TargetMode="External"/><Relationship Id="rId523" Type="http://schemas.openxmlformats.org/officeDocument/2006/relationships/hyperlink" Target="file:///C:\Users\Ufficio\AppData\Roaming\Acquisti\2025\EV\FATTURE\EV%20_%20CONVENTO%20DEI%20NEVERI%20ft%2084%20del%2001-08-2025.pdf" TargetMode="External"/><Relationship Id="rId55" Type="http://schemas.openxmlformats.org/officeDocument/2006/relationships/hyperlink" Target="file:///C:\Users\Ufficio\AppData\Roaming\Acquisti\2025\EV\FATTURE\EV-%20VERISURE%20SRL%20ft%2041490%20del%2005-02-2025.pdf" TargetMode="External"/><Relationship Id="rId97" Type="http://schemas.openxmlformats.org/officeDocument/2006/relationships/hyperlink" Target="file:///C:\Users\Ufficio\AppData\Roaming\Acquisti\2025\EV\FATTURE\EV%20-%20TIM%20SPA%20ft%200765%20del%2010-07-2025.pdf" TargetMode="External"/><Relationship Id="rId120" Type="http://schemas.openxmlformats.org/officeDocument/2006/relationships/hyperlink" Target="file:///C:\Users\Ufficio\AppData\Ufficio\Desktop\Amministrazione\Acquisti\2024\EV\Fatture\EV%20-%20TERMOIDRAULICA%20VM%20ft%20143%20del%2004-10-2024.pdf" TargetMode="External"/><Relationship Id="rId358" Type="http://schemas.openxmlformats.org/officeDocument/2006/relationships/hyperlink" Target="file:///C:\Users\Ufficio\AppData\Roaming\Acquisti\2025\EV\FATTURE\EV%20-%20LA%20PIAZZONI%20ft%205501%20del%2031-08-2025.pdf" TargetMode="External"/><Relationship Id="rId565" Type="http://schemas.openxmlformats.org/officeDocument/2006/relationships/hyperlink" Target="file:///C:\Users\Ufficio\AppData\Roaming\Acquisti\2025\EV\FATTURE\EV%20-%20BORDOGNI%20FABIO%20ft%20375%20del%2030-04-2025.pdf" TargetMode="External"/><Relationship Id="rId162" Type="http://schemas.openxmlformats.org/officeDocument/2006/relationships/hyperlink" Target="file:///C:\Users\Ufficio\AppData\Ufficio\Desktop\Amministrazione\Acquisti\2024\EV\Fatture\EV%20-%20SPELGATTI%20ft%202854%20del%2031-10-2024.pdf" TargetMode="External"/><Relationship Id="rId218" Type="http://schemas.openxmlformats.org/officeDocument/2006/relationships/hyperlink" Target="file:///C:\Users\Ufficio\AppData\Ufficio\Desktop\Amministrazione\Acquisti\2024\EV\Fatture\EV%20-%20RBP%20ft%20663%20del%2030-11-2024.pdf" TargetMode="External"/><Relationship Id="rId425" Type="http://schemas.openxmlformats.org/officeDocument/2006/relationships/hyperlink" Target="file:///C:\Users\Ufficio\AppData\Ufficio\Desktop\Amministrazione\Acquisti\2024\EV\Fatture\EV-F.LLI%20TESTA%20ft%204554%20del%2031-12-2024.pdf" TargetMode="External"/><Relationship Id="rId467" Type="http://schemas.openxmlformats.org/officeDocument/2006/relationships/hyperlink" Target="file:///C:\Users\Ufficio\AppData\Roaming\Acquisti\2025\EV\FATTURE\EV%20-%20CHIURLO%20SRL%20ft%2019108792%20del%2025-06-2025.pdf" TargetMode="External"/><Relationship Id="rId271" Type="http://schemas.openxmlformats.org/officeDocument/2006/relationships/hyperlink" Target="file:///C:\Users\Ufficio\AppData\Roaming\Acquisti\2025\EV\FATTURE\EV%20-%20OLIMPIA%20ft%200633852%20del%2007-08-2025.pdf" TargetMode="External"/><Relationship Id="rId24" Type="http://schemas.openxmlformats.org/officeDocument/2006/relationships/hyperlink" Target="file:///C:\Users\Ufficio\AppData\Roaming\Acquisti\2025\EV\FATTURE\EV%20-%20VERISURE%20ft%20308716%20del%2004-09-2025.pdf" TargetMode="External"/><Relationship Id="rId66" Type="http://schemas.openxmlformats.org/officeDocument/2006/relationships/hyperlink" Target="file:///C:\Users\Ufficio\AppData\Roaming\Acquisti\2025\EV\FATTURE\EV%20-%20V.E.M.%20SRL%20ft%20527%20del%2028-02-2025.pdf" TargetMode="External"/><Relationship Id="rId131" Type="http://schemas.openxmlformats.org/officeDocument/2006/relationships/hyperlink" Target="file:///C:\Users\Ufficio\AppData\Roaming\Acquisti\2025\EV\FATTURE\EV%20-%20TELEPASS%20SPA%20ft%2080535%20del%2030-01-2025.pdf" TargetMode="External"/><Relationship Id="rId327" Type="http://schemas.openxmlformats.org/officeDocument/2006/relationships/hyperlink" Target="file:///\\192.168.1.231\..\AppData\Acquisti\2023\EV\Proforme\BELLOLI%204162%20nota%2027.10.23%20-%20Colombini_Gagliolo.pdf" TargetMode="External"/><Relationship Id="rId369" Type="http://schemas.openxmlformats.org/officeDocument/2006/relationships/hyperlink" Target="file:///C:\Users\Ufficio\AppData\Roaming\Acquisti\2025\EV\FATTURE\EV%20-%20KUWAIT%20PETROLEUM%20ft%20366897%20del%2031-08-2025.pdf" TargetMode="External"/><Relationship Id="rId534" Type="http://schemas.openxmlformats.org/officeDocument/2006/relationships/hyperlink" Target="file:///C:\Users\Ufficio\AppData\Roaming\Acquisti\2025\EV\FATTURE\EV%20-%20CENTRO%20EDILIZIA%20ft%201753%20del%2003-09-2025.pdf" TargetMode="External"/><Relationship Id="rId576" Type="http://schemas.openxmlformats.org/officeDocument/2006/relationships/hyperlink" Target="file:///C:\Users\Ufficio\AppData\Roaming\Acquisti\2025\EV\FATTURE\EV%20-%20BCC%20DI%20MILANO%20ft%201844%20del%2030-06-2025.pdf" TargetMode="External"/><Relationship Id="rId173" Type="http://schemas.openxmlformats.org/officeDocument/2006/relationships/hyperlink" Target="file:///C:\Users\Ufficio\AppData\Roaming\Acquisti\2025\EV\FATTURE\EV%20-%20SER%20CAR%20ft%2022196%20del%2001-07-2025.pdf" TargetMode="External"/><Relationship Id="rId229" Type="http://schemas.openxmlformats.org/officeDocument/2006/relationships/hyperlink" Target="file:///C:\Users\Ufficio\AppData\Roaming\Acquisti\2025\EV\FATTURE\EV%20-%20PROJECT%20SRL%20ft%2073%20del%2014-04-2025.pdf" TargetMode="External"/><Relationship Id="rId380" Type="http://schemas.openxmlformats.org/officeDocument/2006/relationships/hyperlink" Target="file:///C:\Users\Ufficio\AppData\Roaming\Acquisti\2025\EV\FATTURE\EV%20-%20KUWAIT%20PETROLEUM%20ft%207762%20del%2015-03-2025.pdf" TargetMode="External"/><Relationship Id="rId436" Type="http://schemas.openxmlformats.org/officeDocument/2006/relationships/hyperlink" Target="file:///C:\Users\Ufficio\AppData\Roaming\Acquisti\2025\EV\FATTURE\EV%20-%20ESPRESSO%20TOSCANO%20ft%20396%20del%2010-02-2025.pdf" TargetMode="External"/><Relationship Id="rId601" Type="http://schemas.openxmlformats.org/officeDocument/2006/relationships/hyperlink" Target="file:///C:\Users\Ufficio\AppData\Roaming\Acquisti\2025\EV\FATTURE\EV%20_%20ASSOLARI%20DOMENICO%20ft%201215%20del%2031-07-2025.pdf" TargetMode="External"/><Relationship Id="rId240" Type="http://schemas.openxmlformats.org/officeDocument/2006/relationships/hyperlink" Target="file:///\\192.168.1.231\..\AppData\Acquisti\2023\EV\Proforme\Belloli%20doc%204195%20del%2030-11-2023%20--%20Colombini%20PIGN%20QUOTE%20nota%20pro%20forma.pdf" TargetMode="External"/><Relationship Id="rId478" Type="http://schemas.openxmlformats.org/officeDocument/2006/relationships/hyperlink" Target="file:///C:\Users\Ufficio\AppData\Roaming\Acquisti\2025\EV\FATTURE\EV%20-%20ECOBERG%20ft%20465%20del%2031-07-2025.pdf" TargetMode="External"/><Relationship Id="rId35" Type="http://schemas.openxmlformats.org/officeDocument/2006/relationships/hyperlink" Target="file:///C:\Users\Ufficio\AppData\Roaming\Acquisti\2025\EV\FATTURE\EV%20-%20VERISURE%20ft%2050090%20del%2001-07-2025.pdf" TargetMode="External"/><Relationship Id="rId77" Type="http://schemas.openxmlformats.org/officeDocument/2006/relationships/hyperlink" Target="file:///C:\Users\Ufficio\AppData\Roaming\Acquisti\2025\EV\FATTURE\EV%20-%20UNIACQUE%20SRL%20ft%20202510139245%20del%2013-02-2025.pdf" TargetMode="External"/><Relationship Id="rId100" Type="http://schemas.openxmlformats.org/officeDocument/2006/relationships/hyperlink" Target="file:///C:\Users\Ufficio\AppData\Roaming\Acquisti\2025\EV\FATTURE\EV%20-%20TIM%20SPA%20ft%20223514%20del%2011-03-2025.pdf" TargetMode="External"/><Relationship Id="rId282" Type="http://schemas.openxmlformats.org/officeDocument/2006/relationships/hyperlink" Target="file:///C:\Users\Ufficio\AppData\Acquisti\2025\EV\FATTURE\EV%20-%20NSA%20ft%201954%20del%2030-09-2025.pdf" TargetMode="External"/><Relationship Id="rId338" Type="http://schemas.openxmlformats.org/officeDocument/2006/relationships/hyperlink" Target="file:///\\192.168.1.231\..\AppData\Acquisti\2023\EV\Proforme\BELLOLI%204162%20nota%2027.10.23%20-%20Colombini_Gagliolo.pdf" TargetMode="External"/><Relationship Id="rId503" Type="http://schemas.openxmlformats.org/officeDocument/2006/relationships/hyperlink" Target="file:///C:\Users\Ufficio\AppData\Roaming\Acquisti\2025\EV\FATTURE\EV%20-%20DA%20LEONE%20DI%20COSTA%20CARLO%20ft%20936%20del%2011-04-2025.pdf" TargetMode="External"/><Relationship Id="rId545" Type="http://schemas.openxmlformats.org/officeDocument/2006/relationships/hyperlink" Target="file:///C:\Users\Ufficio\AppData\Roaming\Acquisti\2025\EV\FATTURE\EV-%20C.M.M.%20CARPENTERIA%20METALLICA%20ft%205E%20del%2016-01-2025.pdf" TargetMode="External"/><Relationship Id="rId587" Type="http://schemas.openxmlformats.org/officeDocument/2006/relationships/hyperlink" Target="file:///C:\Users\Ufficio\AppData\Roaming\Acquisti\2025\EV\FATTURE\EV%20-%20BALLAN%20ft%20273%20del%2017-01-2025.pdf" TargetMode="External"/><Relationship Id="rId8" Type="http://schemas.openxmlformats.org/officeDocument/2006/relationships/hyperlink" Target="file:///\\192.168.1.231\..\AppData\Acquisti\2023\EV\Fatture\EV%20-%20WUERTH%20ft%20-676%20del%2004-10-2023.pdf" TargetMode="External"/><Relationship Id="rId142" Type="http://schemas.openxmlformats.org/officeDocument/2006/relationships/hyperlink" Target="file:///C:\Users\Ufficio\AppData\Roaming\Acquisti\2025\EV\FATTURE\EV%20-%20SYSTEM%20PROJECT%20ft%202301%20del%2031-07-2025.pdf" TargetMode="External"/><Relationship Id="rId184" Type="http://schemas.openxmlformats.org/officeDocument/2006/relationships/hyperlink" Target="file:///C:\Users\Ufficio\AppData\Roaming\Acquisti\2025\EV\FATTURE\EV%20-%20SALVETTI%20SRL%20ft%20238%20del%2014-07-2025.pdf" TargetMode="External"/><Relationship Id="rId391" Type="http://schemas.openxmlformats.org/officeDocument/2006/relationships/hyperlink" Target="file:///C:\Users\Ufficio\AppData\Roaming\Acquisti\2025\EV\FATTURE\EV%20-%20INTESA%20SAN%20PAOLO%20ft%206071%20del%2015-01-2025.pdf" TargetMode="External"/><Relationship Id="rId405" Type="http://schemas.openxmlformats.org/officeDocument/2006/relationships/hyperlink" Target="file:///C:\Users\Ufficio\AppData\Roaming\Acquisti\2025\EV\FATTURE\EV%20-%20GYPSUM%20SRL%20ft%20143%20del%2028-02-2025.pdf" TargetMode="External"/><Relationship Id="rId447" Type="http://schemas.openxmlformats.org/officeDocument/2006/relationships/hyperlink" Target="file:///C:\Users\Ufficio\AppData\Roaming\Acquisti\2025\EV\FATTURE\EV%20-%20EDILCOMMERCIO%20ft%201455%20del%2015-07-2025.pdf" TargetMode="External"/><Relationship Id="rId612" Type="http://schemas.openxmlformats.org/officeDocument/2006/relationships/hyperlink" Target="file:///C:\Users\Ufficio\AppData\Roaming\Acquisti\2025\EV\FATTURE\EV%20-%20ARTES%20SRL%20ft%20277%20del%2009-06-2025.pdf" TargetMode="External"/><Relationship Id="rId251" Type="http://schemas.openxmlformats.org/officeDocument/2006/relationships/hyperlink" Target="file:///C:\Users\Ufficio\AppData\Roaming\Acquisti\2025\EV\FATTURE\EV%20-%20PARCHEGGI%20ITALIA%20SPA%20ft%2018888%20del%2030-06-2025.pdf" TargetMode="External"/><Relationship Id="rId489" Type="http://schemas.openxmlformats.org/officeDocument/2006/relationships/hyperlink" Target="file:///C:\Users\Ufficio\AppData\Roaming\Acquisti\2025\EV\FATTURE\EV-%20DELTA%20SRL%20ft%2017%20del%2031-01-2025.pdf" TargetMode="External"/><Relationship Id="rId46" Type="http://schemas.openxmlformats.org/officeDocument/2006/relationships/hyperlink" Target="file:///C:\Users\Ufficio\AppData\Roaming\Acquisti\2025\EV\FATTURE\EV%20-%20VERISURE%20ft%202504C379686%20del%2001-04-2025.pdf" TargetMode="External"/><Relationship Id="rId293" Type="http://schemas.openxmlformats.org/officeDocument/2006/relationships/hyperlink" Target="file:///C:\Users\Ufficio\AppData\Roaming\Acquisti\2025\EV\FATTURE\EV%20-%20MOIOLI%20VALERIO%20ft%20351%20del%2015-05-2025.pdf" TargetMode="External"/><Relationship Id="rId307" Type="http://schemas.openxmlformats.org/officeDocument/2006/relationships/hyperlink" Target="file:///C:\Users\Ufficio\AppData\Roaming\Acquisti\2025\EV\FATTURE\EV%20-%20MERELLI%20ANNAMARIA%20ft%20125000782%20del%2014-04-2025.pdf" TargetMode="External"/><Relationship Id="rId349" Type="http://schemas.openxmlformats.org/officeDocument/2006/relationships/hyperlink" Target="file:///\\192.168.1.231\..\AppData\Acquisti\2023\EV\Proforme\Bellini%20173-edilvertova-prog-via%20ghislandiBG-L10.pdf" TargetMode="External"/><Relationship Id="rId514" Type="http://schemas.openxmlformats.org/officeDocument/2006/relationships/hyperlink" Target="file:///C:\Users\Ufficio\AppData\Roaming\Acquisti\2025\EV\FATTURE\EV%20-%20CUCCHI%20PETER%20ft%2011%20del%2010-02-2025.pdf" TargetMode="External"/><Relationship Id="rId556" Type="http://schemas.openxmlformats.org/officeDocument/2006/relationships/hyperlink" Target="file:///C:\Users\Ufficio\AppData\Roaming\Acquisti\2025\EV\FATTURE\EV%20-%20BP33%20ft%201%20del%2023-01-2025.pdf" TargetMode="External"/><Relationship Id="rId88" Type="http://schemas.openxmlformats.org/officeDocument/2006/relationships/hyperlink" Target="file:///C:\Users\Ufficio\AppData\Roaming\Acquisti\2025\EV\FATTURE\EV%20-%20TOP%20COPERTURE%20SRL%20ft%20150%20del%2030-06-2025.pdf" TargetMode="External"/><Relationship Id="rId111" Type="http://schemas.openxmlformats.org/officeDocument/2006/relationships/hyperlink" Target="file:///C:\Users\Ufficio\AppData\Roaming\Acquisti\2025\EV\FATTURE\EV%20-%20TERMOIDRAULICA%20V.M.%20ft%209%20del%2030-01-2025.pdf" TargetMode="External"/><Relationship Id="rId153" Type="http://schemas.openxmlformats.org/officeDocument/2006/relationships/hyperlink" Target="file:///C:\Users\Ufficio\AppData\Roaming\Acquisti\2025\EV\FATTURE\EV%20-%20STUDIO%20NOTARILE%20TUCCI%20ft%20132%20del%2020-01-2025.pdf" TargetMode="External"/><Relationship Id="rId195" Type="http://schemas.openxmlformats.org/officeDocument/2006/relationships/hyperlink" Target="file:///C:\Users\Ufficio\AppData\Roaming\Acquisti\2025\EV\FATTURE\EV%20-%20ROCCA%20GIUSEPPE%20ft%2011%20del%2025-02-2025.pdf" TargetMode="External"/><Relationship Id="rId209" Type="http://schemas.openxmlformats.org/officeDocument/2006/relationships/hyperlink" Target="file:///C:\Users\Ufficio\AppData\Roaming\Acquisti\2025\EV\FATTURE\EV%20-%20REPOWER%20ft%2025410%20del%2018-03-2025.pdf" TargetMode="External"/><Relationship Id="rId360" Type="http://schemas.openxmlformats.org/officeDocument/2006/relationships/hyperlink" Target="file:///C:\Users\Ufficio\AppData\Roaming\Acquisti\2025\EV\FATTURE\EV%20-%20LA%20PIAZZONI%20nc%201289%20del%2028-02-2025.pdf" TargetMode="External"/><Relationship Id="rId416" Type="http://schemas.openxmlformats.org/officeDocument/2006/relationships/hyperlink" Target="file:///C:\Users\Ufficio\AppData\Acquisti\2025\EV\FATTURE\EV%20-%20FRATELLI%20BAGGI%20SRL%20ft%2034%20del%2006-10-2025.pdf" TargetMode="External"/><Relationship Id="rId598" Type="http://schemas.openxmlformats.org/officeDocument/2006/relationships/hyperlink" Target="file:///C:\Users\Ufficio\AppData\Roaming\Acquisti\2025\EV\FATTURE\EV%20-%20AUTOSTRADE%20PER%20L'ITALIA%20SPA%20ft%20565668%20del%2030-01-2025.pdf" TargetMode="External"/><Relationship Id="rId220" Type="http://schemas.openxmlformats.org/officeDocument/2006/relationships/hyperlink" Target="file:///C:\Users\Ufficio\AppData\Roaming\Microsoft\7aa421c7-2b34-46b2-9cb8-8bae2072a22d-72ee7a3a-836c-4167-a878-488259757a95\Amministrazione\Acquisti\2024\EV\Fatture\EV%20-%20RBP%20ft%20449%20del%2031-08-2024.pdf" TargetMode="External"/><Relationship Id="rId458" Type="http://schemas.openxmlformats.org/officeDocument/2006/relationships/hyperlink" Target="file:///C:\Users\Ufficio\AppData\Ufficio\Desktop\Amministrazione\Acquisti\2024\EV\Fatture\EV%20-%20EDILCOMMERCIO%20ft%202304%20del%2016-11-2024.pdf" TargetMode="External"/><Relationship Id="rId623" Type="http://schemas.openxmlformats.org/officeDocument/2006/relationships/hyperlink" Target="file:///C:\Users\Ufficio\AppData\Acquisti\2025\EV\FATTURE\EV%20-%20AGOSTANI%20SRL%20ft%204162%20del%2009-10-2025.pdf" TargetMode="External"/><Relationship Id="rId15" Type="http://schemas.openxmlformats.org/officeDocument/2006/relationships/hyperlink" Target="file:///C:\Users\Ufficio\AppData\Roaming\Acquisti\2025\EV\FATTURE\EV%20-%20VIEMME%20PORTE%20ft%202056%20del%2031-03-2025.pdf" TargetMode="External"/><Relationship Id="rId57" Type="http://schemas.openxmlformats.org/officeDocument/2006/relationships/hyperlink" Target="file:///C:\Users\Ufficio\AppData\Roaming\Acquisti\2025\EV\FATTURE\EV-%20VERISURE%20SRL%20ft%20338610%20del%2001-02-2025.pdf" TargetMode="External"/><Relationship Id="rId262" Type="http://schemas.openxmlformats.org/officeDocument/2006/relationships/hyperlink" Target="file:///C:\Users\Ufficio\AppData\Roaming\Acquisti\2025\EV\FATTURE\EV%20-%20P&amp;P%20LMC%20SRL%20ft%201149+%20del%2003-10-2025.pdf" TargetMode="External"/><Relationship Id="rId318" Type="http://schemas.openxmlformats.org/officeDocument/2006/relationships/hyperlink" Target="file:///C:\Users\Ufficio\AppData\Roaming\Acquisti\2025\EV\FATTURE\EV%20-%20MADASCHI%20GIUSEPPE%20ft%2049%20del%2021-07-2025.pdf" TargetMode="External"/><Relationship Id="rId525" Type="http://schemas.openxmlformats.org/officeDocument/2006/relationships/hyperlink" Target="file:///C:\Users\Ufficio\AppData\Roaming\Acquisti\2025\EV\FATTURE\EV%20-%20CHIURLO%20SRL%20ft%2019125088%20del%2026-07-2025.pdf" TargetMode="External"/><Relationship Id="rId567" Type="http://schemas.openxmlformats.org/officeDocument/2006/relationships/hyperlink" Target="file:///C:\Users\Ufficio\AppData\Roaming\Acquisti\2025\EV\FATTURE\EV%20-%20BONGIORNO%20ANTINFORTUNISTICA%20ft%20532%20del%2030-05-2025.pdf" TargetMode="External"/><Relationship Id="rId99" Type="http://schemas.openxmlformats.org/officeDocument/2006/relationships/hyperlink" Target="file:///C:\Users\Ufficio\AppData\Roaming\Acquisti\2025\EV\FATTURE\EV%20-%20TIM%20SPA%20ft%20295710%20del%2010-04-2025.pdf" TargetMode="External"/><Relationship Id="rId122" Type="http://schemas.openxmlformats.org/officeDocument/2006/relationships/hyperlink" Target="file:///C:\Users\Ufficio\AppData\Roaming\Acquisti\2025\EV\FATTURE\EV%20-%20TELEPASS%20SPA%20ft%2054943754%20del%2030-03-2025.pdf" TargetMode="External"/><Relationship Id="rId164" Type="http://schemas.openxmlformats.org/officeDocument/2006/relationships/hyperlink" Target="file:///C:\Users\Ufficio\AppData\Roaming\Acquisti\2025\EV\FATTURE\EV%20-%20SPELGATTI%20ft%20257%20del%2031-01-2025.pdf" TargetMode="External"/><Relationship Id="rId371" Type="http://schemas.openxmlformats.org/officeDocument/2006/relationships/hyperlink" Target="file:///C:\Users\Ufficio\AppData\Roaming\Acquisti\2025\EV\FATTURE\EV%20-%20KUWAIT%20PETROLEUM%20ft%20235437%20del%2031-07-2025.pdf" TargetMode="External"/><Relationship Id="rId427" Type="http://schemas.openxmlformats.org/officeDocument/2006/relationships/hyperlink" Target="file:///C:\Users\Ufficio\AppData\Ufficio\Desktop\Amministrazione\Acquisti\2024\EV\Fatture\EV%20-%20F_LLI%20TESTA%20%20ft%204350%20del%2019-12-2024.pdf" TargetMode="External"/><Relationship Id="rId469" Type="http://schemas.openxmlformats.org/officeDocument/2006/relationships/hyperlink" Target="file:///C:\Users\Ufficio\AppData\Roaming\Acquisti\2025\EV\FATTURE\EV%20-%20ECOTAURUS%20ft%202723%20del%2001-05-2025.pdf" TargetMode="External"/><Relationship Id="rId26" Type="http://schemas.openxmlformats.org/officeDocument/2006/relationships/hyperlink" Target="file:///C:\Users\Ufficio\AppData\Roaming\Acquisti\2025\EV\FATTURE\EV%20-%20VERISURE%20ft%20316805%20del%2001-09-2025.pdf" TargetMode="External"/><Relationship Id="rId231" Type="http://schemas.openxmlformats.org/officeDocument/2006/relationships/hyperlink" Target="file:///C:\Users\Ufficio\AppData\Roaming\Acquisti\2025\EV\FATTURE\EV%20-%20PREAN%20ft%20679%20del%2014-01-2025.pdf" TargetMode="External"/><Relationship Id="rId273" Type="http://schemas.openxmlformats.org/officeDocument/2006/relationships/hyperlink" Target="file:///C:\Users\Ufficio\AppData\Roaming\Acquisti\2025\EV\FATTURE\EV%20-%20OLIMPIA%20ft%20550944%20del%2010-07-2025.pdf" TargetMode="External"/><Relationship Id="rId329" Type="http://schemas.openxmlformats.org/officeDocument/2006/relationships/hyperlink" Target="file:///C:\Users\Ufficio\AppData\Roaming\Acquisti\2025\EV\FATTURE\EV%20-%20LOCANDA%20ROSA%20SAS%20ft%20623%20del%2017-06-2025.pdf" TargetMode="External"/><Relationship Id="rId480" Type="http://schemas.openxmlformats.org/officeDocument/2006/relationships/hyperlink" Target="file:///C:\Users\Ufficio\AppData\Roaming\Acquisti\2025\EV\FATTURE\EV%20-%20ECOBERG%20SRL%20ft%20106%20del%2028-02-2025.pdf" TargetMode="External"/><Relationship Id="rId536" Type="http://schemas.openxmlformats.org/officeDocument/2006/relationships/hyperlink" Target="file:///C:\Users\Ufficio\AppData\Roaming\Acquisti\2025\EV\FATTURE\EV%20-%20CENTER%20CASA%20F.LLI%20DE%20CARIA%20ft%205%20del%2011-02-2025.pdf" TargetMode="External"/><Relationship Id="rId68" Type="http://schemas.openxmlformats.org/officeDocument/2006/relationships/hyperlink" Target="file:///C:\Users\Ufficio\AppData\Roaming\Acquisti\2025\EV\FATTURE\EV%20-%20UNIACQUE%20SRL%20ft%20202510892147%20del%2019-09-2025.pdf" TargetMode="External"/><Relationship Id="rId133" Type="http://schemas.openxmlformats.org/officeDocument/2006/relationships/hyperlink" Target="file:///C:\Users\Ufficio\AppData\Roaming\Acquisti\2025\EV\FATTURE\EV%20-%20TECHIND%20SRL%20ft%203183%20del%2013-06-2025.pdf" TargetMode="External"/><Relationship Id="rId175" Type="http://schemas.openxmlformats.org/officeDocument/2006/relationships/hyperlink" Target="file:///C:\Users\Ufficio\AppData\Roaming\Acquisti\2025\EV\FATTURE\EV%20-%20SER%20CAR%20ft%2022599%20del%2031-07-2025.pdf" TargetMode="External"/><Relationship Id="rId340" Type="http://schemas.openxmlformats.org/officeDocument/2006/relationships/hyperlink" Target="file:///C:\Users\Ufficio\AppData\Roaming\Acquisti\2025\EV\FATTURE\EV%20-%20LEROY%20MERLIN%20ft%20038114%20del%2011-08-2025.pdf" TargetMode="External"/><Relationship Id="rId578" Type="http://schemas.openxmlformats.org/officeDocument/2006/relationships/hyperlink" Target="file:///C:\Users\Ufficio\AppData\Roaming\Acquisti\2025\EV\FATTURE\EV%20-%20BCC%20DI%20MILANO%20ft%206901130%20del%2030-04-2025.pdf" TargetMode="External"/><Relationship Id="rId200" Type="http://schemas.openxmlformats.org/officeDocument/2006/relationships/hyperlink" Target="file:///C:\Users\Ufficio\AppData\Roaming\Acquisti\2025\EV\FATTURE\EV-%20MERELLI%20ANNAMARIA%20ft%20125000987%20del%2019-05-2025.pdf" TargetMode="External"/><Relationship Id="rId382" Type="http://schemas.openxmlformats.org/officeDocument/2006/relationships/hyperlink" Target="file:///C:\Users\Ufficio\AppData\Roaming\Acquisti\2025\EV\FATTURE\EV%20-%20KUWAIT%20PETROLEUM%20ft%20PJ09526901%20del%2015-02-2025.pdf" TargetMode="External"/><Relationship Id="rId438" Type="http://schemas.openxmlformats.org/officeDocument/2006/relationships/hyperlink" Target="file:///C:\Users\Ufficio\AppData\Roaming\Acquisti\2025\EV\FATTURE\EV%20-%20ELETTRAUTO%20BELOTTI%20FRANCO%20&amp;%20C.%20ft%2026%20del%2022-01-2025.pdf" TargetMode="External"/><Relationship Id="rId603" Type="http://schemas.openxmlformats.org/officeDocument/2006/relationships/hyperlink" Target="file:///C:\Users\Ufficio\AppData\Roaming\Acquisti\2025\EV\FATTURE\EV%20-%20ASSOLARI%20DOMENICO%20ft%20827%20del%2031-05-2025.pdf" TargetMode="External"/><Relationship Id="rId242" Type="http://schemas.openxmlformats.org/officeDocument/2006/relationships/hyperlink" Target="file:///C:\Users\Ufficio\AppData\Roaming\Acquisti\2025\EV\FATTURE\EV%20-%20PEDRETTI%20SRL%20ft%2079%20del%2027-01-2025.pdf" TargetMode="External"/><Relationship Id="rId284" Type="http://schemas.openxmlformats.org/officeDocument/2006/relationships/hyperlink" Target="file:///C:\Users\Ufficio\AppData\Ufficio\Desktop\Amministrazione\Acquisti\2024\EV\Fatture\EV%20-%20NODARI%20ft%2014%20del%2016-11-2024.pdf" TargetMode="External"/><Relationship Id="rId491" Type="http://schemas.openxmlformats.org/officeDocument/2006/relationships/hyperlink" Target="file:///C:\Users\Ufficio\AppData\Roaming\Acquisti\2025\EV\FATTURE\EV%20-%20DA%20LEONE%20DI%20COSTA%20CARLO%20nc%201652%20del%2001-07-2025.pdf" TargetMode="External"/><Relationship Id="rId505" Type="http://schemas.openxmlformats.org/officeDocument/2006/relationships/hyperlink" Target="file:///C:\Users\Ufficio\AppData\Roaming\Acquisti\2025\EV\FATTURE\EV%20-%20DA%20LEONE%20DI%20COSTA%20CARLO%20ft%20891%20del%2005-04-2025.pdf" TargetMode="External"/><Relationship Id="rId37" Type="http://schemas.openxmlformats.org/officeDocument/2006/relationships/hyperlink" Target="file:///C:\Users\Ufficio\AppData\Roaming\Acquisti\2025\EV\FATTURE\EV%20-%20VERISURE%20ft%20251146%20del%2001-06-2025.pdf" TargetMode="External"/><Relationship Id="rId79" Type="http://schemas.openxmlformats.org/officeDocument/2006/relationships/hyperlink" Target="file:///C:\Users\Ufficio\AppData\Roaming\Acquisti\2025\EV\FATTURE\EV-%20TUTTAUTO%20SNC%20DI%20FORNONI%20GIUSEPPE%20ft%2081%20del%2007-02-2025.pdf" TargetMode="External"/><Relationship Id="rId102" Type="http://schemas.openxmlformats.org/officeDocument/2006/relationships/hyperlink" Target="file:///C:\Users\Ufficio\AppData\Roaming\Acquisti\2025\EV\FATTURE\EV%20-%20TIM%20SPA%20ft%2010116%20del%2013-01-2025.pdf" TargetMode="External"/><Relationship Id="rId144" Type="http://schemas.openxmlformats.org/officeDocument/2006/relationships/hyperlink" Target="file:///C:\Users\Ufficio\AppData\Roaming\Acquisti\2025\EV\FATTURE\EV%20-%20SYSTEM%20PROJECT%20ft%201390%20del%2030-04-2025.pdf" TargetMode="External"/><Relationship Id="rId547" Type="http://schemas.openxmlformats.org/officeDocument/2006/relationships/hyperlink" Target="file:///C:\Users\Ufficio\AppData\Roaming\Acquisti\2025\EV\FATTURE\EV-%20BUTTINONI%20ft%202345%20del%2030-06-2025.pdf" TargetMode="External"/><Relationship Id="rId589" Type="http://schemas.openxmlformats.org/officeDocument/2006/relationships/hyperlink" Target="file:///C:\Users\Ufficio\AppData\Roaming\Acquisti\2025\EV\FATTURE\EV%20-%20GIANNETTA%20ANTONIO%20ft%20153%20del%2024-02-2025.pdf" TargetMode="External"/><Relationship Id="rId90" Type="http://schemas.openxmlformats.org/officeDocument/2006/relationships/hyperlink" Target="file:///C:\Users\Ufficio\AppData\Roaming\Acquisti\2025\EV\FATTURE\EV%20-%20TONY%20SRL%20ft%20957%20del%2011-07-2025.pdf" TargetMode="External"/><Relationship Id="rId186" Type="http://schemas.openxmlformats.org/officeDocument/2006/relationships/hyperlink" Target="file:///C:\Users\Ufficio\AppData\Roaming\Acquisti\2025\EV\FATTURE\EV%20-%20SALVETTI%20SRL%20ft%20185%20del%2026-05-2025.pdf" TargetMode="External"/><Relationship Id="rId351" Type="http://schemas.openxmlformats.org/officeDocument/2006/relationships/hyperlink" Target="file:///C:\Users\Ufficio\AppData\Roaming\Acquisti\2025\EV\FATTURE\EV%20-%20LANZI%20FLOROVIVAISTICA%20ft%20926%20del%2024-06-2025.pdf" TargetMode="External"/><Relationship Id="rId393" Type="http://schemas.openxmlformats.org/officeDocument/2006/relationships/hyperlink" Target="file:///C:\Users\Ufficio\AppData\Roaming\Acquisti\2025\EV\FATTURE\EV%20-%20INTESA%20SAN%20PAOLO%20ft%20204378%20del%2015-04-2025.pdf" TargetMode="External"/><Relationship Id="rId407" Type="http://schemas.openxmlformats.org/officeDocument/2006/relationships/hyperlink" Target="file:///C:\Users\Ufficio\AppData\Roaming\Acquisti\2025\EV\FATTURE\EV%20-%20AVV.%20MARIO%20GUAFFANTI%20ft%20861%20del%2017-06-2025.pdf" TargetMode="External"/><Relationship Id="rId449" Type="http://schemas.openxmlformats.org/officeDocument/2006/relationships/hyperlink" Target="file:///C:\Users\Ufficio\AppData\Roaming\Acquisti\2025\EV\FATTURE\EV%20-%20EDILCOMMERCIO%20ft%201218%20del%2015-06-2025.pdf" TargetMode="External"/><Relationship Id="rId614" Type="http://schemas.openxmlformats.org/officeDocument/2006/relationships/hyperlink" Target="file:///C:\Users\Ufficio\AppData\Ufficio\Desktop\Amministrazione\Acquisti\2024\EV\Fatture\EV%20-%20ARTES%20ft%20783%20del%2012-11-2024.pdf" TargetMode="External"/><Relationship Id="rId211" Type="http://schemas.openxmlformats.org/officeDocument/2006/relationships/hyperlink" Target="file:///C:\Users\Ufficio\AppData\Roaming\Acquisti\2025\EV\FATTURE\EV%20-%20REGISTER%20SPA%20ft%206225143313%20del%2026-03-2025.pdf" TargetMode="External"/><Relationship Id="rId253" Type="http://schemas.openxmlformats.org/officeDocument/2006/relationships/hyperlink" Target="file:///C:\Users\Ufficio\AppData\Roaming\Acquisti\2025\EV\FATTURE\EV%20-%20PARCHEGGI%20ITALIA%20SPA%20ft%20108011494%20del%2030-04-2025.pdf" TargetMode="External"/><Relationship Id="rId295" Type="http://schemas.openxmlformats.org/officeDocument/2006/relationships/hyperlink" Target="file:///\\192.168.1.231\..\AppData\Acquisti\2024\EV\Fatture\EV%20-%20MOIOLI%20ft%20247%20del%2030-04-2024.pdf" TargetMode="External"/><Relationship Id="rId309" Type="http://schemas.openxmlformats.org/officeDocument/2006/relationships/hyperlink" Target="file:///C:\Users\Ufficio\AppData\Roaming\Acquisti\2025\EV\FATTURE\EV%20-%20MEDIAMARKET%20ft%20100363%20del%2009-07-2025.pdf" TargetMode="External"/><Relationship Id="rId460" Type="http://schemas.openxmlformats.org/officeDocument/2006/relationships/hyperlink" Target="file:///C:\Users\Ufficio\AppData\Ufficio\Desktop\Amministrazione\Acquisti\2024\EV\Fatture\EV%20-%20EDILCOMMERCIO%20ft%202190%20del%2031-10-2024.pdf" TargetMode="External"/><Relationship Id="rId516" Type="http://schemas.openxmlformats.org/officeDocument/2006/relationships/hyperlink" Target="file:///C:\Users\Ufficio\AppData\Roaming\Acquisti\2025\EV\FATTURE\EV%20-%20CRI.MER%20ft%20111%20del%2028-04-2025.pdf" TargetMode="External"/><Relationship Id="rId48" Type="http://schemas.openxmlformats.org/officeDocument/2006/relationships/hyperlink" Target="file:///C:\Users\Ufficio\AppData\Roaming\Acquisti\2025\EV\FATTURE\EV%20-%20VERISURE%20ft%2025OTI026935%20del%2031-03-2025.pdf" TargetMode="External"/><Relationship Id="rId113" Type="http://schemas.openxmlformats.org/officeDocument/2006/relationships/hyperlink" Target="file:///C:\Users\Ufficio\AppData\Ufficio\Desktop\Amministrazione\Acquisti\2024\EV\Fatture\EV-%20TERMOIDRAULICA%20VM%20ft%20223%20del%2030-12-2024.pdf" TargetMode="External"/><Relationship Id="rId320" Type="http://schemas.openxmlformats.org/officeDocument/2006/relationships/hyperlink" Target="file:///C:\Users\Ufficio\AppData\Roaming\Acquisti\2025\EV\FATTURE\EV%20-%20MADASCHI%20GIUSEPPE%20ft%209%20del%2028-02-2025.pdf" TargetMode="External"/><Relationship Id="rId558" Type="http://schemas.openxmlformats.org/officeDocument/2006/relationships/hyperlink" Target="file:///C:\Users\Ufficio\AppData\Roaming\Acquisti\2025\EV\FATTURE\EV%20-%20BOSIO%20COMMERCIALE%20ft%20159%20del%2015-01-2025.pdf" TargetMode="External"/><Relationship Id="rId155" Type="http://schemas.openxmlformats.org/officeDocument/2006/relationships/hyperlink" Target="file:///C:\Users\Ufficio\AppData\Roaming\Acquisti\2025\EV\FATTURE\EV%20-%20BELLOLI%20ATTILIO%20ft%20139%20del%2024-03-2025.pdf" TargetMode="External"/><Relationship Id="rId197" Type="http://schemas.openxmlformats.org/officeDocument/2006/relationships/hyperlink" Target="file:///C:\Users\Ufficio\AppData\Roaming\Acquisti\2025\EV\FATTURE\EV-%20ROCCA%20GIUSEPPE%20ft%209%20del%2005-02-2025.pdf" TargetMode="External"/><Relationship Id="rId362" Type="http://schemas.openxmlformats.org/officeDocument/2006/relationships/hyperlink" Target="file:///C:\Users\Ufficio\AppData\Ufficio\Desktop\Amministrazione\Acquisti\2024\EV\Fatture\EV%20-%20LA%20PIAZZONI%20ft%208156%20del%2020-11-2024.pdf" TargetMode="External"/><Relationship Id="rId418" Type="http://schemas.openxmlformats.org/officeDocument/2006/relationships/hyperlink" Target="file:///C:\Users\Ufficio\AppData\Ufficio\Desktop\Amministrazione\Acquisti\2024\EV\Fatture\EV%20-%20FORNONI%20MARMI%20ft%20137%20del%2030-11-2024.pdf" TargetMode="External"/><Relationship Id="rId625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file:///C:\Users\Ufficio\Downloads\Polizza%20RC%20ditta%2047878304.pdf" TargetMode="External"/><Relationship Id="rId1" Type="http://schemas.openxmlformats.org/officeDocument/2006/relationships/hyperlink" Target="file:///\\pc-simona\Scanner\edilcassa_estrattoconto_31-12-2025.pdf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7.xml"/><Relationship Id="rId4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AppData\Roaming\AppData\Roaming\AppData\Roaming\Microsoft\Amministrazione\Banca\Mutui\EV\BPM%20-5964%20BERGAMO_VIA%20GHISLANDI\contabili\rata%206%20del%2030-09-2024.pdf" TargetMode="External"/><Relationship Id="rId13" Type="http://schemas.openxmlformats.org/officeDocument/2006/relationships/hyperlink" Target="file:///C:\Users\AppData\Roaming\AppData\Roaming\AppData\Roaming\Microsoft\Amministrazione\Banca\Mutui\EV\BPS%20-3086\contabili\rata%2016%20del%2001-08-2024.pdf" TargetMode="External"/><Relationship Id="rId3" Type="http://schemas.openxmlformats.org/officeDocument/2006/relationships/hyperlink" Target="file:///C:\Users\AppData\Roaming\AppData\Roaming\AppData\Roaming\Downloads\stampa_20241107154129.pdf" TargetMode="External"/><Relationship Id="rId7" Type="http://schemas.openxmlformats.org/officeDocument/2006/relationships/hyperlink" Target="file:///C:\Users\AppData\Roaming\AppData\Roaming\AppData\Roaming\Microsoft\Amministrazione\Banca\Mutui\EV\BPM%20-8437%20CAPANNONE\contabili\rata%2057%20del%2031-10-2024.pdf" TargetMode="External"/><Relationship Id="rId12" Type="http://schemas.openxmlformats.org/officeDocument/2006/relationships/hyperlink" Target="file:///C:\Users\AppData\Roaming\AppData\Roaming\Microsoft\Amministrazione\Banca\Mutui\EV\BPM%20-%201151%20F24%20e%2013MENSILITA'\contabilit&#224;\rata%20numero%209%20del%2026-11-2024.pdf" TargetMode="External"/><Relationship Id="rId17" Type="http://schemas.openxmlformats.org/officeDocument/2006/relationships/printerSettings" Target="../printerSettings/printerSettings10.bin"/><Relationship Id="rId2" Type="http://schemas.openxmlformats.org/officeDocument/2006/relationships/hyperlink" Target="file:///C:\Users\AppData\Roaming\AppData\Roaming\AppData\Roaming\Microsoft\Amministrazione\Banca\Mutui\EV\BCC%20-9169%20BREMBILLA\contabili\rata%20142%20del%2007-10-2024.PDF" TargetMode="External"/><Relationship Id="rId16" Type="http://schemas.openxmlformats.org/officeDocument/2006/relationships/hyperlink" Target="file:///\\pc-simona\Scanner\20241119131727604.pdf" TargetMode="External"/><Relationship Id="rId1" Type="http://schemas.openxmlformats.org/officeDocument/2006/relationships/hyperlink" Target="file:///C:\Users\AppData\Roaming\AppData\Roaming\AppData\Roaming\Microsoft\Amministrazione\Banca\Mutui\EV\BCC%20-9169%20BREMBILLA\contabili\rata%20141%20del%2006-09-2024.pdf" TargetMode="External"/><Relationship Id="rId6" Type="http://schemas.openxmlformats.org/officeDocument/2006/relationships/hyperlink" Target="file:///C:\Users\AppData\Roaming\AppData\Roaming\AppData\Roaming\Microsoft\Amministrazione\Banca\Mutui\EV\BPM%20-8437%20CAPANNONE\contabili\rata%2056%20del%2030-09-2024.pdf" TargetMode="External"/><Relationship Id="rId11" Type="http://schemas.openxmlformats.org/officeDocument/2006/relationships/hyperlink" Target="file:///C:\Users\AppData\Roaming\AppData\Roaming\AppData\Roaming\Microsoft\Amministrazione\Banca\Mutui\EV\BPM%20-%201151%20F24%20e%2013MENSILITA'\contabilit&#224;\rata%20numero%208%20del%2026-10-2024.pdf" TargetMode="External"/><Relationship Id="rId5" Type="http://schemas.openxmlformats.org/officeDocument/2006/relationships/hyperlink" Target="file:///C:\Users\AppData\Roaming\AppData\Roaming\AppData\Roaming\Microsoft\Amministrazione\Banca\Mutui\EV\BCC%20-0476%20BREMBILLA%20BIS\contabili\rata%20115%20del%2010-10-2024.PDF" TargetMode="External"/><Relationship Id="rId15" Type="http://schemas.openxmlformats.org/officeDocument/2006/relationships/hyperlink" Target="file:///C:\Users\AppData\Roaming\AppData\Roaming\AppData\Roaming\Downloads\stampa_20241015181111.pdf" TargetMode="External"/><Relationship Id="rId10" Type="http://schemas.openxmlformats.org/officeDocument/2006/relationships/hyperlink" Target="file:///C:\Users\AppData\Roaming\AppData\Roaming\AppData\Roaming\Microsoft\Amministrazione\Banca\Mutui\EV\BPM%20-%201151%20F24%20e%2013MENSILITA'\contabilit&#224;\rata%207%20del%2026-09-2024.pdf" TargetMode="External"/><Relationship Id="rId4" Type="http://schemas.openxmlformats.org/officeDocument/2006/relationships/hyperlink" Target="file:///C:\Users\AppData\Roaming\AppData\Roaming\AppData\Roaming\Microsoft\Amministrazione\Banca\Mutui\EV\BCC%20-0476%20BREMBILLA%20BIS\contabili\rata%20114%20del%2010-09-2024.pdf" TargetMode="External"/><Relationship Id="rId9" Type="http://schemas.openxmlformats.org/officeDocument/2006/relationships/hyperlink" Target="file:///C:\Users\AppData\Roaming\AppData\Roaming\AppData\Roaming\Microsoft\Amministrazione\Banca\Mutui\EV\BPM%20-%201151%20F24%20e%2013MENSILITA'\contabilit&#224;\rata%206%20del%2030-08-2024.pdf" TargetMode="External"/><Relationship Id="rId14" Type="http://schemas.openxmlformats.org/officeDocument/2006/relationships/hyperlink" Target="file:///C:\Users\AppData\Roaming\AppData\Roaming\AppData\Roaming\Microsoft\Amministrazione\Banca\Mutui\EV\BPS%20-3086\contabili\rata%2017%20del%2001-09-2024.pdf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file:///\\pc-simona\Scanner\20240913120450131.pdf" TargetMode="External"/><Relationship Id="rId18" Type="http://schemas.openxmlformats.org/officeDocument/2006/relationships/hyperlink" Target="file:///C:\Users\AppData\Roaming\AppData\Roaming\AppData\Roaming\Downloads\rc%20impianti.pdf" TargetMode="External"/><Relationship Id="rId26" Type="http://schemas.openxmlformats.org/officeDocument/2006/relationships/hyperlink" Target="file:///\\pc-simona\Scanner\20241206113310737.pdf" TargetMode="External"/><Relationship Id="rId39" Type="http://schemas.openxmlformats.org/officeDocument/2006/relationships/hyperlink" Target="file:///\\pc-simona\Scanner\20250307110138995.pdf" TargetMode="External"/><Relationship Id="rId21" Type="http://schemas.openxmlformats.org/officeDocument/2006/relationships/hyperlink" Target="file:///\\pc-simona\Scanner\20241022103204126.pdf" TargetMode="External"/><Relationship Id="rId34" Type="http://schemas.openxmlformats.org/officeDocument/2006/relationships/hyperlink" Target="file:///\\pc-simona\Scanner\20241211143251007.pdf" TargetMode="External"/><Relationship Id="rId42" Type="http://schemas.openxmlformats.org/officeDocument/2006/relationships/hyperlink" Target="file:///\\pc-simona\Scanner\20250417134304452.pdf" TargetMode="External"/><Relationship Id="rId47" Type="http://schemas.openxmlformats.org/officeDocument/2006/relationships/hyperlink" Target="file:///\\pc-simona\Scanner\20250617212426484.pdf" TargetMode="External"/><Relationship Id="rId50" Type="http://schemas.openxmlformats.org/officeDocument/2006/relationships/hyperlink" Target="file:///\\pc-simona\Scanner\20250417134304452.pdf" TargetMode="External"/><Relationship Id="rId55" Type="http://schemas.openxmlformats.org/officeDocument/2006/relationships/hyperlink" Target="file:///\\pc-simona\Scanner\20250507124826412.pdf" TargetMode="External"/><Relationship Id="rId63" Type="http://schemas.openxmlformats.org/officeDocument/2006/relationships/hyperlink" Target="file:///C:\Users\Ufficio\AppData\KRISTIAN\FORNITORI\CONTESTAZIONI\WUERTH.pdf" TargetMode="External"/><Relationship Id="rId68" Type="http://schemas.openxmlformats.org/officeDocument/2006/relationships/hyperlink" Target="file:///\\pc-simona\Scanner\20250925153046250.pdf" TargetMode="External"/><Relationship Id="rId76" Type="http://schemas.openxmlformats.org/officeDocument/2006/relationships/hyperlink" Target="file:///\\pc-simona\Scanner\EDILCASSA_RIENTRO.pdf" TargetMode="External"/><Relationship Id="rId84" Type="http://schemas.openxmlformats.org/officeDocument/2006/relationships/hyperlink" Target="file:///\\pc-simona\Scanner\20250311160355200.pdf" TargetMode="External"/><Relationship Id="rId89" Type="http://schemas.openxmlformats.org/officeDocument/2006/relationships/hyperlink" Target="file:///\\pc-simona\Scanner\20260122165121020.pdf" TargetMode="External"/><Relationship Id="rId7" Type="http://schemas.openxmlformats.org/officeDocument/2006/relationships/hyperlink" Target="file:///\\pc-simona\Scanner\20241024131612765.pdf" TargetMode="External"/><Relationship Id="rId71" Type="http://schemas.openxmlformats.org/officeDocument/2006/relationships/hyperlink" Target="file:///\\pc-simona\Scanner\EDILCASSA_RIENTRO.pdf" TargetMode="External"/><Relationship Id="rId2" Type="http://schemas.openxmlformats.org/officeDocument/2006/relationships/hyperlink" Target="file:///\\pc-simona\Scanner\20240905150523666.pdf" TargetMode="External"/><Relationship Id="rId16" Type="http://schemas.openxmlformats.org/officeDocument/2006/relationships/hyperlink" Target="file:///\\pc-simona\Scanner\20241003151040376.pdf" TargetMode="External"/><Relationship Id="rId29" Type="http://schemas.openxmlformats.org/officeDocument/2006/relationships/hyperlink" Target="file:///\\pc-simona\Scanner\20241008092656706.pdf" TargetMode="External"/><Relationship Id="rId11" Type="http://schemas.openxmlformats.org/officeDocument/2006/relationships/hyperlink" Target="file:///\\pc-simona\Scanner\20241010113731816.pdf" TargetMode="External"/><Relationship Id="rId24" Type="http://schemas.openxmlformats.org/officeDocument/2006/relationships/hyperlink" Target="file:///\\pc-simona\Scanner\20241211143305789.pdf" TargetMode="External"/><Relationship Id="rId32" Type="http://schemas.openxmlformats.org/officeDocument/2006/relationships/hyperlink" Target="file:///\\pc-simona\Scanner\20250114091146131.pdf" TargetMode="External"/><Relationship Id="rId37" Type="http://schemas.openxmlformats.org/officeDocument/2006/relationships/hyperlink" Target="file:///\\pc-simona\Scanner\20250114092241954.pdf" TargetMode="External"/><Relationship Id="rId40" Type="http://schemas.openxmlformats.org/officeDocument/2006/relationships/hyperlink" Target="file:///\\pc-simona\Scanner\20250314172055373.pdf" TargetMode="External"/><Relationship Id="rId45" Type="http://schemas.openxmlformats.org/officeDocument/2006/relationships/hyperlink" Target="file:///\\pc-simona\Scanner\20250417134304452.pdf" TargetMode="External"/><Relationship Id="rId53" Type="http://schemas.openxmlformats.org/officeDocument/2006/relationships/hyperlink" Target="file:///\\pc-simona\Scanner\20250520163754893.pdf" TargetMode="External"/><Relationship Id="rId58" Type="http://schemas.openxmlformats.org/officeDocument/2006/relationships/hyperlink" Target="file:///C:\Users\Ufficio\AppData\KRISTIAN\FORNITORI\CONTESTAZIONI\WUERTH.pdf" TargetMode="External"/><Relationship Id="rId66" Type="http://schemas.openxmlformats.org/officeDocument/2006/relationships/hyperlink" Target="file:///C:\Users\AppData\Roaming\AppData\Roaming\Downloads\Richiesta%20di%20anticipo%20213907%20(2).pdf" TargetMode="External"/><Relationship Id="rId74" Type="http://schemas.openxmlformats.org/officeDocument/2006/relationships/hyperlink" Target="file:///\\pc-simona\Scanner\20250924130627209.pdf" TargetMode="External"/><Relationship Id="rId79" Type="http://schemas.openxmlformats.org/officeDocument/2006/relationships/hyperlink" Target="file:///\\pc-simona\Scanner\20251205165415386.pdf" TargetMode="External"/><Relationship Id="rId87" Type="http://schemas.openxmlformats.org/officeDocument/2006/relationships/hyperlink" Target="file:///\\pc-simona\Scanner\20260113105102988.pdf" TargetMode="External"/><Relationship Id="rId5" Type="http://schemas.openxmlformats.org/officeDocument/2006/relationships/hyperlink" Target="file:///\\pc-simona\Scanner\20240913120450131.pdf" TargetMode="External"/><Relationship Id="rId61" Type="http://schemas.openxmlformats.org/officeDocument/2006/relationships/hyperlink" Target="file:///\\pc-simona\Scanner\20250723104227997.pdf" TargetMode="External"/><Relationship Id="rId82" Type="http://schemas.openxmlformats.org/officeDocument/2006/relationships/hyperlink" Target="file:///\\pc-simona\Scanner\EDILCASSA_RIENTRO.pdf" TargetMode="External"/><Relationship Id="rId90" Type="http://schemas.openxmlformats.org/officeDocument/2006/relationships/printerSettings" Target="../printerSettings/printerSettings11.bin"/><Relationship Id="rId19" Type="http://schemas.openxmlformats.org/officeDocument/2006/relationships/hyperlink" Target="file:///\\pc-simona\Scanner\20241107154310490.pdf" TargetMode="External"/><Relationship Id="rId4" Type="http://schemas.openxmlformats.org/officeDocument/2006/relationships/hyperlink" Target="file:///\\pc-simona\Scanner\20240913122336791.pdf" TargetMode="External"/><Relationship Id="rId9" Type="http://schemas.openxmlformats.org/officeDocument/2006/relationships/hyperlink" Target="file:///\\pc-simona\Scanner\20241010122902336.pdf" TargetMode="External"/><Relationship Id="rId14" Type="http://schemas.openxmlformats.org/officeDocument/2006/relationships/hyperlink" Target="file:///\\pc-simona\Scanner\20241126124425421.pdf" TargetMode="External"/><Relationship Id="rId22" Type="http://schemas.openxmlformats.org/officeDocument/2006/relationships/hyperlink" Target="file:///\\pc-simona\Scanner\20241118113336886.pdf" TargetMode="External"/><Relationship Id="rId27" Type="http://schemas.openxmlformats.org/officeDocument/2006/relationships/hyperlink" Target="file:///\\pc-simona\Scanner\20241018153011078.pdf" TargetMode="External"/><Relationship Id="rId30" Type="http://schemas.openxmlformats.org/officeDocument/2006/relationships/hyperlink" Target="file:///\\pc-simona\Scanner\20241003151040376.pdf" TargetMode="External"/><Relationship Id="rId35" Type="http://schemas.openxmlformats.org/officeDocument/2006/relationships/hyperlink" Target="file:///\\pc-simona\Scanner\20250307110138995.pdf" TargetMode="External"/><Relationship Id="rId43" Type="http://schemas.openxmlformats.org/officeDocument/2006/relationships/hyperlink" Target="file:///\\pc-simona\Scanner\20250321182240624.pdf" TargetMode="External"/><Relationship Id="rId48" Type="http://schemas.openxmlformats.org/officeDocument/2006/relationships/hyperlink" Target="file:///\\pc-simona\Scanner\20250520163754893.pdf" TargetMode="External"/><Relationship Id="rId56" Type="http://schemas.openxmlformats.org/officeDocument/2006/relationships/hyperlink" Target="file:///\\pc-simona\Scanner\20250508181512591.pdf" TargetMode="External"/><Relationship Id="rId64" Type="http://schemas.openxmlformats.org/officeDocument/2006/relationships/hyperlink" Target="file:///\\pc-simona\Scanner\20250520163754893.pdf" TargetMode="External"/><Relationship Id="rId69" Type="http://schemas.openxmlformats.org/officeDocument/2006/relationships/hyperlink" Target="file:///\\pc-simona\Scanner\20250731161902022.pdf" TargetMode="External"/><Relationship Id="rId77" Type="http://schemas.openxmlformats.org/officeDocument/2006/relationships/hyperlink" Target="file:///\\pc-simona\Scanner\20251113145550165.pdf" TargetMode="External"/><Relationship Id="rId8" Type="http://schemas.openxmlformats.org/officeDocument/2006/relationships/hyperlink" Target="file:///\\pc-simona\Scanner\20241022103204126.pdf" TargetMode="External"/><Relationship Id="rId51" Type="http://schemas.openxmlformats.org/officeDocument/2006/relationships/hyperlink" Target="file:///\\pc-simona\Scanner\20250617212426484.pdf" TargetMode="External"/><Relationship Id="rId72" Type="http://schemas.openxmlformats.org/officeDocument/2006/relationships/hyperlink" Target="file:///\\pc-simona\Scanner\20250925153046250.pdf" TargetMode="External"/><Relationship Id="rId80" Type="http://schemas.openxmlformats.org/officeDocument/2006/relationships/hyperlink" Target="file:///\\pc-simona\Scanner\20251028113426983.pdf" TargetMode="External"/><Relationship Id="rId85" Type="http://schemas.openxmlformats.org/officeDocument/2006/relationships/hyperlink" Target="file:///\\pc-simona\Scanner\20260108095850674.pdf" TargetMode="External"/><Relationship Id="rId3" Type="http://schemas.openxmlformats.org/officeDocument/2006/relationships/hyperlink" Target="file:///\\pc-simona\Scanner\20240913120450131.pdf" TargetMode="External"/><Relationship Id="rId12" Type="http://schemas.openxmlformats.org/officeDocument/2006/relationships/hyperlink" Target="file:///\\pc-simona\Scanner\20241010113742250.pdf" TargetMode="External"/><Relationship Id="rId17" Type="http://schemas.openxmlformats.org/officeDocument/2006/relationships/hyperlink" Target="file:///\\pc-simona\Scanner\20241118113336886.pdf" TargetMode="External"/><Relationship Id="rId25" Type="http://schemas.openxmlformats.org/officeDocument/2006/relationships/hyperlink" Target="file:///\\pc-simona\Scanner\20241003151040376.pdf" TargetMode="External"/><Relationship Id="rId33" Type="http://schemas.openxmlformats.org/officeDocument/2006/relationships/hyperlink" Target="file:///\\pc-simona\Scanner\20250110110756354.pdf" TargetMode="External"/><Relationship Id="rId38" Type="http://schemas.openxmlformats.org/officeDocument/2006/relationships/hyperlink" Target="file:///\\pc-simona\Scanner\20250108171156662.pdf" TargetMode="External"/><Relationship Id="rId46" Type="http://schemas.openxmlformats.org/officeDocument/2006/relationships/hyperlink" Target="file:///\\pc-simona\Scanner\20250507104247005.pdf" TargetMode="External"/><Relationship Id="rId59" Type="http://schemas.openxmlformats.org/officeDocument/2006/relationships/hyperlink" Target="file:///\\pc-simona\Scanner\20250612130320242.pdf" TargetMode="External"/><Relationship Id="rId67" Type="http://schemas.openxmlformats.org/officeDocument/2006/relationships/hyperlink" Target="file:///\\pc-simona\Scanner\20250311155932969.pdf" TargetMode="External"/><Relationship Id="rId20" Type="http://schemas.openxmlformats.org/officeDocument/2006/relationships/hyperlink" Target="file:///\\pc-simona\Scanner\20241018153011078.pdf" TargetMode="External"/><Relationship Id="rId41" Type="http://schemas.openxmlformats.org/officeDocument/2006/relationships/hyperlink" Target="file:///\\pc-simona\Scanner\20250307110138995.pdf" TargetMode="External"/><Relationship Id="rId54" Type="http://schemas.openxmlformats.org/officeDocument/2006/relationships/hyperlink" Target="file:///\\pc-simona\Scanner\20250507104602039.pdf" TargetMode="External"/><Relationship Id="rId62" Type="http://schemas.openxmlformats.org/officeDocument/2006/relationships/hyperlink" Target="file:///\\pc-simona\Scanner\20250617212426484.pdf" TargetMode="External"/><Relationship Id="rId70" Type="http://schemas.openxmlformats.org/officeDocument/2006/relationships/hyperlink" Target="file:///\\pc-simona\Scanner\20250731161902022.pdf" TargetMode="External"/><Relationship Id="rId75" Type="http://schemas.openxmlformats.org/officeDocument/2006/relationships/hyperlink" Target="file:///\\pc-simona\Scanner\20250925153046250.pdf" TargetMode="External"/><Relationship Id="rId83" Type="http://schemas.openxmlformats.org/officeDocument/2006/relationships/hyperlink" Target="file:///\\pc-simona\Scanner\EDILCASSA_RIENTRO.pdf" TargetMode="External"/><Relationship Id="rId88" Type="http://schemas.openxmlformats.org/officeDocument/2006/relationships/hyperlink" Target="file:///\\pc-simona\Scanner\20260113105102988.pdf" TargetMode="External"/><Relationship Id="rId1" Type="http://schemas.openxmlformats.org/officeDocument/2006/relationships/hyperlink" Target="file:///\\pc-simona\Scanner\20241008092656706.pdf" TargetMode="External"/><Relationship Id="rId6" Type="http://schemas.openxmlformats.org/officeDocument/2006/relationships/hyperlink" Target="file:///\\pc-simona\Scanner\20241008111719671.pdf" TargetMode="External"/><Relationship Id="rId15" Type="http://schemas.openxmlformats.org/officeDocument/2006/relationships/hyperlink" Target="file:///\\pc-simona\Scanner\20241120131656659.pdf" TargetMode="External"/><Relationship Id="rId23" Type="http://schemas.openxmlformats.org/officeDocument/2006/relationships/hyperlink" Target="file:///C:\Users\AppData\Roaming\AppData\Roaming\AppData\Roaming\Downloads\rc%20impianti.pdf" TargetMode="External"/><Relationship Id="rId28" Type="http://schemas.openxmlformats.org/officeDocument/2006/relationships/hyperlink" Target="file:///\\pc-simona\Scanner\20241203112550383.pdf" TargetMode="External"/><Relationship Id="rId36" Type="http://schemas.openxmlformats.org/officeDocument/2006/relationships/hyperlink" Target="file:///\\pc-simona\Scanner\20250307105752139.pdf" TargetMode="External"/><Relationship Id="rId49" Type="http://schemas.openxmlformats.org/officeDocument/2006/relationships/hyperlink" Target="file:///\\pc-simona\Scanner\20250325130127835.pdf" TargetMode="External"/><Relationship Id="rId57" Type="http://schemas.openxmlformats.org/officeDocument/2006/relationships/hyperlink" Target="file:///\\pc-simona\Scanner\20250617212426484.pdf" TargetMode="External"/><Relationship Id="rId10" Type="http://schemas.openxmlformats.org/officeDocument/2006/relationships/hyperlink" Target="file:///\\pc-simona\Scanner\20240913122055537.pdf" TargetMode="External"/><Relationship Id="rId31" Type="http://schemas.openxmlformats.org/officeDocument/2006/relationships/hyperlink" Target="file:///\\pc-simona\Scanner\20241118112332435.pdf" TargetMode="External"/><Relationship Id="rId44" Type="http://schemas.openxmlformats.org/officeDocument/2006/relationships/hyperlink" Target="file:///\\pc-simona\Scanner\20250307110138995.pdf" TargetMode="External"/><Relationship Id="rId52" Type="http://schemas.openxmlformats.org/officeDocument/2006/relationships/hyperlink" Target="file:///\\pc-simona\Scanner\20250625152203597.pdf" TargetMode="External"/><Relationship Id="rId60" Type="http://schemas.openxmlformats.org/officeDocument/2006/relationships/hyperlink" Target="file:///\\pc-simona\Scanner\20250612130304684.pdf" TargetMode="External"/><Relationship Id="rId65" Type="http://schemas.openxmlformats.org/officeDocument/2006/relationships/hyperlink" Target="file:///\\pc-simona\Scanner\20250520163754893.pdf" TargetMode="External"/><Relationship Id="rId73" Type="http://schemas.openxmlformats.org/officeDocument/2006/relationships/hyperlink" Target="file:///\\pc-simona\Scanner\20250924130627209.pdf" TargetMode="External"/><Relationship Id="rId78" Type="http://schemas.openxmlformats.org/officeDocument/2006/relationships/hyperlink" Target="file:///\\pc-simona\Scanner\EDILCASSA_RIENTRO.pdf" TargetMode="External"/><Relationship Id="rId81" Type="http://schemas.openxmlformats.org/officeDocument/2006/relationships/hyperlink" Target="file:///\\pc-simona\Scanner\EDILCASSA_RIENTRO.pdf" TargetMode="External"/><Relationship Id="rId86" Type="http://schemas.openxmlformats.org/officeDocument/2006/relationships/hyperlink" Target="file:///\\pc-simona\Scanner\20251028113426983.pdf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Ufficio\AppData\KRISTIAN\FORNITORI\CONTESTAZIONI\LA%20PIAZZONI.pdf" TargetMode="External"/><Relationship Id="rId13" Type="http://schemas.openxmlformats.org/officeDocument/2006/relationships/hyperlink" Target="file:///C:\Users\Ufficio\AppData\KRISTIAN\FORNITORI\CONTESTAZIONI\PROJECT%20SRL.pdf" TargetMode="External"/><Relationship Id="rId18" Type="http://schemas.openxmlformats.org/officeDocument/2006/relationships/hyperlink" Target="file:///C:\Users\Ufficio\AppData\KRISTIAN\FORNITORI\CONTESTAZIONI\SALVETTI.pdf" TargetMode="External"/><Relationship Id="rId3" Type="http://schemas.openxmlformats.org/officeDocument/2006/relationships/hyperlink" Target="file:///C:\Users\Ufficio\AppData\KRISTIAN\FORNITORI\CONTESTAZIONI\DELPRINO.txt" TargetMode="External"/><Relationship Id="rId21" Type="http://schemas.openxmlformats.org/officeDocument/2006/relationships/hyperlink" Target="file:///\\pc-simona\Scanner\20250702154058756.pdf" TargetMode="External"/><Relationship Id="rId7" Type="http://schemas.openxmlformats.org/officeDocument/2006/relationships/hyperlink" Target="file:///C:\Users\Ufficio\AppData\KRISTIAN\FORNITORI\CONTESTAZIONI\GYPSUM.pdf" TargetMode="External"/><Relationship Id="rId12" Type="http://schemas.openxmlformats.org/officeDocument/2006/relationships/hyperlink" Target="file:///C:\Users\Ufficio\AppData\KRISTIAN\FORNITORI\CONTESTAZIONI\POKER%20GRASSI.pdf" TargetMode="External"/><Relationship Id="rId17" Type="http://schemas.openxmlformats.org/officeDocument/2006/relationships/hyperlink" Target="file:///C:\Users\Ufficio\AppData\KRISTIAN\FORNITORI\CONTESTAZIONI\RUGGIPAV.pdf" TargetMode="External"/><Relationship Id="rId2" Type="http://schemas.openxmlformats.org/officeDocument/2006/relationships/hyperlink" Target="file:///C:\Users\Ufficio\AppData\KRISTIAN\FORNITORI\CONTESTAZIONI\ARTES.pdf" TargetMode="External"/><Relationship Id="rId16" Type="http://schemas.openxmlformats.org/officeDocument/2006/relationships/hyperlink" Target="file:///C:\Users\Ufficio\AppData\KRISTIAN\FORNITORI\CONTESTAZIONI\ROCCA.png" TargetMode="External"/><Relationship Id="rId20" Type="http://schemas.openxmlformats.org/officeDocument/2006/relationships/hyperlink" Target="file:///C:\Users\Ufficio\AppData\KRISTIAN\FORNITORI\CONTESTAZIONI\SPELGATTI.pdf" TargetMode="External"/><Relationship Id="rId1" Type="http://schemas.openxmlformats.org/officeDocument/2006/relationships/hyperlink" Target="file:///C:\Users\Ufficio\AppData\KRISTIAN\FORNITORI\CONTESTAZIONI\ANSELMO.pdf" TargetMode="External"/><Relationship Id="rId6" Type="http://schemas.openxmlformats.org/officeDocument/2006/relationships/hyperlink" Target="file:///C:\Users\Ufficio\AppData\KRISTIAN\FORNITORI\CONTESTAZIONI\FRATELLI_TESTA.pdf" TargetMode="External"/><Relationship Id="rId11" Type="http://schemas.openxmlformats.org/officeDocument/2006/relationships/hyperlink" Target="file:///\\pc-simona\Scanner\20250702155421530.pdf" TargetMode="External"/><Relationship Id="rId24" Type="http://schemas.openxmlformats.org/officeDocument/2006/relationships/printerSettings" Target="../printerSettings/printerSettings14.bin"/><Relationship Id="rId5" Type="http://schemas.openxmlformats.org/officeDocument/2006/relationships/hyperlink" Target="file:///C:\Users\Ufficio\AppData\KRISTIAN\FORNITORI\CONTESTAZIONI\ESSEBI.pdf" TargetMode="External"/><Relationship Id="rId15" Type="http://schemas.openxmlformats.org/officeDocument/2006/relationships/hyperlink" Target="file:///C:\Users\Ufficio\AppData\KRISTIAN\FORNITORI\CONTESTAZIONI\ALMICI_CLAUDIO%20RAMPINELLI.pdf" TargetMode="External"/><Relationship Id="rId23" Type="http://schemas.openxmlformats.org/officeDocument/2006/relationships/hyperlink" Target="file:///C:\Users\Ufficio\AppData\KRISTIAN\FORNITORI\CONTESTAZIONI\FORNONIMARMI.pdf" TargetMode="External"/><Relationship Id="rId10" Type="http://schemas.openxmlformats.org/officeDocument/2006/relationships/hyperlink" Target="file:///C:\Users\Ufficio\AppData\KRISTIAN\FORNITORI\CONTESTAZIONI\PEDRETTI.pdf" TargetMode="External"/><Relationship Id="rId19" Type="http://schemas.openxmlformats.org/officeDocument/2006/relationships/hyperlink" Target="file:///C:\Users\Ufficio\AppData\KRISTIAN\FORNITORI\CONTESTAZIONI\SEBACH.pdf" TargetMode="External"/><Relationship Id="rId4" Type="http://schemas.openxmlformats.org/officeDocument/2006/relationships/hyperlink" Target="file:///C:\Users\Ufficio\AppData\KRISTIAN\FORNITORI\CONTESTAZIONI\ECOTAURUS.pdf" TargetMode="External"/><Relationship Id="rId9" Type="http://schemas.openxmlformats.org/officeDocument/2006/relationships/hyperlink" Target="file:///C:\Users\Ufficio\AppData\KRISTIAN\FORNITORI\CONTESTAZIONI\LIBRERIA%20AMMINISTRATIVA.pdf" TargetMode="External"/><Relationship Id="rId14" Type="http://schemas.openxmlformats.org/officeDocument/2006/relationships/hyperlink" Target="file:///C:\Users\Ufficio\AppData\KRISTIAN\FORNITORI\CONTESTAZIONI\RBP.pdf" TargetMode="External"/><Relationship Id="rId22" Type="http://schemas.openxmlformats.org/officeDocument/2006/relationships/hyperlink" Target="file:///C:\Users\Ufficio\AppData\KRISTIAN\FORNITORI\CONTESTAZIONI\WUERTH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2568-DBF6-4AA2-B7AB-E39126F61846}">
  <dimension ref="A2:D33"/>
  <sheetViews>
    <sheetView topLeftCell="A16" workbookViewId="0">
      <selection activeCell="A37" sqref="A37"/>
    </sheetView>
  </sheetViews>
  <sheetFormatPr defaultRowHeight="15"/>
  <cols>
    <col min="1" max="1" width="138.28515625" bestFit="1" customWidth="1"/>
    <col min="2" max="2" width="9.42578125" bestFit="1" customWidth="1"/>
    <col min="3" max="3" width="17.28515625" customWidth="1"/>
    <col min="4" max="4" width="35.42578125" customWidth="1"/>
  </cols>
  <sheetData>
    <row r="2" spans="1:1" ht="15.75">
      <c r="A2" s="306" t="s">
        <v>4192</v>
      </c>
    </row>
    <row r="4" spans="1:1">
      <c r="A4" s="307" t="s">
        <v>4193</v>
      </c>
    </row>
    <row r="5" spans="1:1">
      <c r="A5" s="308"/>
    </row>
    <row r="6" spans="1:1">
      <c r="A6" s="309" t="s">
        <v>4194</v>
      </c>
    </row>
    <row r="7" spans="1:1">
      <c r="A7" s="308"/>
    </row>
    <row r="8" spans="1:1">
      <c r="A8" s="308"/>
    </row>
    <row r="9" spans="1:1">
      <c r="A9" s="310"/>
    </row>
    <row r="10" spans="1:1">
      <c r="A10" s="310" t="s">
        <v>4195</v>
      </c>
    </row>
    <row r="11" spans="1:1">
      <c r="A11" s="310"/>
    </row>
    <row r="12" spans="1:1">
      <c r="A12" s="310" t="s">
        <v>4196</v>
      </c>
    </row>
    <row r="13" spans="1:1">
      <c r="A13" s="308"/>
    </row>
    <row r="14" spans="1:1">
      <c r="A14" s="309" t="s">
        <v>4197</v>
      </c>
    </row>
    <row r="15" spans="1:1">
      <c r="A15" s="308"/>
    </row>
    <row r="16" spans="1:1">
      <c r="A16" s="309" t="s">
        <v>4198</v>
      </c>
    </row>
    <row r="17" spans="1:4" ht="15.75" customHeight="1"/>
    <row r="19" spans="1:4" ht="15.75" thickBot="1"/>
    <row r="20" spans="1:4" ht="30.75" thickBot="1">
      <c r="A20" s="306" t="s">
        <v>4199</v>
      </c>
      <c r="B20" s="311" t="s">
        <v>4201</v>
      </c>
      <c r="C20" s="311" t="s">
        <v>4202</v>
      </c>
      <c r="D20" s="311" t="s">
        <v>4203</v>
      </c>
    </row>
    <row r="21" spans="1:4" ht="45" thickBot="1">
      <c r="A21" s="337" t="s">
        <v>4200</v>
      </c>
      <c r="B21" s="311" t="s">
        <v>4204</v>
      </c>
      <c r="C21" s="311" t="s">
        <v>4205</v>
      </c>
      <c r="D21" s="312" t="s">
        <v>4211</v>
      </c>
    </row>
    <row r="22" spans="1:4" ht="30.75" thickBot="1">
      <c r="A22" s="337"/>
      <c r="B22" s="311" t="s">
        <v>49</v>
      </c>
      <c r="C22" s="311" t="s">
        <v>4206</v>
      </c>
      <c r="D22" s="312" t="s">
        <v>4207</v>
      </c>
    </row>
    <row r="23" spans="1:4" ht="45" thickBot="1">
      <c r="A23" s="337"/>
      <c r="B23" s="311" t="s">
        <v>2088</v>
      </c>
      <c r="C23" s="311" t="s">
        <v>4208</v>
      </c>
      <c r="D23" s="312" t="s">
        <v>4212</v>
      </c>
    </row>
    <row r="24" spans="1:4" ht="30.75" thickBot="1">
      <c r="B24" s="313" t="s">
        <v>2408</v>
      </c>
      <c r="C24" s="311" t="s">
        <v>4209</v>
      </c>
      <c r="D24" s="312" t="s">
        <v>4210</v>
      </c>
    </row>
    <row r="27" spans="1:4" ht="15.75">
      <c r="A27" s="306" t="s">
        <v>4213</v>
      </c>
    </row>
    <row r="28" spans="1:4">
      <c r="A28" s="308"/>
    </row>
    <row r="29" spans="1:4">
      <c r="A29" s="309" t="s">
        <v>4214</v>
      </c>
    </row>
    <row r="30" spans="1:4">
      <c r="A30" s="308"/>
    </row>
    <row r="31" spans="1:4">
      <c r="A31" s="309" t="s">
        <v>4215</v>
      </c>
    </row>
    <row r="32" spans="1:4">
      <c r="A32" s="308"/>
    </row>
    <row r="33" spans="1:1">
      <c r="A33" s="308" t="s">
        <v>4216</v>
      </c>
    </row>
  </sheetData>
  <mergeCells count="1">
    <mergeCell ref="A21:A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L1240"/>
  <sheetViews>
    <sheetView workbookViewId="0">
      <pane ySplit="1" topLeftCell="A2" activePane="bottomLeft" state="frozen"/>
      <selection pane="bottomLeft" activeCell="B585" sqref="B585"/>
    </sheetView>
  </sheetViews>
  <sheetFormatPr defaultRowHeight="15"/>
  <cols>
    <col min="1" max="1" width="36.42578125" bestFit="1" customWidth="1"/>
    <col min="2" max="2" width="44.5703125" style="7" bestFit="1" customWidth="1"/>
    <col min="3" max="3" width="38.42578125" style="103" bestFit="1" customWidth="1"/>
    <col min="4" max="4" width="10.7109375" style="57" bestFit="1" customWidth="1"/>
    <col min="5" max="5" width="11.7109375" style="57" bestFit="1" customWidth="1"/>
    <col min="6" max="6" width="6.5703125" bestFit="1" customWidth="1"/>
    <col min="7" max="7" width="12" style="11" bestFit="1" customWidth="1"/>
    <col min="8" max="8" width="81.140625" hidden="1" customWidth="1"/>
    <col min="9" max="9" width="21.5703125" bestFit="1" customWidth="1"/>
    <col min="10" max="10" width="48.85546875" bestFit="1" customWidth="1"/>
    <col min="11" max="11" width="57.85546875" style="57" bestFit="1" customWidth="1"/>
    <col min="12" max="12" width="81.140625" style="11" bestFit="1" customWidth="1"/>
    <col min="13" max="13" width="81.140625" bestFit="1" customWidth="1"/>
  </cols>
  <sheetData>
    <row r="1" spans="1:12">
      <c r="A1" t="s">
        <v>0</v>
      </c>
      <c r="B1" s="7" t="s">
        <v>1</v>
      </c>
      <c r="C1" s="7" t="s">
        <v>2</v>
      </c>
      <c r="D1" s="57" t="s">
        <v>3</v>
      </c>
      <c r="E1" s="57" t="s">
        <v>4</v>
      </c>
      <c r="F1" t="s">
        <v>5</v>
      </c>
      <c r="G1" s="11" t="s">
        <v>6</v>
      </c>
      <c r="H1" t="s">
        <v>8</v>
      </c>
      <c r="I1" t="s">
        <v>9</v>
      </c>
      <c r="J1" s="57" t="s">
        <v>10</v>
      </c>
      <c r="K1" s="11" t="s">
        <v>11</v>
      </c>
      <c r="L1" t="s">
        <v>12</v>
      </c>
    </row>
    <row r="2" spans="1:12" hidden="1">
      <c r="A2" s="353" t="s">
        <v>13</v>
      </c>
      <c r="B2" s="7" t="s">
        <v>14</v>
      </c>
      <c r="C2" s="103" t="s">
        <v>15</v>
      </c>
      <c r="D2" s="57">
        <v>45967</v>
      </c>
      <c r="E2" s="57">
        <v>45967</v>
      </c>
      <c r="F2" s="353" t="s">
        <v>16</v>
      </c>
      <c r="G2" s="11">
        <v>698.1</v>
      </c>
      <c r="H2" s="353" t="s">
        <v>17</v>
      </c>
      <c r="I2" s="353" t="s">
        <v>18</v>
      </c>
      <c r="J2" s="57">
        <v>45982</v>
      </c>
      <c r="K2" s="11">
        <v>698.1</v>
      </c>
      <c r="L2" s="353" t="s">
        <v>19</v>
      </c>
    </row>
    <row r="3" spans="1:12" hidden="1">
      <c r="A3" s="353" t="s">
        <v>13</v>
      </c>
      <c r="B3" s="7" t="s">
        <v>20</v>
      </c>
      <c r="C3" s="103" t="s">
        <v>21</v>
      </c>
      <c r="D3" s="57">
        <v>45939</v>
      </c>
      <c r="F3" s="353" t="s">
        <v>16</v>
      </c>
      <c r="G3" s="11">
        <v>85</v>
      </c>
      <c r="H3" s="353" t="s">
        <v>23</v>
      </c>
      <c r="I3" s="353" t="s">
        <v>24</v>
      </c>
      <c r="J3" s="57"/>
      <c r="K3" s="11"/>
      <c r="L3" s="353"/>
    </row>
    <row r="4" spans="1:12" hidden="1">
      <c r="A4" s="353" t="s">
        <v>13</v>
      </c>
      <c r="B4" s="7" t="s">
        <v>25</v>
      </c>
      <c r="C4" s="103" t="s">
        <v>26</v>
      </c>
      <c r="D4" s="57">
        <v>45675</v>
      </c>
      <c r="E4" s="57">
        <v>45675</v>
      </c>
      <c r="F4" s="353" t="s">
        <v>16</v>
      </c>
      <c r="G4" s="11">
        <v>240</v>
      </c>
      <c r="H4" s="353" t="s">
        <v>28</v>
      </c>
      <c r="I4" s="353" t="s">
        <v>24</v>
      </c>
      <c r="J4" s="57"/>
      <c r="K4" s="11"/>
      <c r="L4" s="353"/>
    </row>
    <row r="5" spans="1:12" hidden="1">
      <c r="A5" s="353" t="s">
        <v>13</v>
      </c>
      <c r="B5" s="7" t="s">
        <v>25</v>
      </c>
      <c r="C5" s="103" t="s">
        <v>29</v>
      </c>
      <c r="D5" s="57">
        <v>45901</v>
      </c>
      <c r="F5" s="353" t="s">
        <v>16</v>
      </c>
      <c r="G5" s="11">
        <v>240</v>
      </c>
      <c r="H5" s="353" t="s">
        <v>28</v>
      </c>
      <c r="I5" s="353" t="s">
        <v>24</v>
      </c>
      <c r="J5" s="57"/>
      <c r="K5" s="11"/>
      <c r="L5" s="353"/>
    </row>
    <row r="6" spans="1:12" hidden="1">
      <c r="A6" s="353" t="s">
        <v>13</v>
      </c>
      <c r="B6" s="7" t="s">
        <v>32</v>
      </c>
      <c r="C6" s="103" t="s">
        <v>33</v>
      </c>
      <c r="D6" s="57">
        <v>46003</v>
      </c>
      <c r="E6" s="57">
        <v>46003</v>
      </c>
      <c r="F6" s="353" t="s">
        <v>16</v>
      </c>
      <c r="G6" s="11">
        <v>40</v>
      </c>
      <c r="H6" s="353" t="s">
        <v>34</v>
      </c>
      <c r="I6" s="353" t="s">
        <v>35</v>
      </c>
      <c r="J6" s="57"/>
      <c r="K6" s="11"/>
      <c r="L6" s="353"/>
    </row>
    <row r="7" spans="1:12" hidden="1">
      <c r="A7" s="353" t="s">
        <v>13</v>
      </c>
      <c r="B7" s="7" t="s">
        <v>36</v>
      </c>
      <c r="C7" s="103" t="s">
        <v>37</v>
      </c>
      <c r="D7" s="57">
        <v>45699</v>
      </c>
      <c r="E7" s="57">
        <v>45699</v>
      </c>
      <c r="F7" s="353" t="s">
        <v>16</v>
      </c>
      <c r="G7" s="11">
        <v>80</v>
      </c>
      <c r="H7" s="353" t="s">
        <v>28</v>
      </c>
      <c r="I7" s="353" t="s">
        <v>24</v>
      </c>
      <c r="J7" s="57"/>
      <c r="K7" s="11"/>
      <c r="L7" s="353"/>
    </row>
    <row r="8" spans="1:12" hidden="1">
      <c r="A8" s="353"/>
      <c r="B8" s="7" t="s">
        <v>4261</v>
      </c>
      <c r="C8" s="103" t="s">
        <v>4184</v>
      </c>
      <c r="D8" s="57">
        <v>46055</v>
      </c>
      <c r="E8" s="57">
        <v>46055</v>
      </c>
      <c r="F8" s="353" t="s">
        <v>16</v>
      </c>
      <c r="G8" s="11">
        <v>104.8</v>
      </c>
      <c r="H8" s="353" t="s">
        <v>4262</v>
      </c>
      <c r="I8" s="353" t="s">
        <v>47</v>
      </c>
      <c r="J8" s="57"/>
      <c r="K8" s="11"/>
      <c r="L8" s="353"/>
    </row>
    <row r="9" spans="1:12" hidden="1">
      <c r="A9" s="353" t="s">
        <v>13</v>
      </c>
      <c r="B9" s="7" t="s">
        <v>39</v>
      </c>
      <c r="C9" s="103" t="s">
        <v>40</v>
      </c>
      <c r="D9" s="57">
        <v>45800</v>
      </c>
      <c r="F9" s="353" t="s">
        <v>16</v>
      </c>
      <c r="G9" s="11">
        <v>108</v>
      </c>
      <c r="H9" s="353" t="s">
        <v>42</v>
      </c>
      <c r="I9" s="353" t="s">
        <v>43</v>
      </c>
      <c r="J9" s="57"/>
      <c r="K9" s="11"/>
      <c r="L9" s="353"/>
    </row>
    <row r="10" spans="1:12" hidden="1">
      <c r="A10" s="353" t="s">
        <v>13</v>
      </c>
      <c r="B10" s="7" t="s">
        <v>44</v>
      </c>
      <c r="C10" s="103" t="s">
        <v>45</v>
      </c>
      <c r="D10" s="57">
        <v>45987</v>
      </c>
      <c r="E10" s="57">
        <v>45987</v>
      </c>
      <c r="F10" s="353" t="s">
        <v>16</v>
      </c>
      <c r="G10" s="11">
        <v>189.99</v>
      </c>
      <c r="H10" s="353" t="s">
        <v>46</v>
      </c>
      <c r="I10" s="353" t="s">
        <v>47</v>
      </c>
      <c r="J10" s="57">
        <v>45987</v>
      </c>
      <c r="K10" s="11">
        <v>189.99</v>
      </c>
      <c r="L10" s="353"/>
    </row>
    <row r="11" spans="1:12" hidden="1">
      <c r="A11" s="353" t="s">
        <v>13</v>
      </c>
      <c r="B11" s="7" t="s">
        <v>44</v>
      </c>
      <c r="C11" s="103" t="s">
        <v>48</v>
      </c>
      <c r="D11" s="57">
        <v>46007</v>
      </c>
      <c r="E11" s="57">
        <v>46007</v>
      </c>
      <c r="F11" s="353" t="s">
        <v>16</v>
      </c>
      <c r="G11" s="11">
        <v>22.89</v>
      </c>
      <c r="H11" s="353" t="s">
        <v>50</v>
      </c>
      <c r="I11" s="353" t="s">
        <v>47</v>
      </c>
      <c r="J11" s="57">
        <v>46007</v>
      </c>
      <c r="K11" s="11">
        <v>22.89</v>
      </c>
      <c r="L11" s="353"/>
    </row>
    <row r="12" spans="1:12" hidden="1">
      <c r="A12" s="353" t="s">
        <v>13</v>
      </c>
      <c r="B12" s="7" t="s">
        <v>44</v>
      </c>
      <c r="C12" s="103" t="s">
        <v>51</v>
      </c>
      <c r="D12" s="57">
        <v>46007</v>
      </c>
      <c r="E12" s="57">
        <v>46007</v>
      </c>
      <c r="F12" s="353" t="s">
        <v>16</v>
      </c>
      <c r="G12" s="11">
        <v>679.1</v>
      </c>
      <c r="H12" s="353" t="s">
        <v>50</v>
      </c>
      <c r="I12" s="353" t="s">
        <v>47</v>
      </c>
      <c r="J12" s="57">
        <v>46007</v>
      </c>
      <c r="K12" s="11">
        <v>679.1</v>
      </c>
      <c r="L12" s="353"/>
    </row>
    <row r="13" spans="1:12" hidden="1">
      <c r="A13" s="353" t="s">
        <v>13</v>
      </c>
      <c r="B13" s="7" t="s">
        <v>44</v>
      </c>
      <c r="C13" s="103" t="s">
        <v>3305</v>
      </c>
      <c r="D13" s="57">
        <v>46030</v>
      </c>
      <c r="E13" s="57">
        <v>46030</v>
      </c>
      <c r="F13" s="353" t="s">
        <v>16</v>
      </c>
      <c r="G13" s="11">
        <v>141.44999999999999</v>
      </c>
      <c r="H13" s="353" t="s">
        <v>50</v>
      </c>
      <c r="I13" s="353" t="s">
        <v>47</v>
      </c>
      <c r="J13" s="57">
        <v>46030</v>
      </c>
      <c r="K13" s="11">
        <v>141.44999999999999</v>
      </c>
      <c r="L13" s="353"/>
    </row>
    <row r="14" spans="1:12" hidden="1">
      <c r="A14" s="353" t="s">
        <v>13</v>
      </c>
      <c r="B14" s="7" t="s">
        <v>44</v>
      </c>
      <c r="C14" s="103" t="s">
        <v>4119</v>
      </c>
      <c r="D14" s="57">
        <v>46038</v>
      </c>
      <c r="E14" s="57">
        <v>46038</v>
      </c>
      <c r="F14" s="353" t="s">
        <v>16</v>
      </c>
      <c r="G14" s="11">
        <v>58</v>
      </c>
      <c r="H14" s="353" t="s">
        <v>46</v>
      </c>
      <c r="I14" s="353" t="s">
        <v>47</v>
      </c>
      <c r="J14" s="57">
        <v>46038</v>
      </c>
      <c r="K14" s="11">
        <v>58</v>
      </c>
      <c r="L14" s="353"/>
    </row>
    <row r="15" spans="1:12" hidden="1">
      <c r="A15" s="353"/>
      <c r="B15" s="7" t="s">
        <v>52</v>
      </c>
      <c r="C15" s="103" t="s">
        <v>53</v>
      </c>
      <c r="D15" s="57">
        <v>45647</v>
      </c>
      <c r="E15" s="57">
        <v>45707</v>
      </c>
      <c r="F15" s="353"/>
      <c r="G15" s="11">
        <v>1390.8</v>
      </c>
      <c r="H15" s="353" t="s">
        <v>55</v>
      </c>
      <c r="I15" s="353" t="s">
        <v>56</v>
      </c>
      <c r="J15" s="57"/>
      <c r="K15" s="11"/>
      <c r="L15" s="353"/>
    </row>
    <row r="16" spans="1:12" hidden="1">
      <c r="A16" s="353"/>
      <c r="B16" s="7" t="s">
        <v>57</v>
      </c>
      <c r="C16" s="103" t="s">
        <v>58</v>
      </c>
      <c r="D16" s="57">
        <v>45686</v>
      </c>
      <c r="E16" s="57">
        <v>45686</v>
      </c>
      <c r="F16" s="353" t="s">
        <v>16</v>
      </c>
      <c r="G16" s="11">
        <v>447.6</v>
      </c>
      <c r="H16" s="353" t="s">
        <v>60</v>
      </c>
      <c r="I16" s="353"/>
      <c r="J16" s="57"/>
      <c r="K16" s="11"/>
      <c r="L16" s="353"/>
    </row>
    <row r="17" spans="1:12" hidden="1">
      <c r="A17" s="353" t="s">
        <v>61</v>
      </c>
      <c r="B17" s="7" t="s">
        <v>62</v>
      </c>
      <c r="C17" s="103" t="s">
        <v>63</v>
      </c>
      <c r="D17" s="57">
        <v>45869</v>
      </c>
      <c r="E17" s="57">
        <v>45869</v>
      </c>
      <c r="F17" s="353" t="s">
        <v>16</v>
      </c>
      <c r="G17" s="11">
        <v>1633.83</v>
      </c>
      <c r="H17" s="353" t="s">
        <v>65</v>
      </c>
      <c r="I17" s="353" t="s">
        <v>66</v>
      </c>
      <c r="J17" s="57"/>
      <c r="K17" s="11"/>
      <c r="L17" s="353"/>
    </row>
    <row r="18" spans="1:12" hidden="1">
      <c r="A18" s="353" t="s">
        <v>67</v>
      </c>
      <c r="B18" s="7" t="s">
        <v>62</v>
      </c>
      <c r="C18" s="103" t="s">
        <v>3183</v>
      </c>
      <c r="E18" s="57">
        <v>45809</v>
      </c>
      <c r="F18" s="353" t="s">
        <v>16</v>
      </c>
      <c r="G18" s="11">
        <v>2192.42</v>
      </c>
      <c r="H18" s="353" t="s">
        <v>69</v>
      </c>
      <c r="I18" s="353" t="s">
        <v>66</v>
      </c>
      <c r="J18" s="57">
        <v>45809</v>
      </c>
      <c r="K18" s="11">
        <v>2192.42</v>
      </c>
      <c r="L18" s="353"/>
    </row>
    <row r="19" spans="1:12" hidden="1">
      <c r="A19" s="353" t="s">
        <v>13</v>
      </c>
      <c r="B19" s="7" t="s">
        <v>62</v>
      </c>
      <c r="C19" s="103" t="s">
        <v>3183</v>
      </c>
      <c r="E19" s="57">
        <v>45839</v>
      </c>
      <c r="F19" s="353" t="s">
        <v>16</v>
      </c>
      <c r="G19" s="11">
        <v>2192.42</v>
      </c>
      <c r="H19" s="353" t="s">
        <v>69</v>
      </c>
      <c r="I19" s="353" t="s">
        <v>66</v>
      </c>
      <c r="J19" s="57">
        <v>45839</v>
      </c>
      <c r="K19" s="11">
        <v>2192.42</v>
      </c>
      <c r="L19" s="353" t="s">
        <v>70</v>
      </c>
    </row>
    <row r="20" spans="1:12" hidden="1">
      <c r="A20" s="353" t="s">
        <v>13</v>
      </c>
      <c r="B20" s="7" t="s">
        <v>62</v>
      </c>
      <c r="C20" s="103" t="s">
        <v>3183</v>
      </c>
      <c r="E20" s="57">
        <v>45854</v>
      </c>
      <c r="F20" s="353" t="s">
        <v>16</v>
      </c>
      <c r="G20" s="11">
        <v>2192.42</v>
      </c>
      <c r="H20" s="353" t="s">
        <v>69</v>
      </c>
      <c r="I20" s="353" t="s">
        <v>66</v>
      </c>
      <c r="J20" s="57">
        <v>45854</v>
      </c>
      <c r="K20" s="11">
        <v>2192.42</v>
      </c>
      <c r="L20" s="353" t="s">
        <v>71</v>
      </c>
    </row>
    <row r="21" spans="1:12" hidden="1">
      <c r="A21" s="353" t="s">
        <v>13</v>
      </c>
      <c r="B21" s="7" t="s">
        <v>62</v>
      </c>
      <c r="C21" s="103" t="s">
        <v>3183</v>
      </c>
      <c r="E21" s="57">
        <v>45869</v>
      </c>
      <c r="F21" s="353" t="s">
        <v>16</v>
      </c>
      <c r="G21" s="11">
        <v>2192.42</v>
      </c>
      <c r="H21" s="353" t="s">
        <v>69</v>
      </c>
      <c r="I21" s="353" t="s">
        <v>66</v>
      </c>
      <c r="J21" s="57">
        <v>45869</v>
      </c>
      <c r="K21" s="11">
        <v>2192.42</v>
      </c>
      <c r="L21" s="353" t="s">
        <v>71</v>
      </c>
    </row>
    <row r="22" spans="1:12" hidden="1">
      <c r="A22" s="353" t="s">
        <v>13</v>
      </c>
      <c r="B22" s="7" t="s">
        <v>72</v>
      </c>
      <c r="C22" s="103" t="s">
        <v>73</v>
      </c>
      <c r="D22" s="57">
        <v>45858</v>
      </c>
      <c r="E22" s="57">
        <v>45858</v>
      </c>
      <c r="F22" s="353" t="s">
        <v>16</v>
      </c>
      <c r="G22" s="11">
        <v>2690</v>
      </c>
      <c r="H22" s="353" t="s">
        <v>74</v>
      </c>
      <c r="I22" s="353" t="s">
        <v>75</v>
      </c>
      <c r="J22" s="57">
        <v>45952</v>
      </c>
      <c r="K22" s="11">
        <v>2690</v>
      </c>
      <c r="L22" s="353" t="s">
        <v>19</v>
      </c>
    </row>
    <row r="23" spans="1:12" hidden="1">
      <c r="A23" s="353" t="s">
        <v>13</v>
      </c>
      <c r="B23" s="7" t="s">
        <v>76</v>
      </c>
      <c r="C23" s="103" t="s">
        <v>77</v>
      </c>
      <c r="D23" s="57">
        <v>45820</v>
      </c>
      <c r="E23" s="57">
        <v>45820</v>
      </c>
      <c r="F23" s="353" t="s">
        <v>16</v>
      </c>
      <c r="G23" s="11">
        <v>602</v>
      </c>
      <c r="H23" s="353" t="s">
        <v>79</v>
      </c>
      <c r="I23" s="353" t="s">
        <v>56</v>
      </c>
      <c r="J23" s="57"/>
      <c r="K23" s="11"/>
      <c r="L23" s="353"/>
    </row>
    <row r="24" spans="1:12" hidden="1">
      <c r="A24" s="353" t="s">
        <v>80</v>
      </c>
      <c r="B24" s="7" t="s">
        <v>76</v>
      </c>
      <c r="C24" s="103" t="s">
        <v>81</v>
      </c>
      <c r="D24" s="57">
        <v>45972</v>
      </c>
      <c r="E24" s="57">
        <v>45972</v>
      </c>
      <c r="F24" s="353" t="s">
        <v>16</v>
      </c>
      <c r="G24" s="11">
        <v>-602</v>
      </c>
      <c r="H24" s="353" t="s">
        <v>82</v>
      </c>
      <c r="I24" s="353" t="s">
        <v>83</v>
      </c>
      <c r="J24" s="57"/>
      <c r="K24" s="11"/>
      <c r="L24" s="353"/>
    </row>
    <row r="25" spans="1:12" hidden="1">
      <c r="A25" s="353" t="s">
        <v>13</v>
      </c>
      <c r="B25" s="7" t="s">
        <v>84</v>
      </c>
      <c r="C25" s="103" t="s">
        <v>85</v>
      </c>
      <c r="D25" s="57">
        <v>45608</v>
      </c>
      <c r="E25" s="57">
        <v>45657</v>
      </c>
      <c r="F25" s="353" t="s">
        <v>16</v>
      </c>
      <c r="G25" s="11">
        <v>1000</v>
      </c>
      <c r="H25" s="353" t="s">
        <v>87</v>
      </c>
      <c r="I25" s="353" t="s">
        <v>56</v>
      </c>
      <c r="J25" s="57">
        <v>45968</v>
      </c>
      <c r="K25" s="11">
        <v>1000</v>
      </c>
      <c r="L25" s="353" t="s">
        <v>19</v>
      </c>
    </row>
    <row r="26" spans="1:12" hidden="1">
      <c r="A26" s="353" t="s">
        <v>13</v>
      </c>
      <c r="B26" s="7" t="s">
        <v>84</v>
      </c>
      <c r="C26" s="103" t="s">
        <v>85</v>
      </c>
      <c r="D26" s="57">
        <v>45973</v>
      </c>
      <c r="F26" s="353" t="s">
        <v>16</v>
      </c>
      <c r="G26" s="11">
        <v>977.42</v>
      </c>
      <c r="H26" s="353" t="s">
        <v>89</v>
      </c>
      <c r="I26" s="353" t="s">
        <v>56</v>
      </c>
      <c r="J26" s="57">
        <v>46049</v>
      </c>
      <c r="K26" s="11">
        <v>977.42</v>
      </c>
      <c r="L26" s="353" t="s">
        <v>4169</v>
      </c>
    </row>
    <row r="27" spans="1:12" hidden="1">
      <c r="A27" s="353" t="s">
        <v>13</v>
      </c>
      <c r="B27" s="7" t="s">
        <v>84</v>
      </c>
      <c r="C27" s="103" t="s">
        <v>91</v>
      </c>
      <c r="D27" s="57">
        <v>45626</v>
      </c>
      <c r="E27" s="57">
        <v>45656</v>
      </c>
      <c r="F27" s="353" t="s">
        <v>16</v>
      </c>
      <c r="G27" s="11">
        <v>94.71</v>
      </c>
      <c r="H27" s="353" t="s">
        <v>87</v>
      </c>
      <c r="I27" s="353" t="s">
        <v>56</v>
      </c>
      <c r="J27" s="57">
        <v>46049</v>
      </c>
      <c r="K27" s="11">
        <v>94.71</v>
      </c>
      <c r="L27" s="353" t="s">
        <v>4169</v>
      </c>
    </row>
    <row r="28" spans="1:12" hidden="1">
      <c r="A28" s="353" t="s">
        <v>13</v>
      </c>
      <c r="B28" s="7" t="s">
        <v>84</v>
      </c>
      <c r="C28" s="103" t="s">
        <v>93</v>
      </c>
      <c r="D28" s="57">
        <v>45817</v>
      </c>
      <c r="E28" s="57">
        <v>45817</v>
      </c>
      <c r="F28" s="353" t="s">
        <v>16</v>
      </c>
      <c r="G28" s="11">
        <v>219.6</v>
      </c>
      <c r="H28" s="353" t="s">
        <v>95</v>
      </c>
      <c r="I28" s="353" t="s">
        <v>66</v>
      </c>
      <c r="J28" s="57">
        <v>45818</v>
      </c>
      <c r="K28" s="11" t="s">
        <v>96</v>
      </c>
      <c r="L28" s="353" t="s">
        <v>97</v>
      </c>
    </row>
    <row r="29" spans="1:12" hidden="1">
      <c r="A29" s="353" t="s">
        <v>13</v>
      </c>
      <c r="B29" s="7" t="s">
        <v>84</v>
      </c>
      <c r="C29" s="103" t="s">
        <v>98</v>
      </c>
      <c r="D29" s="57">
        <v>45831</v>
      </c>
      <c r="E29" s="57">
        <v>45831</v>
      </c>
      <c r="F29" s="353" t="s">
        <v>16</v>
      </c>
      <c r="G29" s="11">
        <v>32.21</v>
      </c>
      <c r="H29" s="353"/>
      <c r="I29" s="353" t="s">
        <v>47</v>
      </c>
      <c r="J29" s="57">
        <v>45831</v>
      </c>
      <c r="K29" s="11">
        <v>32.21</v>
      </c>
      <c r="L29" s="353" t="s">
        <v>100</v>
      </c>
    </row>
    <row r="30" spans="1:12" hidden="1">
      <c r="A30" s="353" t="s">
        <v>13</v>
      </c>
      <c r="B30" s="7" t="s">
        <v>101</v>
      </c>
      <c r="C30" s="103" t="s">
        <v>102</v>
      </c>
      <c r="D30" s="57">
        <v>45688</v>
      </c>
      <c r="E30" s="57">
        <v>45817</v>
      </c>
      <c r="F30" s="353" t="s">
        <v>16</v>
      </c>
      <c r="G30" s="11">
        <v>5049.7299999999996</v>
      </c>
      <c r="H30" s="353" t="s">
        <v>104</v>
      </c>
      <c r="I30" s="353" t="s">
        <v>105</v>
      </c>
      <c r="J30" s="57">
        <v>45823</v>
      </c>
      <c r="K30" s="11">
        <v>5049.7299999999996</v>
      </c>
      <c r="L30" s="353" t="s">
        <v>106</v>
      </c>
    </row>
    <row r="31" spans="1:12" hidden="1">
      <c r="A31" s="353" t="s">
        <v>13</v>
      </c>
      <c r="B31" s="7" t="s">
        <v>101</v>
      </c>
      <c r="C31" s="103" t="s">
        <v>107</v>
      </c>
      <c r="D31" s="57">
        <v>45650</v>
      </c>
      <c r="E31" s="57">
        <v>45726</v>
      </c>
      <c r="F31" s="353" t="s">
        <v>16</v>
      </c>
      <c r="G31" s="11">
        <v>1288.3399999999999</v>
      </c>
      <c r="H31" s="353" t="s">
        <v>109</v>
      </c>
      <c r="I31" s="353" t="s">
        <v>110</v>
      </c>
      <c r="J31" s="57">
        <v>45730</v>
      </c>
      <c r="K31" s="11">
        <v>1520.14</v>
      </c>
      <c r="L31" s="353" t="s">
        <v>111</v>
      </c>
    </row>
    <row r="32" spans="1:12" hidden="1">
      <c r="A32" s="353" t="s">
        <v>13</v>
      </c>
      <c r="B32" s="7" t="s">
        <v>101</v>
      </c>
      <c r="C32" s="103" t="s">
        <v>112</v>
      </c>
      <c r="D32" s="57">
        <v>45657</v>
      </c>
      <c r="E32" s="57">
        <v>45726</v>
      </c>
      <c r="F32" s="353" t="s">
        <v>16</v>
      </c>
      <c r="G32" s="11">
        <v>231.8</v>
      </c>
      <c r="H32" s="353" t="s">
        <v>114</v>
      </c>
      <c r="I32" s="353" t="s">
        <v>110</v>
      </c>
      <c r="J32" s="57">
        <v>45730</v>
      </c>
      <c r="K32" s="11">
        <v>1520.14</v>
      </c>
      <c r="L32" s="353" t="s">
        <v>111</v>
      </c>
    </row>
    <row r="33" spans="1:12" hidden="1">
      <c r="A33" s="353" t="s">
        <v>13</v>
      </c>
      <c r="B33" s="7" t="s">
        <v>101</v>
      </c>
      <c r="C33" s="103" t="s">
        <v>115</v>
      </c>
      <c r="D33" s="57">
        <v>45716</v>
      </c>
      <c r="E33" s="57">
        <v>45787</v>
      </c>
      <c r="F33" s="353" t="s">
        <v>16</v>
      </c>
      <c r="G33" s="11">
        <v>4933.58</v>
      </c>
      <c r="H33" s="353" t="s">
        <v>117</v>
      </c>
      <c r="I33" s="353" t="s">
        <v>56</v>
      </c>
      <c r="J33" s="57">
        <v>45791</v>
      </c>
      <c r="K33" s="11">
        <v>4933.58</v>
      </c>
      <c r="L33" s="353" t="s">
        <v>19</v>
      </c>
    </row>
    <row r="34" spans="1:12" hidden="1">
      <c r="A34" s="353" t="s">
        <v>13</v>
      </c>
      <c r="B34" s="7" t="s">
        <v>101</v>
      </c>
      <c r="C34" s="103" t="s">
        <v>118</v>
      </c>
      <c r="D34" s="57">
        <v>45747</v>
      </c>
      <c r="E34" s="57">
        <v>45853</v>
      </c>
      <c r="F34" s="353" t="s">
        <v>16</v>
      </c>
      <c r="G34" s="11">
        <v>3655.96</v>
      </c>
      <c r="H34" s="353" t="s">
        <v>120</v>
      </c>
      <c r="I34" s="353" t="s">
        <v>105</v>
      </c>
      <c r="J34" s="57">
        <v>45853</v>
      </c>
      <c r="K34" s="11">
        <v>3655.96</v>
      </c>
      <c r="L34" s="353" t="s">
        <v>121</v>
      </c>
    </row>
    <row r="35" spans="1:12" hidden="1">
      <c r="A35" s="353" t="s">
        <v>13</v>
      </c>
      <c r="B35" s="7" t="s">
        <v>101</v>
      </c>
      <c r="C35" s="103" t="s">
        <v>122</v>
      </c>
      <c r="D35" s="57">
        <v>45777</v>
      </c>
      <c r="E35" s="57">
        <v>45848</v>
      </c>
      <c r="F35" s="353" t="s">
        <v>16</v>
      </c>
      <c r="G35" s="11">
        <v>629.75</v>
      </c>
      <c r="H35" s="353" t="s">
        <v>124</v>
      </c>
      <c r="I35" s="353" t="s">
        <v>125</v>
      </c>
      <c r="J35" s="57">
        <v>45848</v>
      </c>
      <c r="K35" s="11">
        <v>87.53</v>
      </c>
      <c r="L35" s="353" t="s">
        <v>126</v>
      </c>
    </row>
    <row r="36" spans="1:12" hidden="1">
      <c r="A36" s="353" t="s">
        <v>13</v>
      </c>
      <c r="B36" s="7" t="s">
        <v>101</v>
      </c>
      <c r="C36" s="103" t="s">
        <v>3185</v>
      </c>
      <c r="D36" s="57">
        <v>45777</v>
      </c>
      <c r="E36" s="57">
        <v>45848</v>
      </c>
      <c r="F36" s="353" t="s">
        <v>16</v>
      </c>
      <c r="G36" s="11">
        <v>-542.22</v>
      </c>
      <c r="H36" s="353"/>
      <c r="I36" s="353" t="s">
        <v>125</v>
      </c>
      <c r="J36" s="57">
        <v>45848</v>
      </c>
      <c r="K36" s="11">
        <v>-542.22</v>
      </c>
      <c r="L36" s="353" t="s">
        <v>129</v>
      </c>
    </row>
    <row r="37" spans="1:12" hidden="1">
      <c r="A37" s="353" t="s">
        <v>13</v>
      </c>
      <c r="B37" s="7" t="s">
        <v>101</v>
      </c>
      <c r="C37" s="103" t="s">
        <v>130</v>
      </c>
      <c r="D37" s="57">
        <v>45808</v>
      </c>
      <c r="E37" s="57">
        <v>45879</v>
      </c>
      <c r="F37" s="353" t="s">
        <v>16</v>
      </c>
      <c r="G37" s="11">
        <v>1923.2</v>
      </c>
      <c r="H37" s="353" t="s">
        <v>132</v>
      </c>
      <c r="I37" s="353" t="s">
        <v>105</v>
      </c>
      <c r="J37" s="57">
        <v>45950</v>
      </c>
      <c r="K37" s="11">
        <v>1923.2</v>
      </c>
      <c r="L37" s="353" t="s">
        <v>133</v>
      </c>
    </row>
    <row r="38" spans="1:12" hidden="1">
      <c r="A38" s="353" t="s">
        <v>13</v>
      </c>
      <c r="B38" s="7" t="s">
        <v>101</v>
      </c>
      <c r="C38" s="103" t="s">
        <v>134</v>
      </c>
      <c r="D38" s="57">
        <v>45838</v>
      </c>
      <c r="E38" s="57">
        <v>45910</v>
      </c>
      <c r="F38" s="353" t="s">
        <v>16</v>
      </c>
      <c r="G38" s="11">
        <v>2859.9</v>
      </c>
      <c r="H38" s="353" t="s">
        <v>132</v>
      </c>
      <c r="I38" s="353" t="s">
        <v>110</v>
      </c>
      <c r="J38" s="57">
        <v>45910</v>
      </c>
      <c r="K38" s="11">
        <v>2859.9</v>
      </c>
      <c r="L38" s="353" t="s">
        <v>19</v>
      </c>
    </row>
    <row r="39" spans="1:12" hidden="1">
      <c r="A39" s="353" t="s">
        <v>13</v>
      </c>
      <c r="B39" s="7" t="s">
        <v>101</v>
      </c>
      <c r="C39" s="103" t="s">
        <v>136</v>
      </c>
      <c r="D39" s="57">
        <v>45900</v>
      </c>
      <c r="E39" s="57">
        <v>45971</v>
      </c>
      <c r="F39" s="353" t="s">
        <v>16</v>
      </c>
      <c r="G39" s="11">
        <v>567.29999999999995</v>
      </c>
      <c r="H39" s="353" t="s">
        <v>138</v>
      </c>
      <c r="I39" s="353" t="s">
        <v>110</v>
      </c>
      <c r="J39" s="57">
        <v>45961</v>
      </c>
      <c r="K39" s="11">
        <v>567.29999999999995</v>
      </c>
      <c r="L39" s="353" t="s">
        <v>19</v>
      </c>
    </row>
    <row r="40" spans="1:12" hidden="1">
      <c r="A40" s="353" t="s">
        <v>13</v>
      </c>
      <c r="B40" s="7" t="s">
        <v>101</v>
      </c>
      <c r="C40" s="103" t="s">
        <v>139</v>
      </c>
      <c r="D40" s="57">
        <v>45869</v>
      </c>
      <c r="E40" s="57">
        <v>45940</v>
      </c>
      <c r="F40" s="353" t="s">
        <v>16</v>
      </c>
      <c r="G40" s="11">
        <v>1244.74</v>
      </c>
      <c r="H40" s="353" t="s">
        <v>141</v>
      </c>
      <c r="I40" s="353" t="s">
        <v>142</v>
      </c>
      <c r="J40" s="57">
        <v>46001</v>
      </c>
      <c r="K40" s="11">
        <v>1258.1600000000001</v>
      </c>
      <c r="L40" s="353" t="s">
        <v>143</v>
      </c>
    </row>
    <row r="41" spans="1:12" hidden="1">
      <c r="A41" s="353" t="s">
        <v>13</v>
      </c>
      <c r="B41" s="7" t="s">
        <v>101</v>
      </c>
      <c r="C41" s="103" t="s">
        <v>144</v>
      </c>
      <c r="D41" s="57">
        <v>45930</v>
      </c>
      <c r="E41" s="57">
        <v>46001</v>
      </c>
      <c r="F41" s="353"/>
      <c r="G41" s="11">
        <v>13.42</v>
      </c>
      <c r="H41" s="353" t="s">
        <v>46</v>
      </c>
      <c r="I41" s="353" t="s">
        <v>142</v>
      </c>
      <c r="J41" s="57">
        <v>46001</v>
      </c>
      <c r="K41" s="11">
        <v>1258.1600000000001</v>
      </c>
      <c r="L41" s="353" t="s">
        <v>143</v>
      </c>
    </row>
    <row r="42" spans="1:12" hidden="1">
      <c r="A42" s="353" t="s">
        <v>13</v>
      </c>
      <c r="B42" s="7" t="s">
        <v>146</v>
      </c>
      <c r="C42" s="103" t="s">
        <v>147</v>
      </c>
      <c r="D42" s="57">
        <v>45687</v>
      </c>
      <c r="E42" s="57">
        <v>45687</v>
      </c>
      <c r="F42" s="353" t="s">
        <v>16</v>
      </c>
      <c r="G42" s="11">
        <v>333.48</v>
      </c>
      <c r="H42" s="353" t="s">
        <v>149</v>
      </c>
      <c r="I42" s="353" t="s">
        <v>150</v>
      </c>
      <c r="J42" s="57">
        <v>45687</v>
      </c>
      <c r="K42" s="11">
        <v>333.48</v>
      </c>
      <c r="L42" s="353" t="s">
        <v>151</v>
      </c>
    </row>
    <row r="43" spans="1:12" hidden="1">
      <c r="A43" s="353" t="s">
        <v>13</v>
      </c>
      <c r="B43" s="7" t="s">
        <v>146</v>
      </c>
      <c r="C43" s="103" t="s">
        <v>152</v>
      </c>
      <c r="D43" s="57">
        <v>45716</v>
      </c>
      <c r="E43" s="57">
        <v>45716</v>
      </c>
      <c r="F43" s="353" t="s">
        <v>16</v>
      </c>
      <c r="G43" s="11">
        <v>244.6</v>
      </c>
      <c r="H43" s="353" t="s">
        <v>149</v>
      </c>
      <c r="I43" s="353" t="s">
        <v>154</v>
      </c>
      <c r="J43" s="57" t="s">
        <v>155</v>
      </c>
      <c r="K43" s="11">
        <v>244.6</v>
      </c>
      <c r="L43" s="353" t="s">
        <v>151</v>
      </c>
    </row>
    <row r="44" spans="1:12" hidden="1">
      <c r="A44" s="353" t="s">
        <v>13</v>
      </c>
      <c r="B44" s="7" t="s">
        <v>146</v>
      </c>
      <c r="C44" s="103" t="s">
        <v>156</v>
      </c>
      <c r="D44" s="57">
        <v>45746</v>
      </c>
      <c r="E44" s="57">
        <v>45746</v>
      </c>
      <c r="F44" s="353" t="s">
        <v>16</v>
      </c>
      <c r="G44" s="11">
        <v>180.66</v>
      </c>
      <c r="H44" s="353" t="s">
        <v>158</v>
      </c>
      <c r="I44" s="353" t="s">
        <v>150</v>
      </c>
      <c r="J44" s="57">
        <v>45746</v>
      </c>
      <c r="K44" s="11">
        <v>180.66</v>
      </c>
      <c r="L44" s="353" t="s">
        <v>151</v>
      </c>
    </row>
    <row r="45" spans="1:12" hidden="1">
      <c r="A45" s="353" t="s">
        <v>13</v>
      </c>
      <c r="B45" s="7" t="s">
        <v>146</v>
      </c>
      <c r="C45" s="103" t="s">
        <v>159</v>
      </c>
      <c r="D45" s="57">
        <v>45777</v>
      </c>
      <c r="E45" s="57">
        <v>45777</v>
      </c>
      <c r="F45" s="353" t="s">
        <v>16</v>
      </c>
      <c r="G45" s="11">
        <v>247.8</v>
      </c>
      <c r="H45" s="353" t="s">
        <v>158</v>
      </c>
      <c r="I45" s="353" t="s">
        <v>150</v>
      </c>
      <c r="J45" s="57">
        <v>45777</v>
      </c>
      <c r="K45" s="11">
        <v>247.8</v>
      </c>
      <c r="L45" s="353" t="s">
        <v>151</v>
      </c>
    </row>
    <row r="46" spans="1:12" hidden="1">
      <c r="A46" s="353" t="s">
        <v>13</v>
      </c>
      <c r="B46" s="7" t="s">
        <v>146</v>
      </c>
      <c r="C46" s="103" t="s">
        <v>161</v>
      </c>
      <c r="D46" s="57">
        <v>45807</v>
      </c>
      <c r="E46" s="57">
        <v>45807</v>
      </c>
      <c r="F46" s="353" t="s">
        <v>16</v>
      </c>
      <c r="G46" s="11">
        <v>400.85</v>
      </c>
      <c r="H46" s="353" t="s">
        <v>149</v>
      </c>
      <c r="I46" s="353" t="s">
        <v>150</v>
      </c>
      <c r="J46" s="57">
        <v>45807</v>
      </c>
      <c r="K46" s="11">
        <v>400.85</v>
      </c>
      <c r="L46" s="353" t="s">
        <v>151</v>
      </c>
    </row>
    <row r="47" spans="1:12" hidden="1">
      <c r="A47" s="353" t="s">
        <v>13</v>
      </c>
      <c r="B47" s="7" t="s">
        <v>146</v>
      </c>
      <c r="C47" s="103" t="s">
        <v>163</v>
      </c>
      <c r="D47" s="57">
        <v>45838</v>
      </c>
      <c r="E47" s="57">
        <v>45838</v>
      </c>
      <c r="F47" s="353" t="s">
        <v>16</v>
      </c>
      <c r="G47" s="11">
        <v>211.2</v>
      </c>
      <c r="H47" s="353" t="s">
        <v>149</v>
      </c>
      <c r="I47" s="353" t="s">
        <v>150</v>
      </c>
      <c r="J47" s="57">
        <v>45838</v>
      </c>
      <c r="K47" s="11">
        <v>211.2</v>
      </c>
      <c r="L47" s="353" t="s">
        <v>151</v>
      </c>
    </row>
    <row r="48" spans="1:12" hidden="1">
      <c r="A48" s="353" t="s">
        <v>13</v>
      </c>
      <c r="B48" s="7" t="s">
        <v>146</v>
      </c>
      <c r="C48" s="103" t="s">
        <v>165</v>
      </c>
      <c r="D48" s="57">
        <v>45868</v>
      </c>
      <c r="E48" s="57">
        <v>45868</v>
      </c>
      <c r="F48" s="353" t="s">
        <v>16</v>
      </c>
      <c r="G48" s="11">
        <v>390.35</v>
      </c>
      <c r="H48" s="353" t="s">
        <v>149</v>
      </c>
      <c r="I48" s="353" t="s">
        <v>150</v>
      </c>
      <c r="J48" s="57">
        <v>45868</v>
      </c>
      <c r="K48" s="11">
        <v>390.35</v>
      </c>
      <c r="L48" s="353" t="s">
        <v>151</v>
      </c>
    </row>
    <row r="49" spans="1:12" hidden="1">
      <c r="A49" s="353" t="s">
        <v>13</v>
      </c>
      <c r="B49" s="7" t="s">
        <v>146</v>
      </c>
      <c r="C49" s="103" t="s">
        <v>167</v>
      </c>
      <c r="D49" s="57">
        <v>45899</v>
      </c>
      <c r="E49" s="57">
        <v>45899</v>
      </c>
      <c r="F49" s="353" t="s">
        <v>16</v>
      </c>
      <c r="G49" s="11">
        <v>267.16000000000003</v>
      </c>
      <c r="H49" s="353" t="s">
        <v>149</v>
      </c>
      <c r="I49" s="353" t="s">
        <v>150</v>
      </c>
      <c r="J49" s="57">
        <v>45899</v>
      </c>
      <c r="K49" s="11">
        <v>267.16000000000003</v>
      </c>
      <c r="L49" s="353" t="s">
        <v>151</v>
      </c>
    </row>
    <row r="50" spans="1:12" hidden="1">
      <c r="A50" s="353" t="s">
        <v>13</v>
      </c>
      <c r="B50" s="7" t="s">
        <v>146</v>
      </c>
      <c r="C50" s="103" t="s">
        <v>169</v>
      </c>
      <c r="D50" s="57">
        <v>45930</v>
      </c>
      <c r="E50" s="57">
        <v>45930</v>
      </c>
      <c r="F50" s="353" t="s">
        <v>16</v>
      </c>
      <c r="G50" s="11">
        <v>229.8</v>
      </c>
      <c r="H50" s="353" t="s">
        <v>149</v>
      </c>
      <c r="I50" s="353" t="s">
        <v>150</v>
      </c>
      <c r="J50" s="57">
        <v>45930</v>
      </c>
      <c r="K50" s="11">
        <v>229.8</v>
      </c>
      <c r="L50" s="353" t="s">
        <v>151</v>
      </c>
    </row>
    <row r="51" spans="1:12" hidden="1">
      <c r="A51" s="353" t="s">
        <v>13</v>
      </c>
      <c r="B51" s="7" t="s">
        <v>146</v>
      </c>
      <c r="C51" s="103" t="s">
        <v>171</v>
      </c>
      <c r="D51" s="57">
        <v>45960</v>
      </c>
      <c r="E51" s="57">
        <v>45960</v>
      </c>
      <c r="F51" s="353" t="s">
        <v>16</v>
      </c>
      <c r="G51" s="11">
        <v>116.4</v>
      </c>
      <c r="H51" s="353" t="s">
        <v>149</v>
      </c>
      <c r="I51" s="353" t="s">
        <v>150</v>
      </c>
      <c r="J51" s="57">
        <v>45960</v>
      </c>
      <c r="K51" s="11">
        <v>116.4</v>
      </c>
      <c r="L51" s="353" t="s">
        <v>151</v>
      </c>
    </row>
    <row r="52" spans="1:12" hidden="1">
      <c r="A52" s="353" t="s">
        <v>13</v>
      </c>
      <c r="B52" s="7" t="s">
        <v>146</v>
      </c>
      <c r="C52" s="103" t="s">
        <v>172</v>
      </c>
      <c r="D52" s="57">
        <v>45991</v>
      </c>
      <c r="E52" s="57">
        <v>45991</v>
      </c>
      <c r="F52" s="353" t="s">
        <v>16</v>
      </c>
      <c r="G52" s="11">
        <v>111.9</v>
      </c>
      <c r="H52" s="353" t="s">
        <v>149</v>
      </c>
      <c r="I52" s="353" t="s">
        <v>150</v>
      </c>
      <c r="J52" s="57">
        <v>45991</v>
      </c>
      <c r="K52" s="11">
        <v>111.9</v>
      </c>
      <c r="L52" s="353" t="s">
        <v>151</v>
      </c>
    </row>
    <row r="53" spans="1:12" hidden="1">
      <c r="A53" s="353" t="s">
        <v>13</v>
      </c>
      <c r="B53" s="7" t="s">
        <v>146</v>
      </c>
      <c r="C53" s="103" t="s">
        <v>3359</v>
      </c>
      <c r="D53" s="57">
        <v>46021</v>
      </c>
      <c r="E53" s="57">
        <v>46021</v>
      </c>
      <c r="F53" s="353" t="s">
        <v>16</v>
      </c>
      <c r="G53" s="11">
        <v>181.1</v>
      </c>
      <c r="H53" s="353" t="s">
        <v>149</v>
      </c>
      <c r="I53" s="353" t="s">
        <v>150</v>
      </c>
      <c r="J53" s="57">
        <v>46021</v>
      </c>
      <c r="K53" s="11">
        <v>181.1</v>
      </c>
      <c r="L53" s="353" t="s">
        <v>151</v>
      </c>
    </row>
    <row r="54" spans="1:12" hidden="1">
      <c r="A54" s="353" t="s">
        <v>13</v>
      </c>
      <c r="B54" s="7" t="s">
        <v>146</v>
      </c>
      <c r="C54" s="103" t="s">
        <v>4263</v>
      </c>
      <c r="D54" s="57">
        <v>46052</v>
      </c>
      <c r="E54" s="57">
        <v>46052</v>
      </c>
      <c r="F54" s="353" t="s">
        <v>16</v>
      </c>
      <c r="G54" s="11">
        <v>251.38</v>
      </c>
      <c r="H54" s="353" t="s">
        <v>149</v>
      </c>
      <c r="I54" s="353" t="s">
        <v>150</v>
      </c>
      <c r="J54" s="57">
        <v>46052</v>
      </c>
      <c r="K54" s="11">
        <v>251.38</v>
      </c>
      <c r="L54" s="353" t="s">
        <v>151</v>
      </c>
    </row>
    <row r="55" spans="1:12" hidden="1">
      <c r="A55" s="353" t="s">
        <v>13</v>
      </c>
      <c r="B55" s="7" t="s">
        <v>146</v>
      </c>
      <c r="C55" s="103" t="s">
        <v>4332</v>
      </c>
      <c r="D55" s="57">
        <v>46081</v>
      </c>
      <c r="E55" s="57">
        <v>46081</v>
      </c>
      <c r="F55" s="353" t="s">
        <v>16</v>
      </c>
      <c r="G55" s="11">
        <v>274.39999999999998</v>
      </c>
      <c r="H55" s="353" t="s">
        <v>149</v>
      </c>
      <c r="I55" s="353" t="s">
        <v>150</v>
      </c>
      <c r="J55" s="57">
        <v>46081</v>
      </c>
      <c r="K55" s="11">
        <v>274.39999999999998</v>
      </c>
      <c r="L55" s="353" t="s">
        <v>151</v>
      </c>
    </row>
    <row r="56" spans="1:12" hidden="1">
      <c r="A56" s="353" t="s">
        <v>13</v>
      </c>
      <c r="B56" s="7" t="s">
        <v>173</v>
      </c>
      <c r="C56" s="103" t="s">
        <v>3187</v>
      </c>
      <c r="D56" s="57">
        <v>45982</v>
      </c>
      <c r="E56" s="57">
        <v>45982</v>
      </c>
      <c r="F56" s="353" t="s">
        <v>16</v>
      </c>
      <c r="G56" s="11">
        <v>5.27</v>
      </c>
      <c r="H56" s="353" t="s">
        <v>175</v>
      </c>
      <c r="I56" s="353" t="s">
        <v>176</v>
      </c>
      <c r="J56" s="57">
        <v>45982</v>
      </c>
      <c r="K56" s="11">
        <v>5.27</v>
      </c>
      <c r="L56" s="353" t="s">
        <v>19</v>
      </c>
    </row>
    <row r="57" spans="1:12" hidden="1">
      <c r="A57" s="353" t="s">
        <v>13</v>
      </c>
      <c r="B57" s="7" t="s">
        <v>177</v>
      </c>
      <c r="C57" s="103" t="s">
        <v>3189</v>
      </c>
      <c r="D57" s="57">
        <v>45628</v>
      </c>
      <c r="F57" s="353" t="s">
        <v>16</v>
      </c>
      <c r="G57" s="11">
        <v>737.47</v>
      </c>
      <c r="H57" s="353"/>
      <c r="I57" s="353"/>
      <c r="J57" s="57"/>
      <c r="K57" s="11"/>
      <c r="L57" s="353"/>
    </row>
    <row r="58" spans="1:12" hidden="1">
      <c r="A58" s="353" t="s">
        <v>13</v>
      </c>
      <c r="B58" s="7" t="s">
        <v>179</v>
      </c>
      <c r="C58" s="103" t="s">
        <v>53</v>
      </c>
      <c r="D58" s="57">
        <v>45712</v>
      </c>
      <c r="F58" s="353" t="s">
        <v>16</v>
      </c>
      <c r="G58" s="11">
        <v>447.6</v>
      </c>
      <c r="H58" s="353" t="s">
        <v>181</v>
      </c>
      <c r="I58" s="353" t="s">
        <v>66</v>
      </c>
      <c r="J58" s="57"/>
      <c r="K58" s="11"/>
      <c r="L58" s="353"/>
    </row>
    <row r="59" spans="1:12" hidden="1">
      <c r="A59" s="353" t="s">
        <v>13</v>
      </c>
      <c r="B59" s="7" t="s">
        <v>182</v>
      </c>
      <c r="C59" s="103" t="s">
        <v>183</v>
      </c>
      <c r="D59" s="57">
        <v>45363</v>
      </c>
      <c r="F59" s="353" t="s">
        <v>16</v>
      </c>
      <c r="G59" s="11">
        <v>180</v>
      </c>
      <c r="H59" s="353" t="s">
        <v>184</v>
      </c>
      <c r="I59" s="353" t="s">
        <v>185</v>
      </c>
      <c r="J59" s="57"/>
      <c r="K59" s="11"/>
      <c r="L59" s="353"/>
    </row>
    <row r="60" spans="1:12" hidden="1">
      <c r="A60" s="353"/>
      <c r="B60" s="7" t="s">
        <v>4264</v>
      </c>
      <c r="C60" s="103" t="s">
        <v>340</v>
      </c>
      <c r="D60" s="57">
        <v>46076</v>
      </c>
      <c r="F60" s="353"/>
      <c r="G60" s="11">
        <v>1330.36</v>
      </c>
      <c r="H60" s="353" t="s">
        <v>4265</v>
      </c>
      <c r="I60" s="353" t="s">
        <v>66</v>
      </c>
      <c r="J60" s="57"/>
      <c r="K60" s="11"/>
      <c r="L60" s="353"/>
    </row>
    <row r="61" spans="1:12" hidden="1">
      <c r="A61" s="353"/>
      <c r="B61" s="7" t="s">
        <v>4264</v>
      </c>
      <c r="C61" s="103" t="s">
        <v>340</v>
      </c>
      <c r="D61" s="57">
        <v>46076</v>
      </c>
      <c r="F61" s="353"/>
      <c r="G61" s="11">
        <v>190</v>
      </c>
      <c r="H61" s="353" t="s">
        <v>4265</v>
      </c>
      <c r="I61" s="353" t="s">
        <v>185</v>
      </c>
      <c r="J61" s="57"/>
      <c r="K61" s="11"/>
      <c r="L61" s="353"/>
    </row>
    <row r="62" spans="1:12" hidden="1">
      <c r="A62" s="353" t="s">
        <v>13</v>
      </c>
      <c r="B62" s="7" t="s">
        <v>186</v>
      </c>
      <c r="C62" s="103" t="s">
        <v>187</v>
      </c>
      <c r="D62" s="57">
        <v>45674</v>
      </c>
      <c r="E62" s="57" t="s">
        <v>188</v>
      </c>
      <c r="F62" s="353" t="s">
        <v>16</v>
      </c>
      <c r="G62" s="11">
        <v>12801.52</v>
      </c>
      <c r="H62" s="353" t="s">
        <v>190</v>
      </c>
      <c r="I62" s="353" t="s">
        <v>105</v>
      </c>
      <c r="J62" s="57" t="s">
        <v>188</v>
      </c>
      <c r="K62" s="11">
        <v>12801.52</v>
      </c>
      <c r="L62" s="353" t="s">
        <v>191</v>
      </c>
    </row>
    <row r="63" spans="1:12" hidden="1">
      <c r="A63" s="353" t="s">
        <v>13</v>
      </c>
      <c r="B63" s="7" t="s">
        <v>186</v>
      </c>
      <c r="C63" s="103" t="s">
        <v>187</v>
      </c>
      <c r="D63" s="57">
        <v>45674</v>
      </c>
      <c r="E63" s="57">
        <v>45747</v>
      </c>
      <c r="F63" s="353" t="s">
        <v>16</v>
      </c>
      <c r="G63" s="11">
        <v>12801.52</v>
      </c>
      <c r="H63" s="353" t="s">
        <v>190</v>
      </c>
      <c r="I63" s="353" t="s">
        <v>105</v>
      </c>
      <c r="J63" s="57">
        <v>45747</v>
      </c>
      <c r="K63" s="11">
        <v>12801.52</v>
      </c>
      <c r="L63" s="353" t="s">
        <v>192</v>
      </c>
    </row>
    <row r="64" spans="1:12" hidden="1">
      <c r="A64" s="353" t="s">
        <v>13</v>
      </c>
      <c r="B64" s="7" t="s">
        <v>193</v>
      </c>
      <c r="C64" s="103" t="s">
        <v>194</v>
      </c>
      <c r="D64" s="57">
        <v>45665</v>
      </c>
      <c r="E64" s="57">
        <v>45688</v>
      </c>
      <c r="F64" s="353" t="s">
        <v>16</v>
      </c>
      <c r="G64" s="11">
        <v>80.52</v>
      </c>
      <c r="H64" s="353" t="s">
        <v>196</v>
      </c>
      <c r="I64" s="353" t="s">
        <v>197</v>
      </c>
      <c r="J64" s="57">
        <v>45688</v>
      </c>
      <c r="K64" s="11">
        <v>80.52</v>
      </c>
      <c r="L64" s="353" t="s">
        <v>198</v>
      </c>
    </row>
    <row r="65" spans="1:12" hidden="1">
      <c r="A65" s="353" t="s">
        <v>13</v>
      </c>
      <c r="B65" s="7" t="s">
        <v>193</v>
      </c>
      <c r="D65" s="57">
        <v>45696</v>
      </c>
      <c r="F65" s="353" t="s">
        <v>16</v>
      </c>
      <c r="G65" s="11">
        <v>80.52</v>
      </c>
      <c r="H65" s="353" t="s">
        <v>196</v>
      </c>
      <c r="I65" s="353" t="s">
        <v>197</v>
      </c>
      <c r="J65" s="57"/>
      <c r="K65" s="11"/>
      <c r="L65" s="353" t="s">
        <v>200</v>
      </c>
    </row>
    <row r="66" spans="1:12" hidden="1">
      <c r="A66" s="353" t="s">
        <v>13</v>
      </c>
      <c r="B66" s="7" t="s">
        <v>193</v>
      </c>
      <c r="D66" s="57">
        <v>45724</v>
      </c>
      <c r="F66" s="353" t="s">
        <v>16</v>
      </c>
      <c r="G66" s="11">
        <v>80.52</v>
      </c>
      <c r="H66" s="353" t="s">
        <v>196</v>
      </c>
      <c r="I66" s="353" t="s">
        <v>197</v>
      </c>
      <c r="J66" s="57"/>
      <c r="K66" s="11"/>
      <c r="L66" s="353" t="s">
        <v>201</v>
      </c>
    </row>
    <row r="67" spans="1:12" hidden="1">
      <c r="A67" s="353" t="s">
        <v>13</v>
      </c>
      <c r="B67" s="7" t="s">
        <v>193</v>
      </c>
      <c r="C67" s="103" t="s">
        <v>202</v>
      </c>
      <c r="D67" s="57">
        <v>45754</v>
      </c>
      <c r="E67" s="57">
        <v>45748</v>
      </c>
      <c r="F67" s="353" t="s">
        <v>16</v>
      </c>
      <c r="G67" s="11">
        <v>80.52</v>
      </c>
      <c r="H67" s="353" t="s">
        <v>196</v>
      </c>
      <c r="I67" s="353" t="s">
        <v>197</v>
      </c>
      <c r="J67" s="57">
        <v>45748</v>
      </c>
      <c r="K67" s="11">
        <v>80.52</v>
      </c>
      <c r="L67" s="353" t="s">
        <v>203</v>
      </c>
    </row>
    <row r="68" spans="1:12" hidden="1">
      <c r="A68" s="353" t="s">
        <v>13</v>
      </c>
      <c r="B68" s="7" t="s">
        <v>193</v>
      </c>
      <c r="D68" s="57">
        <v>45785</v>
      </c>
      <c r="F68" s="353" t="s">
        <v>16</v>
      </c>
      <c r="G68" s="11">
        <v>80.52</v>
      </c>
      <c r="H68" s="353" t="s">
        <v>196</v>
      </c>
      <c r="I68" s="353" t="s">
        <v>197</v>
      </c>
      <c r="J68" s="57"/>
      <c r="K68" s="11"/>
      <c r="L68" s="353" t="s">
        <v>200</v>
      </c>
    </row>
    <row r="69" spans="1:12" hidden="1">
      <c r="A69" s="353" t="s">
        <v>13</v>
      </c>
      <c r="B69" s="7" t="s">
        <v>193</v>
      </c>
      <c r="D69" s="57">
        <v>45816</v>
      </c>
      <c r="F69" s="353" t="s">
        <v>16</v>
      </c>
      <c r="G69" s="11">
        <v>80.52</v>
      </c>
      <c r="H69" s="353" t="s">
        <v>196</v>
      </c>
      <c r="I69" s="353" t="s">
        <v>197</v>
      </c>
      <c r="J69" s="57"/>
      <c r="K69" s="11"/>
      <c r="L69" s="353" t="s">
        <v>201</v>
      </c>
    </row>
    <row r="70" spans="1:12" hidden="1">
      <c r="A70" s="353" t="s">
        <v>13</v>
      </c>
      <c r="B70" s="7" t="s">
        <v>193</v>
      </c>
      <c r="C70" s="103" t="s">
        <v>204</v>
      </c>
      <c r="D70" s="57">
        <v>45845</v>
      </c>
      <c r="E70" s="57">
        <v>45840</v>
      </c>
      <c r="F70" s="353" t="s">
        <v>16</v>
      </c>
      <c r="G70" s="11">
        <v>80.52</v>
      </c>
      <c r="H70" s="353" t="s">
        <v>196</v>
      </c>
      <c r="I70" s="353" t="s">
        <v>197</v>
      </c>
      <c r="J70" s="57">
        <v>45840</v>
      </c>
      <c r="K70" s="11">
        <v>80.52</v>
      </c>
      <c r="L70" s="353" t="s">
        <v>203</v>
      </c>
    </row>
    <row r="71" spans="1:12" hidden="1">
      <c r="A71" s="353" t="s">
        <v>13</v>
      </c>
      <c r="B71" s="7" t="s">
        <v>193</v>
      </c>
      <c r="D71" s="57">
        <v>45877</v>
      </c>
      <c r="F71" s="353" t="s">
        <v>16</v>
      </c>
      <c r="G71" s="11">
        <v>80.52</v>
      </c>
      <c r="H71" s="353" t="s">
        <v>196</v>
      </c>
      <c r="I71" s="353" t="s">
        <v>197</v>
      </c>
      <c r="J71" s="57"/>
      <c r="K71" s="11"/>
      <c r="L71" s="353" t="s">
        <v>206</v>
      </c>
    </row>
    <row r="72" spans="1:12" hidden="1">
      <c r="A72" s="353" t="s">
        <v>13</v>
      </c>
      <c r="B72" s="7" t="s">
        <v>193</v>
      </c>
      <c r="D72" s="57">
        <v>45908</v>
      </c>
      <c r="F72" s="353" t="s">
        <v>16</v>
      </c>
      <c r="G72" s="11">
        <v>80.52</v>
      </c>
      <c r="H72" s="353" t="s">
        <v>196</v>
      </c>
      <c r="I72" s="353" t="s">
        <v>197</v>
      </c>
      <c r="J72" s="57"/>
      <c r="K72" s="11"/>
      <c r="L72" s="353" t="s">
        <v>207</v>
      </c>
    </row>
    <row r="73" spans="1:12" hidden="1">
      <c r="A73" s="353" t="s">
        <v>13</v>
      </c>
      <c r="B73" s="7" t="s">
        <v>193</v>
      </c>
      <c r="C73" s="103" t="s">
        <v>208</v>
      </c>
      <c r="D73" s="57">
        <v>45937</v>
      </c>
      <c r="E73" s="57">
        <v>45933</v>
      </c>
      <c r="F73" s="353" t="s">
        <v>16</v>
      </c>
      <c r="G73" s="11">
        <v>80.52</v>
      </c>
      <c r="H73" s="353" t="s">
        <v>196</v>
      </c>
      <c r="I73" s="353" t="s">
        <v>197</v>
      </c>
      <c r="J73" s="57">
        <v>45933</v>
      </c>
      <c r="K73" s="11">
        <v>80.52</v>
      </c>
      <c r="L73" s="353" t="s">
        <v>210</v>
      </c>
    </row>
    <row r="74" spans="1:12" hidden="1">
      <c r="A74" s="353" t="s">
        <v>13</v>
      </c>
      <c r="B74" s="7" t="s">
        <v>193</v>
      </c>
      <c r="C74" s="103" t="s">
        <v>4096</v>
      </c>
      <c r="D74" s="57">
        <v>46031</v>
      </c>
      <c r="E74" s="57">
        <v>46031</v>
      </c>
      <c r="F74" s="353" t="s">
        <v>16</v>
      </c>
      <c r="G74" s="11">
        <v>80.52</v>
      </c>
      <c r="H74" s="353" t="s">
        <v>196</v>
      </c>
      <c r="I74" s="353" t="s">
        <v>4139</v>
      </c>
      <c r="J74" s="57">
        <v>46031</v>
      </c>
      <c r="K74" s="11">
        <v>80.52</v>
      </c>
      <c r="L74" s="353" t="s">
        <v>210</v>
      </c>
    </row>
    <row r="75" spans="1:12" hidden="1">
      <c r="A75" s="353" t="s">
        <v>13</v>
      </c>
      <c r="B75" s="7" t="s">
        <v>211</v>
      </c>
      <c r="C75" s="103" t="s">
        <v>212</v>
      </c>
      <c r="D75" s="57">
        <v>45873</v>
      </c>
      <c r="E75" s="57">
        <v>45873</v>
      </c>
      <c r="F75" s="353" t="s">
        <v>16</v>
      </c>
      <c r="G75" s="11">
        <v>218.16</v>
      </c>
      <c r="H75" s="353" t="s">
        <v>214</v>
      </c>
      <c r="I75" s="353" t="s">
        <v>215</v>
      </c>
      <c r="J75" s="57"/>
      <c r="K75" s="11"/>
      <c r="L75" s="353"/>
    </row>
    <row r="76" spans="1:12" hidden="1">
      <c r="A76" s="353" t="s">
        <v>13</v>
      </c>
      <c r="B76" s="7" t="s">
        <v>216</v>
      </c>
      <c r="C76" s="103" t="s">
        <v>217</v>
      </c>
      <c r="D76" s="57">
        <v>45995</v>
      </c>
      <c r="E76" s="57">
        <v>45995</v>
      </c>
      <c r="F76" s="353" t="s">
        <v>16</v>
      </c>
      <c r="G76" s="11">
        <v>51.2</v>
      </c>
      <c r="H76" s="353" t="s">
        <v>218</v>
      </c>
      <c r="I76" s="353" t="s">
        <v>219</v>
      </c>
      <c r="J76" s="57">
        <v>45995</v>
      </c>
      <c r="K76" s="11">
        <v>51.2</v>
      </c>
      <c r="L76" s="353" t="s">
        <v>219</v>
      </c>
    </row>
    <row r="77" spans="1:12" hidden="1">
      <c r="A77" s="353" t="s">
        <v>13</v>
      </c>
      <c r="B77" s="7" t="s">
        <v>216</v>
      </c>
      <c r="C77" s="103" t="s">
        <v>4140</v>
      </c>
      <c r="D77" s="57">
        <v>46034</v>
      </c>
      <c r="E77" s="57">
        <v>46034</v>
      </c>
      <c r="F77" s="353" t="s">
        <v>16</v>
      </c>
      <c r="G77" s="11">
        <v>102.46</v>
      </c>
      <c r="H77" s="353" t="s">
        <v>373</v>
      </c>
      <c r="I77" s="353" t="s">
        <v>47</v>
      </c>
      <c r="J77" s="57">
        <v>46034</v>
      </c>
      <c r="K77" s="11">
        <v>102.46</v>
      </c>
      <c r="L77" s="353" t="s">
        <v>47</v>
      </c>
    </row>
    <row r="78" spans="1:12" hidden="1">
      <c r="A78" s="353" t="s">
        <v>13</v>
      </c>
      <c r="B78" s="7" t="s">
        <v>220</v>
      </c>
      <c r="C78" s="103" t="s">
        <v>221</v>
      </c>
      <c r="D78" s="57">
        <v>45688</v>
      </c>
      <c r="E78" s="57">
        <v>45688</v>
      </c>
      <c r="F78" s="353" t="s">
        <v>16</v>
      </c>
      <c r="G78" s="11">
        <v>0.61</v>
      </c>
      <c r="H78" s="353" t="s">
        <v>196</v>
      </c>
      <c r="I78" s="353" t="s">
        <v>223</v>
      </c>
      <c r="J78" s="57">
        <v>45688</v>
      </c>
      <c r="K78" s="11">
        <v>0.61</v>
      </c>
      <c r="L78" s="353" t="s">
        <v>19</v>
      </c>
    </row>
    <row r="79" spans="1:12" hidden="1">
      <c r="A79" s="353" t="s">
        <v>13</v>
      </c>
      <c r="B79" s="7" t="s">
        <v>220</v>
      </c>
      <c r="C79" s="103" t="s">
        <v>224</v>
      </c>
      <c r="D79" s="57">
        <v>45716</v>
      </c>
      <c r="E79" s="57">
        <v>45716</v>
      </c>
      <c r="F79" s="353" t="s">
        <v>16</v>
      </c>
      <c r="G79" s="11">
        <v>0.61</v>
      </c>
      <c r="H79" s="353" t="s">
        <v>196</v>
      </c>
      <c r="I79" s="353" t="s">
        <v>223</v>
      </c>
      <c r="J79" s="57">
        <v>45716</v>
      </c>
      <c r="K79" s="11">
        <v>0.61</v>
      </c>
      <c r="L79" s="353" t="s">
        <v>19</v>
      </c>
    </row>
    <row r="80" spans="1:12" hidden="1">
      <c r="A80" s="353" t="s">
        <v>13</v>
      </c>
      <c r="B80" s="7" t="s">
        <v>220</v>
      </c>
      <c r="C80" s="103" t="s">
        <v>226</v>
      </c>
      <c r="D80" s="57">
        <v>45777</v>
      </c>
      <c r="E80" s="57">
        <v>45777</v>
      </c>
      <c r="F80" s="353" t="s">
        <v>16</v>
      </c>
      <c r="G80" s="11">
        <v>0.61</v>
      </c>
      <c r="H80" s="353" t="s">
        <v>196</v>
      </c>
      <c r="I80" s="353" t="s">
        <v>223</v>
      </c>
      <c r="J80" s="57">
        <v>45777</v>
      </c>
      <c r="K80" s="11">
        <v>0.61</v>
      </c>
      <c r="L80" s="353" t="s">
        <v>19</v>
      </c>
    </row>
    <row r="81" spans="1:12" hidden="1">
      <c r="A81" s="353" t="s">
        <v>13</v>
      </c>
      <c r="B81" s="7" t="s">
        <v>220</v>
      </c>
      <c r="C81" s="103" t="s">
        <v>228</v>
      </c>
      <c r="D81" s="57">
        <v>45807</v>
      </c>
      <c r="E81" s="57">
        <v>45807</v>
      </c>
      <c r="F81" s="353" t="s">
        <v>16</v>
      </c>
      <c r="G81" s="11">
        <v>0.61</v>
      </c>
      <c r="H81" s="353" t="s">
        <v>196</v>
      </c>
      <c r="I81" s="353" t="s">
        <v>223</v>
      </c>
      <c r="J81" s="57">
        <v>45807</v>
      </c>
      <c r="K81" s="11">
        <v>0.61</v>
      </c>
      <c r="L81" s="353" t="s">
        <v>19</v>
      </c>
    </row>
    <row r="82" spans="1:12" hidden="1">
      <c r="A82" s="353" t="s">
        <v>13</v>
      </c>
      <c r="B82" s="7" t="s">
        <v>220</v>
      </c>
      <c r="C82" s="103" t="s">
        <v>230</v>
      </c>
      <c r="D82" s="57">
        <v>45838</v>
      </c>
      <c r="E82" s="57">
        <v>45838</v>
      </c>
      <c r="F82" s="353" t="s">
        <v>16</v>
      </c>
      <c r="G82" s="11">
        <v>0.61</v>
      </c>
      <c r="H82" s="353" t="s">
        <v>196</v>
      </c>
      <c r="I82" s="353" t="s">
        <v>223</v>
      </c>
      <c r="J82" s="57">
        <v>45838</v>
      </c>
      <c r="K82" s="11">
        <v>0.61</v>
      </c>
      <c r="L82" s="353" t="s">
        <v>19</v>
      </c>
    </row>
    <row r="83" spans="1:12" hidden="1">
      <c r="A83" s="353" t="s">
        <v>13</v>
      </c>
      <c r="B83" s="7" t="s">
        <v>220</v>
      </c>
      <c r="C83" s="103" t="s">
        <v>232</v>
      </c>
      <c r="D83" s="57">
        <v>45869</v>
      </c>
      <c r="E83" s="57">
        <v>45869</v>
      </c>
      <c r="F83" s="353" t="s">
        <v>16</v>
      </c>
      <c r="G83" s="11">
        <v>0.61</v>
      </c>
      <c r="H83" s="353" t="s">
        <v>196</v>
      </c>
      <c r="I83" s="353" t="s">
        <v>223</v>
      </c>
      <c r="J83" s="57">
        <v>45869</v>
      </c>
      <c r="K83" s="11">
        <v>0.61</v>
      </c>
      <c r="L83" s="353" t="s">
        <v>19</v>
      </c>
    </row>
    <row r="84" spans="1:12" hidden="1">
      <c r="A84" s="353" t="s">
        <v>13</v>
      </c>
      <c r="B84" s="7" t="s">
        <v>220</v>
      </c>
      <c r="C84" s="103" t="s">
        <v>234</v>
      </c>
      <c r="D84" s="57">
        <v>45898</v>
      </c>
      <c r="E84" s="57">
        <v>45898</v>
      </c>
      <c r="F84" s="353" t="s">
        <v>16</v>
      </c>
      <c r="G84" s="11">
        <v>0.61</v>
      </c>
      <c r="H84" s="353" t="s">
        <v>196</v>
      </c>
      <c r="I84" s="353" t="s">
        <v>223</v>
      </c>
      <c r="J84" s="57">
        <v>45898</v>
      </c>
      <c r="K84" s="11">
        <v>0.61</v>
      </c>
      <c r="L84" s="353" t="s">
        <v>19</v>
      </c>
    </row>
    <row r="85" spans="1:12" hidden="1">
      <c r="A85" s="353" t="s">
        <v>13</v>
      </c>
      <c r="B85" s="7" t="s">
        <v>220</v>
      </c>
      <c r="C85" s="103" t="s">
        <v>236</v>
      </c>
      <c r="D85" s="57">
        <v>45930</v>
      </c>
      <c r="E85" s="57">
        <v>45930</v>
      </c>
      <c r="F85" s="353" t="s">
        <v>16</v>
      </c>
      <c r="G85" s="11">
        <v>0.61</v>
      </c>
      <c r="H85" s="353" t="s">
        <v>196</v>
      </c>
      <c r="I85" s="353" t="s">
        <v>223</v>
      </c>
      <c r="J85" s="57">
        <v>45930</v>
      </c>
      <c r="K85" s="11">
        <v>0.61</v>
      </c>
      <c r="L85" s="353" t="s">
        <v>19</v>
      </c>
    </row>
    <row r="86" spans="1:12" hidden="1">
      <c r="A86" s="353" t="s">
        <v>13</v>
      </c>
      <c r="B86" s="7" t="s">
        <v>220</v>
      </c>
      <c r="C86" s="103" t="s">
        <v>238</v>
      </c>
      <c r="D86" s="57">
        <v>45961</v>
      </c>
      <c r="E86" s="57">
        <v>45961</v>
      </c>
      <c r="F86" s="353" t="s">
        <v>16</v>
      </c>
      <c r="G86" s="11">
        <v>0.61</v>
      </c>
      <c r="H86" s="353" t="s">
        <v>196</v>
      </c>
      <c r="I86" s="353" t="s">
        <v>223</v>
      </c>
      <c r="J86" s="57">
        <v>45961</v>
      </c>
      <c r="K86" s="11">
        <v>0.61</v>
      </c>
      <c r="L86" s="353" t="s">
        <v>19</v>
      </c>
    </row>
    <row r="87" spans="1:12" hidden="1">
      <c r="A87" s="353" t="s">
        <v>13</v>
      </c>
      <c r="B87" s="7" t="s">
        <v>220</v>
      </c>
      <c r="C87" s="103" t="s">
        <v>239</v>
      </c>
      <c r="D87" s="57">
        <v>45989</v>
      </c>
      <c r="E87" s="57">
        <v>45989</v>
      </c>
      <c r="F87" s="353" t="s">
        <v>16</v>
      </c>
      <c r="G87" s="11">
        <v>0.61</v>
      </c>
      <c r="H87" s="353" t="s">
        <v>196</v>
      </c>
      <c r="I87" s="353" t="s">
        <v>223</v>
      </c>
      <c r="J87" s="57">
        <v>45989</v>
      </c>
      <c r="K87" s="11">
        <v>0.61</v>
      </c>
      <c r="L87" s="353" t="s">
        <v>19</v>
      </c>
    </row>
    <row r="88" spans="1:12" hidden="1">
      <c r="A88" s="353" t="s">
        <v>13</v>
      </c>
      <c r="B88" s="7" t="s">
        <v>220</v>
      </c>
      <c r="C88" s="103" t="s">
        <v>3360</v>
      </c>
      <c r="D88" s="57">
        <v>46022</v>
      </c>
      <c r="E88" s="57">
        <v>46022</v>
      </c>
      <c r="F88" s="353" t="s">
        <v>16</v>
      </c>
      <c r="G88" s="11">
        <v>0.61</v>
      </c>
      <c r="H88" s="353" t="s">
        <v>196</v>
      </c>
      <c r="I88" s="353" t="s">
        <v>223</v>
      </c>
      <c r="J88" s="57">
        <v>46022</v>
      </c>
      <c r="K88" s="11">
        <v>0.61</v>
      </c>
      <c r="L88" s="353" t="s">
        <v>19</v>
      </c>
    </row>
    <row r="89" spans="1:12" hidden="1">
      <c r="A89" s="353" t="s">
        <v>13</v>
      </c>
      <c r="B89" s="7" t="s">
        <v>220</v>
      </c>
      <c r="C89" s="103" t="s">
        <v>4266</v>
      </c>
      <c r="D89" s="57">
        <v>46052</v>
      </c>
      <c r="E89" s="57">
        <v>46052</v>
      </c>
      <c r="F89" s="353" t="s">
        <v>16</v>
      </c>
      <c r="G89" s="11">
        <v>0.61</v>
      </c>
      <c r="H89" s="353" t="s">
        <v>196</v>
      </c>
      <c r="I89" s="353" t="s">
        <v>223</v>
      </c>
      <c r="J89" s="57">
        <v>46052</v>
      </c>
      <c r="K89" s="11">
        <v>0.61</v>
      </c>
      <c r="L89" s="353" t="s">
        <v>19</v>
      </c>
    </row>
    <row r="90" spans="1:12" hidden="1">
      <c r="A90" s="353" t="s">
        <v>13</v>
      </c>
      <c r="B90" s="7" t="s">
        <v>220</v>
      </c>
      <c r="C90" s="103" t="s">
        <v>4333</v>
      </c>
      <c r="D90" s="57">
        <v>46080</v>
      </c>
      <c r="E90" s="57">
        <v>46080</v>
      </c>
      <c r="F90" s="353" t="s">
        <v>16</v>
      </c>
      <c r="G90" s="11">
        <v>0.61</v>
      </c>
      <c r="H90" s="353" t="s">
        <v>196</v>
      </c>
      <c r="I90" s="353" t="s">
        <v>223</v>
      </c>
      <c r="J90" s="57">
        <v>46080</v>
      </c>
      <c r="K90" s="11">
        <v>0.61</v>
      </c>
      <c r="L90" s="353" t="s">
        <v>19</v>
      </c>
    </row>
    <row r="91" spans="1:12" hidden="1">
      <c r="A91" s="353" t="s">
        <v>13</v>
      </c>
      <c r="B91" s="7" t="s">
        <v>240</v>
      </c>
      <c r="C91" s="103" t="s">
        <v>3194</v>
      </c>
      <c r="D91" s="57">
        <v>45155</v>
      </c>
      <c r="E91" s="57">
        <v>45240</v>
      </c>
      <c r="F91" s="353"/>
      <c r="G91" s="11">
        <v>1869.64</v>
      </c>
      <c r="H91" s="353" t="s">
        <v>243</v>
      </c>
      <c r="I91" s="353" t="s">
        <v>56</v>
      </c>
      <c r="J91" s="57"/>
      <c r="K91" s="11"/>
      <c r="L91" s="353"/>
    </row>
    <row r="92" spans="1:12" hidden="1">
      <c r="A92" s="353" t="s">
        <v>13</v>
      </c>
      <c r="B92" s="7" t="s">
        <v>240</v>
      </c>
      <c r="C92" s="103" t="s">
        <v>3194</v>
      </c>
      <c r="D92" s="57">
        <v>45155</v>
      </c>
      <c r="F92" s="353" t="s">
        <v>16</v>
      </c>
      <c r="G92" s="11">
        <v>720</v>
      </c>
      <c r="H92" s="353" t="s">
        <v>243</v>
      </c>
      <c r="I92" s="353" t="s">
        <v>185</v>
      </c>
      <c r="J92" s="57"/>
      <c r="K92" s="11"/>
      <c r="L92" s="353"/>
    </row>
    <row r="93" spans="1:12" hidden="1">
      <c r="A93" s="353" t="s">
        <v>13</v>
      </c>
      <c r="B93" s="7" t="s">
        <v>240</v>
      </c>
      <c r="C93" s="103" t="s">
        <v>244</v>
      </c>
      <c r="D93" s="57">
        <v>45946</v>
      </c>
      <c r="E93" s="57">
        <v>45946</v>
      </c>
      <c r="F93" s="353" t="s">
        <v>16</v>
      </c>
      <c r="G93" s="11">
        <v>859.92</v>
      </c>
      <c r="H93" s="353" t="s">
        <v>245</v>
      </c>
      <c r="I93" s="353" t="s">
        <v>56</v>
      </c>
      <c r="J93" s="57">
        <v>45945</v>
      </c>
      <c r="K93" s="11">
        <v>859.92</v>
      </c>
      <c r="L93" s="353" t="s">
        <v>246</v>
      </c>
    </row>
    <row r="94" spans="1:12" hidden="1">
      <c r="A94" s="353" t="s">
        <v>13</v>
      </c>
      <c r="B94" s="7" t="s">
        <v>240</v>
      </c>
      <c r="C94" s="103" t="s">
        <v>244</v>
      </c>
      <c r="D94" s="57">
        <v>45946</v>
      </c>
      <c r="E94" s="57">
        <v>45977</v>
      </c>
      <c r="F94" s="353"/>
      <c r="G94" s="11">
        <v>160</v>
      </c>
      <c r="H94" s="353" t="s">
        <v>245</v>
      </c>
      <c r="I94" s="353" t="s">
        <v>185</v>
      </c>
      <c r="J94" s="57">
        <v>45977</v>
      </c>
      <c r="K94" s="11">
        <v>160</v>
      </c>
      <c r="L94" s="353"/>
    </row>
    <row r="95" spans="1:12" hidden="1">
      <c r="A95" s="353" t="s">
        <v>13</v>
      </c>
      <c r="B95" s="7" t="s">
        <v>240</v>
      </c>
      <c r="C95" s="103" t="s">
        <v>247</v>
      </c>
      <c r="D95" s="57">
        <v>45946</v>
      </c>
      <c r="E95" s="57">
        <v>45946</v>
      </c>
      <c r="F95" s="353" t="s">
        <v>16</v>
      </c>
      <c r="G95" s="11">
        <v>1140.08</v>
      </c>
      <c r="H95" s="353" t="s">
        <v>248</v>
      </c>
      <c r="I95" s="353" t="s">
        <v>56</v>
      </c>
      <c r="J95" s="57">
        <v>45945</v>
      </c>
      <c r="K95" s="11">
        <v>1140.08</v>
      </c>
      <c r="L95" s="353" t="s">
        <v>246</v>
      </c>
    </row>
    <row r="96" spans="1:12" hidden="1">
      <c r="A96" s="353" t="s">
        <v>13</v>
      </c>
      <c r="B96" s="7" t="s">
        <v>240</v>
      </c>
      <c r="C96" s="103" t="s">
        <v>247</v>
      </c>
      <c r="D96" s="57">
        <v>45946</v>
      </c>
      <c r="E96" s="57">
        <v>45977</v>
      </c>
      <c r="F96" s="353"/>
      <c r="G96" s="11">
        <v>212.13</v>
      </c>
      <c r="H96" s="353" t="s">
        <v>248</v>
      </c>
      <c r="I96" s="353" t="s">
        <v>185</v>
      </c>
      <c r="J96" s="57">
        <v>45977</v>
      </c>
      <c r="K96" s="11">
        <v>212.13</v>
      </c>
      <c r="L96" s="353"/>
    </row>
    <row r="97" spans="1:12" hidden="1">
      <c r="A97" s="353" t="s">
        <v>13</v>
      </c>
      <c r="B97" s="7" t="s">
        <v>240</v>
      </c>
      <c r="C97" s="103" t="s">
        <v>249</v>
      </c>
      <c r="D97" s="57">
        <v>45964</v>
      </c>
      <c r="E97" s="57">
        <v>45960</v>
      </c>
      <c r="F97" s="353" t="s">
        <v>16</v>
      </c>
      <c r="G97" s="11">
        <v>2000</v>
      </c>
      <c r="H97" s="353" t="s">
        <v>250</v>
      </c>
      <c r="I97" s="353" t="s">
        <v>56</v>
      </c>
      <c r="J97" s="57">
        <v>45960</v>
      </c>
      <c r="K97" s="11">
        <v>2000</v>
      </c>
      <c r="L97" s="353" t="s">
        <v>246</v>
      </c>
    </row>
    <row r="98" spans="1:12" hidden="1">
      <c r="A98" s="353" t="s">
        <v>13</v>
      </c>
      <c r="B98" s="7" t="s">
        <v>240</v>
      </c>
      <c r="C98" s="103" t="s">
        <v>249</v>
      </c>
      <c r="D98" s="57">
        <v>45660</v>
      </c>
      <c r="E98" s="57">
        <v>45977</v>
      </c>
      <c r="F98" s="353"/>
      <c r="G98" s="11">
        <v>372.13</v>
      </c>
      <c r="H98" s="353" t="s">
        <v>250</v>
      </c>
      <c r="I98" s="353" t="s">
        <v>185</v>
      </c>
      <c r="J98" s="57">
        <v>45977</v>
      </c>
      <c r="K98" s="11">
        <v>372.13</v>
      </c>
      <c r="L98" s="353"/>
    </row>
    <row r="99" spans="1:12" hidden="1">
      <c r="A99" s="353" t="s">
        <v>13</v>
      </c>
      <c r="B99" s="7" t="s">
        <v>251</v>
      </c>
      <c r="C99" s="103" t="s">
        <v>3195</v>
      </c>
      <c r="D99" s="57">
        <v>45192</v>
      </c>
      <c r="F99" s="353" t="s">
        <v>16</v>
      </c>
      <c r="G99" s="11">
        <v>693.68</v>
      </c>
      <c r="H99" s="353" t="s">
        <v>253</v>
      </c>
      <c r="I99" s="353" t="s">
        <v>185</v>
      </c>
      <c r="J99" s="57"/>
      <c r="K99" s="11"/>
      <c r="L99" s="353"/>
    </row>
    <row r="100" spans="1:12" hidden="1">
      <c r="A100" s="353"/>
      <c r="B100" s="7" t="s">
        <v>251</v>
      </c>
      <c r="C100" s="103" t="s">
        <v>310</v>
      </c>
      <c r="D100" s="57">
        <v>46038</v>
      </c>
      <c r="E100" s="57">
        <v>46038</v>
      </c>
      <c r="F100" s="353"/>
      <c r="G100" s="11">
        <v>5955.05</v>
      </c>
      <c r="H100" s="353" t="s">
        <v>4267</v>
      </c>
      <c r="I100" s="353" t="s">
        <v>83</v>
      </c>
      <c r="J100" s="57"/>
      <c r="K100" s="11">
        <v>5955.05</v>
      </c>
      <c r="L100" s="353"/>
    </row>
    <row r="101" spans="1:12" hidden="1">
      <c r="A101" s="353"/>
      <c r="B101" s="7" t="s">
        <v>251</v>
      </c>
      <c r="C101" s="103" t="s">
        <v>310</v>
      </c>
      <c r="D101" s="57">
        <v>46038</v>
      </c>
      <c r="F101" s="353"/>
      <c r="G101" s="11">
        <v>906.29</v>
      </c>
      <c r="H101" s="353" t="s">
        <v>4267</v>
      </c>
      <c r="I101" s="353" t="s">
        <v>185</v>
      </c>
      <c r="J101" s="57"/>
      <c r="K101" s="11">
        <v>906.29</v>
      </c>
      <c r="L101" s="353"/>
    </row>
    <row r="102" spans="1:12" hidden="1">
      <c r="A102" s="353" t="s">
        <v>13</v>
      </c>
      <c r="B102" s="7" t="s">
        <v>254</v>
      </c>
      <c r="C102" s="103" t="s">
        <v>3197</v>
      </c>
      <c r="D102" s="57">
        <v>45226</v>
      </c>
      <c r="E102" s="57">
        <v>45240</v>
      </c>
      <c r="F102" s="353" t="s">
        <v>16</v>
      </c>
      <c r="G102" s="11">
        <v>2000</v>
      </c>
      <c r="H102" s="353" t="s">
        <v>257</v>
      </c>
      <c r="I102" s="353" t="s">
        <v>56</v>
      </c>
      <c r="J102" s="57">
        <v>45945</v>
      </c>
      <c r="K102" s="11">
        <v>2000</v>
      </c>
      <c r="L102" s="353"/>
    </row>
    <row r="103" spans="1:12" hidden="1">
      <c r="A103" s="353" t="s">
        <v>13</v>
      </c>
      <c r="B103" s="7" t="s">
        <v>254</v>
      </c>
      <c r="C103" s="103" t="s">
        <v>3197</v>
      </c>
      <c r="D103" s="57">
        <v>45226</v>
      </c>
      <c r="E103" s="57">
        <v>45240</v>
      </c>
      <c r="F103" s="353" t="s">
        <v>16</v>
      </c>
      <c r="G103" s="11">
        <v>299.58999999999997</v>
      </c>
      <c r="H103" s="353" t="s">
        <v>257</v>
      </c>
      <c r="I103" s="353" t="s">
        <v>56</v>
      </c>
      <c r="J103" s="57"/>
      <c r="K103" s="11"/>
      <c r="L103" s="353"/>
    </row>
    <row r="104" spans="1:12" hidden="1">
      <c r="A104" s="353" t="s">
        <v>13</v>
      </c>
      <c r="B104" s="7" t="s">
        <v>251</v>
      </c>
      <c r="C104" s="103" t="s">
        <v>3197</v>
      </c>
      <c r="D104" s="57">
        <v>45226</v>
      </c>
      <c r="F104" s="353" t="s">
        <v>16</v>
      </c>
      <c r="G104" s="11">
        <v>380.19</v>
      </c>
      <c r="H104" s="353" t="s">
        <v>257</v>
      </c>
      <c r="I104" s="353" t="s">
        <v>185</v>
      </c>
      <c r="J104" s="57"/>
      <c r="K104" s="11"/>
      <c r="L104" s="353"/>
    </row>
    <row r="105" spans="1:12" hidden="1">
      <c r="A105" s="353" t="s">
        <v>13</v>
      </c>
      <c r="B105" s="7" t="s">
        <v>254</v>
      </c>
      <c r="C105" s="103" t="s">
        <v>3198</v>
      </c>
      <c r="D105" s="57">
        <v>45236</v>
      </c>
      <c r="E105" s="57">
        <v>45270</v>
      </c>
      <c r="F105" s="353" t="s">
        <v>16</v>
      </c>
      <c r="G105" s="11">
        <v>1723.02</v>
      </c>
      <c r="H105" s="353" t="s">
        <v>257</v>
      </c>
      <c r="I105" s="353" t="s">
        <v>56</v>
      </c>
      <c r="J105" s="57"/>
      <c r="K105" s="11"/>
      <c r="L105" s="353"/>
    </row>
    <row r="106" spans="1:12" hidden="1">
      <c r="A106" s="353" t="s">
        <v>13</v>
      </c>
      <c r="B106" s="7" t="s">
        <v>251</v>
      </c>
      <c r="C106" s="103" t="s">
        <v>3198</v>
      </c>
      <c r="D106" s="57">
        <v>45236</v>
      </c>
      <c r="F106" s="353" t="s">
        <v>16</v>
      </c>
      <c r="G106" s="11">
        <v>230</v>
      </c>
      <c r="H106" s="353" t="s">
        <v>257</v>
      </c>
      <c r="I106" s="353" t="s">
        <v>185</v>
      </c>
      <c r="J106" s="57"/>
      <c r="K106" s="11"/>
      <c r="L106" s="353"/>
    </row>
    <row r="107" spans="1:12" hidden="1">
      <c r="A107" s="353" t="s">
        <v>13</v>
      </c>
      <c r="B107" s="7" t="s">
        <v>254</v>
      </c>
      <c r="C107" s="103" t="s">
        <v>3199</v>
      </c>
      <c r="D107" s="57">
        <v>45250</v>
      </c>
      <c r="E107" s="57">
        <v>45270</v>
      </c>
      <c r="F107" s="353" t="s">
        <v>16</v>
      </c>
      <c r="G107" s="11">
        <v>1519.91</v>
      </c>
      <c r="H107" s="353" t="s">
        <v>257</v>
      </c>
      <c r="I107" s="353" t="s">
        <v>56</v>
      </c>
      <c r="J107" s="57"/>
      <c r="K107" s="11"/>
      <c r="L107" s="353"/>
    </row>
    <row r="108" spans="1:12" hidden="1">
      <c r="A108" s="353" t="s">
        <v>13</v>
      </c>
      <c r="B108" s="7" t="s">
        <v>251</v>
      </c>
      <c r="C108" s="103" t="s">
        <v>3199</v>
      </c>
      <c r="D108" s="57">
        <v>45250</v>
      </c>
      <c r="F108" s="353" t="s">
        <v>16</v>
      </c>
      <c r="G108" s="11">
        <v>184</v>
      </c>
      <c r="H108" s="353" t="s">
        <v>257</v>
      </c>
      <c r="I108" s="353" t="s">
        <v>185</v>
      </c>
      <c r="J108" s="57"/>
      <c r="K108" s="11"/>
      <c r="L108" s="353"/>
    </row>
    <row r="109" spans="1:12" hidden="1">
      <c r="A109" s="353" t="s">
        <v>13</v>
      </c>
      <c r="B109" s="7" t="s">
        <v>254</v>
      </c>
      <c r="C109" s="103" t="s">
        <v>3200</v>
      </c>
      <c r="D109" s="57">
        <v>45260</v>
      </c>
      <c r="E109" s="57">
        <v>45301</v>
      </c>
      <c r="F109" s="353" t="s">
        <v>16</v>
      </c>
      <c r="G109" s="11">
        <v>1822.6</v>
      </c>
      <c r="H109" s="353" t="s">
        <v>257</v>
      </c>
      <c r="I109" s="353" t="s">
        <v>56</v>
      </c>
      <c r="J109" s="57"/>
      <c r="K109" s="11"/>
      <c r="L109" s="353"/>
    </row>
    <row r="110" spans="1:12" hidden="1">
      <c r="A110" s="353" t="s">
        <v>13</v>
      </c>
      <c r="B110" s="7" t="s">
        <v>251</v>
      </c>
      <c r="C110" s="103" t="s">
        <v>3200</v>
      </c>
      <c r="D110" s="57">
        <v>45260</v>
      </c>
      <c r="F110" s="353" t="s">
        <v>16</v>
      </c>
      <c r="G110" s="11">
        <v>227.3</v>
      </c>
      <c r="H110" s="353" t="s">
        <v>257</v>
      </c>
      <c r="I110" s="353" t="s">
        <v>185</v>
      </c>
      <c r="J110" s="57"/>
      <c r="K110" s="11"/>
      <c r="L110" s="353"/>
    </row>
    <row r="111" spans="1:12" hidden="1">
      <c r="A111" s="353" t="s">
        <v>13</v>
      </c>
      <c r="B111" s="7" t="s">
        <v>251</v>
      </c>
      <c r="C111" s="103" t="s">
        <v>264</v>
      </c>
      <c r="D111" s="57">
        <v>45566</v>
      </c>
      <c r="E111" s="57">
        <v>45673</v>
      </c>
      <c r="F111" s="353" t="s">
        <v>16</v>
      </c>
      <c r="G111" s="11">
        <v>262.19</v>
      </c>
      <c r="H111" s="353"/>
      <c r="I111" s="353" t="s">
        <v>185</v>
      </c>
      <c r="J111" s="57"/>
      <c r="K111" s="11"/>
      <c r="L111" s="353"/>
    </row>
    <row r="112" spans="1:12" hidden="1">
      <c r="A112" s="353" t="s">
        <v>13</v>
      </c>
      <c r="B112" s="7" t="s">
        <v>251</v>
      </c>
      <c r="C112" s="103" t="s">
        <v>265</v>
      </c>
      <c r="D112" s="57">
        <v>45740</v>
      </c>
      <c r="E112" s="57">
        <v>45740</v>
      </c>
      <c r="F112" s="353" t="s">
        <v>16</v>
      </c>
      <c r="G112" s="11">
        <v>1282.19</v>
      </c>
      <c r="H112" s="353" t="s">
        <v>267</v>
      </c>
      <c r="I112" s="353" t="s">
        <v>56</v>
      </c>
      <c r="J112" s="57"/>
      <c r="K112" s="11"/>
      <c r="L112" s="353"/>
    </row>
    <row r="113" spans="1:12" hidden="1">
      <c r="A113" s="353" t="s">
        <v>13</v>
      </c>
      <c r="B113" s="7" t="s">
        <v>251</v>
      </c>
      <c r="C113" s="103" t="s">
        <v>265</v>
      </c>
      <c r="D113" s="57">
        <v>45740</v>
      </c>
      <c r="E113" s="57">
        <v>45763</v>
      </c>
      <c r="F113" s="353" t="s">
        <v>16</v>
      </c>
      <c r="G113" s="11">
        <v>197.8</v>
      </c>
      <c r="H113" s="353"/>
      <c r="I113" s="353" t="s">
        <v>185</v>
      </c>
      <c r="J113" s="57"/>
      <c r="K113" s="11"/>
      <c r="L113" s="353"/>
    </row>
    <row r="114" spans="1:12" hidden="1">
      <c r="A114" s="353" t="s">
        <v>4141</v>
      </c>
      <c r="B114" s="7" t="s">
        <v>251</v>
      </c>
      <c r="F114" s="353" t="s">
        <v>16</v>
      </c>
      <c r="G114" s="11">
        <v>5955.05</v>
      </c>
      <c r="H114" s="353" t="s">
        <v>3362</v>
      </c>
      <c r="I114" s="353" t="s">
        <v>83</v>
      </c>
      <c r="J114" s="57">
        <v>46037</v>
      </c>
      <c r="K114" s="11">
        <v>5955.05</v>
      </c>
      <c r="L114" s="353" t="s">
        <v>313</v>
      </c>
    </row>
    <row r="115" spans="1:12" hidden="1">
      <c r="A115" s="353" t="s">
        <v>3361</v>
      </c>
      <c r="B115" s="7" t="s">
        <v>251</v>
      </c>
      <c r="F115" s="353"/>
      <c r="G115" s="11">
        <v>5001.26</v>
      </c>
      <c r="H115" s="353" t="s">
        <v>3363</v>
      </c>
      <c r="I115" s="353" t="s">
        <v>83</v>
      </c>
      <c r="J115" s="57"/>
      <c r="K115" s="11"/>
      <c r="L115" s="353"/>
    </row>
    <row r="116" spans="1:12" hidden="1">
      <c r="A116" s="353" t="s">
        <v>3361</v>
      </c>
      <c r="B116" s="7" t="s">
        <v>251</v>
      </c>
      <c r="F116" s="353"/>
      <c r="G116" s="11">
        <v>7362.68</v>
      </c>
      <c r="H116" s="353" t="s">
        <v>3364</v>
      </c>
      <c r="I116" s="353" t="s">
        <v>83</v>
      </c>
      <c r="J116" s="57"/>
      <c r="K116" s="11"/>
      <c r="L116" s="353"/>
    </row>
    <row r="117" spans="1:12" hidden="1">
      <c r="A117" s="353" t="s">
        <v>90</v>
      </c>
      <c r="B117" s="7" t="s">
        <v>268</v>
      </c>
      <c r="C117" s="103" t="s">
        <v>269</v>
      </c>
      <c r="D117" s="57">
        <v>45473</v>
      </c>
      <c r="E117" s="57">
        <v>45514</v>
      </c>
      <c r="F117" s="353"/>
      <c r="G117" s="11">
        <v>643.05999999999995</v>
      </c>
      <c r="H117" s="353" t="s">
        <v>271</v>
      </c>
      <c r="I117" s="353" t="s">
        <v>56</v>
      </c>
      <c r="J117" s="57"/>
      <c r="K117" s="11"/>
      <c r="L117" s="353"/>
    </row>
    <row r="118" spans="1:12" hidden="1">
      <c r="A118" s="353" t="s">
        <v>90</v>
      </c>
      <c r="B118" s="7" t="s">
        <v>268</v>
      </c>
      <c r="C118" s="103" t="s">
        <v>272</v>
      </c>
      <c r="D118" s="57">
        <v>45504</v>
      </c>
      <c r="E118" s="57">
        <v>45545</v>
      </c>
      <c r="F118" s="353"/>
      <c r="G118" s="11">
        <v>1381.35</v>
      </c>
      <c r="H118" s="353" t="s">
        <v>274</v>
      </c>
      <c r="I118" s="353" t="s">
        <v>56</v>
      </c>
      <c r="J118" s="57"/>
      <c r="K118" s="11"/>
      <c r="L118" s="353"/>
    </row>
    <row r="119" spans="1:12" hidden="1">
      <c r="A119" s="353" t="s">
        <v>275</v>
      </c>
      <c r="B119" s="7" t="s">
        <v>276</v>
      </c>
      <c r="C119" s="103" t="s">
        <v>277</v>
      </c>
      <c r="D119" s="57">
        <v>45787</v>
      </c>
      <c r="F119" s="353" t="s">
        <v>16</v>
      </c>
      <c r="G119" s="11">
        <v>111</v>
      </c>
      <c r="H119" s="353" t="s">
        <v>279</v>
      </c>
      <c r="I119" s="353"/>
      <c r="J119" s="57">
        <v>45787</v>
      </c>
      <c r="K119" s="11">
        <v>111</v>
      </c>
      <c r="L119" s="353"/>
    </row>
    <row r="120" spans="1:12" hidden="1">
      <c r="A120" s="353"/>
      <c r="B120" s="7" t="s">
        <v>4310</v>
      </c>
      <c r="C120" s="103" t="s">
        <v>26</v>
      </c>
      <c r="D120" s="57">
        <v>46079</v>
      </c>
      <c r="E120" s="57">
        <v>46079</v>
      </c>
      <c r="F120" s="353" t="s">
        <v>16</v>
      </c>
      <c r="G120" s="11">
        <v>4100</v>
      </c>
      <c r="H120" s="353" t="s">
        <v>4334</v>
      </c>
      <c r="I120" s="353" t="s">
        <v>83</v>
      </c>
      <c r="J120" s="57"/>
      <c r="K120" s="11">
        <v>4100</v>
      </c>
      <c r="L120" s="353"/>
    </row>
    <row r="121" spans="1:12" hidden="1">
      <c r="A121" s="353"/>
      <c r="B121" s="7" t="s">
        <v>280</v>
      </c>
      <c r="C121" s="103" t="s">
        <v>281</v>
      </c>
      <c r="D121" s="57">
        <v>45807</v>
      </c>
      <c r="E121" s="57">
        <v>45838</v>
      </c>
      <c r="F121" s="353" t="s">
        <v>16</v>
      </c>
      <c r="G121" s="11">
        <v>314.64</v>
      </c>
      <c r="H121" s="353" t="s">
        <v>283</v>
      </c>
      <c r="I121" s="353" t="s">
        <v>56</v>
      </c>
      <c r="J121" s="57"/>
      <c r="K121" s="11"/>
      <c r="L121" s="353" t="s">
        <v>3365</v>
      </c>
    </row>
    <row r="122" spans="1:12" hidden="1">
      <c r="A122" s="353"/>
      <c r="B122" s="7" t="s">
        <v>280</v>
      </c>
      <c r="C122" s="103" t="s">
        <v>3366</v>
      </c>
      <c r="D122" s="57">
        <v>46006</v>
      </c>
      <c r="E122" s="57">
        <v>46053</v>
      </c>
      <c r="F122" s="353" t="s">
        <v>16</v>
      </c>
      <c r="G122" s="11">
        <v>217.4</v>
      </c>
      <c r="H122" s="353" t="s">
        <v>283</v>
      </c>
      <c r="I122" s="353" t="s">
        <v>56</v>
      </c>
      <c r="J122" s="57">
        <v>46053</v>
      </c>
      <c r="K122" s="11">
        <v>217.4</v>
      </c>
      <c r="L122" s="353" t="s">
        <v>3365</v>
      </c>
    </row>
    <row r="123" spans="1:12" hidden="1">
      <c r="A123" s="353" t="s">
        <v>13</v>
      </c>
      <c r="B123" s="7" t="s">
        <v>284</v>
      </c>
      <c r="C123" s="103" t="s">
        <v>285</v>
      </c>
      <c r="D123" s="57">
        <v>45733</v>
      </c>
      <c r="E123" s="57">
        <v>45733</v>
      </c>
      <c r="F123" s="353" t="s">
        <v>16</v>
      </c>
      <c r="G123" s="11">
        <v>233.02</v>
      </c>
      <c r="H123" s="353" t="s">
        <v>287</v>
      </c>
      <c r="I123" s="353" t="s">
        <v>56</v>
      </c>
      <c r="J123" s="57">
        <v>45736</v>
      </c>
      <c r="K123" s="11">
        <v>233.02</v>
      </c>
      <c r="L123" s="353" t="s">
        <v>288</v>
      </c>
    </row>
    <row r="124" spans="1:12" hidden="1">
      <c r="A124" s="353" t="s">
        <v>13</v>
      </c>
      <c r="B124" s="7" t="s">
        <v>284</v>
      </c>
      <c r="C124" s="103" t="s">
        <v>289</v>
      </c>
      <c r="D124" s="57">
        <v>45777</v>
      </c>
      <c r="E124" s="57">
        <v>45777</v>
      </c>
      <c r="F124" s="353" t="s">
        <v>16</v>
      </c>
      <c r="G124" s="11">
        <v>142.74</v>
      </c>
      <c r="H124" s="353" t="s">
        <v>291</v>
      </c>
      <c r="I124" s="353" t="s">
        <v>66</v>
      </c>
      <c r="J124" s="57">
        <v>45817</v>
      </c>
      <c r="K124" s="11">
        <v>142.74</v>
      </c>
      <c r="L124" s="353" t="s">
        <v>198</v>
      </c>
    </row>
    <row r="125" spans="1:12" hidden="1">
      <c r="A125" s="353" t="s">
        <v>292</v>
      </c>
      <c r="B125" s="7" t="s">
        <v>284</v>
      </c>
      <c r="C125" s="103" t="s">
        <v>293</v>
      </c>
      <c r="D125" s="57">
        <v>45824</v>
      </c>
      <c r="E125" s="57">
        <v>45824</v>
      </c>
      <c r="F125" s="353" t="s">
        <v>16</v>
      </c>
      <c r="G125" s="11">
        <v>126.88</v>
      </c>
      <c r="H125" s="353" t="s">
        <v>295</v>
      </c>
      <c r="I125" s="353" t="s">
        <v>66</v>
      </c>
      <c r="J125" s="57">
        <v>45833</v>
      </c>
      <c r="K125" s="11">
        <v>126.88</v>
      </c>
      <c r="L125" s="353" t="s">
        <v>296</v>
      </c>
    </row>
    <row r="126" spans="1:12" hidden="1">
      <c r="A126" s="353" t="s">
        <v>13</v>
      </c>
      <c r="B126" s="7" t="s">
        <v>284</v>
      </c>
      <c r="C126" s="103" t="s">
        <v>297</v>
      </c>
      <c r="D126" s="57">
        <v>45841</v>
      </c>
      <c r="E126" s="57">
        <v>45841</v>
      </c>
      <c r="F126" s="353" t="s">
        <v>16</v>
      </c>
      <c r="G126" s="11">
        <v>220.82</v>
      </c>
      <c r="H126" s="353" t="s">
        <v>299</v>
      </c>
      <c r="I126" s="353" t="s">
        <v>66</v>
      </c>
      <c r="J126" s="57">
        <v>46310</v>
      </c>
      <c r="K126" s="11">
        <v>220.82</v>
      </c>
      <c r="L126" s="353" t="s">
        <v>246</v>
      </c>
    </row>
    <row r="127" spans="1:12" hidden="1">
      <c r="A127" s="353" t="s">
        <v>13</v>
      </c>
      <c r="B127" s="7" t="s">
        <v>284</v>
      </c>
      <c r="C127" s="103" t="s">
        <v>300</v>
      </c>
      <c r="D127" s="57">
        <v>45862</v>
      </c>
      <c r="E127" s="57">
        <v>45862</v>
      </c>
      <c r="F127" s="353" t="s">
        <v>16</v>
      </c>
      <c r="G127" s="11">
        <v>68.319999999999993</v>
      </c>
      <c r="H127" s="353" t="s">
        <v>302</v>
      </c>
      <c r="I127" s="353" t="s">
        <v>66</v>
      </c>
      <c r="J127" s="57">
        <v>46310</v>
      </c>
      <c r="K127" s="11">
        <v>68.319999999999993</v>
      </c>
      <c r="L127" s="353" t="s">
        <v>246</v>
      </c>
    </row>
    <row r="128" spans="1:12" hidden="1">
      <c r="A128" s="353" t="s">
        <v>13</v>
      </c>
      <c r="B128" s="7" t="s">
        <v>284</v>
      </c>
      <c r="C128" s="103" t="s">
        <v>303</v>
      </c>
      <c r="D128" s="57">
        <v>45897</v>
      </c>
      <c r="E128" s="57">
        <v>45897</v>
      </c>
      <c r="F128" s="353" t="s">
        <v>16</v>
      </c>
      <c r="G128" s="11">
        <v>395.25</v>
      </c>
      <c r="H128" s="353" t="s">
        <v>305</v>
      </c>
      <c r="I128" s="353" t="s">
        <v>66</v>
      </c>
      <c r="J128" s="57">
        <v>46310</v>
      </c>
      <c r="K128" s="11">
        <v>395.25</v>
      </c>
      <c r="L128" s="353" t="s">
        <v>246</v>
      </c>
    </row>
    <row r="129" spans="1:12" hidden="1">
      <c r="A129" s="353" t="s">
        <v>306</v>
      </c>
      <c r="B129" s="7" t="s">
        <v>284</v>
      </c>
      <c r="C129" s="103" t="s">
        <v>293</v>
      </c>
      <c r="D129" s="57">
        <v>45824</v>
      </c>
      <c r="F129" s="353"/>
      <c r="G129" s="11">
        <v>126.88</v>
      </c>
      <c r="H129" s="353" t="s">
        <v>307</v>
      </c>
      <c r="I129" s="353" t="s">
        <v>308</v>
      </c>
      <c r="J129" s="57"/>
      <c r="K129" s="11"/>
      <c r="L129" s="353"/>
    </row>
    <row r="130" spans="1:12" hidden="1">
      <c r="A130" s="353" t="s">
        <v>13</v>
      </c>
      <c r="B130" s="7" t="s">
        <v>309</v>
      </c>
      <c r="C130" s="103" t="s">
        <v>310</v>
      </c>
      <c r="D130" s="57">
        <v>45868</v>
      </c>
      <c r="E130" s="57">
        <v>45869</v>
      </c>
      <c r="F130" s="353" t="s">
        <v>16</v>
      </c>
      <c r="G130" s="11">
        <v>10000</v>
      </c>
      <c r="H130" s="353" t="s">
        <v>312</v>
      </c>
      <c r="I130" s="353" t="s">
        <v>66</v>
      </c>
      <c r="J130" s="57">
        <v>45869</v>
      </c>
      <c r="K130" s="11">
        <v>10000</v>
      </c>
      <c r="L130" s="353" t="s">
        <v>19</v>
      </c>
    </row>
    <row r="131" spans="1:12" hidden="1">
      <c r="A131" s="353" t="s">
        <v>13</v>
      </c>
      <c r="B131" s="7" t="s">
        <v>309</v>
      </c>
      <c r="C131" s="103" t="s">
        <v>310</v>
      </c>
      <c r="D131" s="57">
        <v>45868</v>
      </c>
      <c r="E131" s="57">
        <v>45923</v>
      </c>
      <c r="F131" s="353" t="s">
        <v>16</v>
      </c>
      <c r="G131" s="11">
        <v>10000</v>
      </c>
      <c r="H131" s="353" t="s">
        <v>312</v>
      </c>
      <c r="I131" s="353" t="s">
        <v>66</v>
      </c>
      <c r="J131" s="57">
        <v>45923</v>
      </c>
      <c r="K131" s="11">
        <v>10000</v>
      </c>
      <c r="L131" s="353" t="s">
        <v>313</v>
      </c>
    </row>
    <row r="132" spans="1:12" hidden="1">
      <c r="A132" s="353" t="s">
        <v>13</v>
      </c>
      <c r="B132" s="7" t="s">
        <v>309</v>
      </c>
      <c r="C132" s="103" t="s">
        <v>310</v>
      </c>
      <c r="D132" s="57">
        <v>45868</v>
      </c>
      <c r="E132" s="57">
        <v>45944</v>
      </c>
      <c r="F132" s="353" t="s">
        <v>16</v>
      </c>
      <c r="G132" s="11">
        <v>5000</v>
      </c>
      <c r="H132" s="353" t="s">
        <v>312</v>
      </c>
      <c r="I132" s="353" t="s">
        <v>66</v>
      </c>
      <c r="J132" s="57">
        <v>45944</v>
      </c>
      <c r="K132" s="11">
        <v>5000</v>
      </c>
      <c r="L132" s="353" t="s">
        <v>313</v>
      </c>
    </row>
    <row r="133" spans="1:12" hidden="1">
      <c r="A133" s="353" t="s">
        <v>13</v>
      </c>
      <c r="B133" s="7" t="s">
        <v>309</v>
      </c>
      <c r="C133" s="103" t="s">
        <v>310</v>
      </c>
      <c r="D133" s="57">
        <v>45868</v>
      </c>
      <c r="E133" s="57">
        <v>45947</v>
      </c>
      <c r="F133" s="353" t="s">
        <v>16</v>
      </c>
      <c r="G133" s="11">
        <v>5000</v>
      </c>
      <c r="H133" s="353" t="s">
        <v>312</v>
      </c>
      <c r="I133" s="353" t="s">
        <v>66</v>
      </c>
      <c r="J133" s="57">
        <v>45947</v>
      </c>
      <c r="K133" s="11">
        <v>5000</v>
      </c>
      <c r="L133" s="353" t="s">
        <v>313</v>
      </c>
    </row>
    <row r="134" spans="1:12" hidden="1">
      <c r="A134" s="353" t="s">
        <v>13</v>
      </c>
      <c r="B134" s="7" t="s">
        <v>309</v>
      </c>
      <c r="C134" s="103" t="s">
        <v>310</v>
      </c>
      <c r="D134" s="57">
        <v>45868</v>
      </c>
      <c r="E134" s="57">
        <v>45952</v>
      </c>
      <c r="F134" s="353" t="s">
        <v>16</v>
      </c>
      <c r="G134" s="11">
        <v>10000</v>
      </c>
      <c r="H134" s="353" t="s">
        <v>312</v>
      </c>
      <c r="I134" s="353" t="s">
        <v>66</v>
      </c>
      <c r="J134" s="57">
        <v>45952</v>
      </c>
      <c r="K134" s="11">
        <v>10000</v>
      </c>
      <c r="L134" s="353" t="s">
        <v>313</v>
      </c>
    </row>
    <row r="135" spans="1:12" hidden="1">
      <c r="A135" s="353" t="s">
        <v>13</v>
      </c>
      <c r="B135" s="7" t="s">
        <v>309</v>
      </c>
      <c r="C135" s="103" t="s">
        <v>314</v>
      </c>
      <c r="D135" s="57">
        <v>45958</v>
      </c>
      <c r="E135" s="57">
        <v>45958</v>
      </c>
      <c r="F135" s="353" t="s">
        <v>16</v>
      </c>
      <c r="G135" s="11">
        <v>30000</v>
      </c>
      <c r="H135" s="353" t="s">
        <v>312</v>
      </c>
      <c r="I135" s="353" t="s">
        <v>83</v>
      </c>
      <c r="J135" s="57"/>
      <c r="K135" s="11"/>
      <c r="L135" s="353"/>
    </row>
    <row r="136" spans="1:12" hidden="1">
      <c r="A136" s="353" t="s">
        <v>13</v>
      </c>
      <c r="B136" s="7" t="s">
        <v>309</v>
      </c>
      <c r="C136" s="103" t="s">
        <v>314</v>
      </c>
      <c r="F136" s="353" t="s">
        <v>16</v>
      </c>
      <c r="G136" s="11">
        <v>10008</v>
      </c>
      <c r="H136" s="353" t="s">
        <v>312</v>
      </c>
      <c r="I136" s="353" t="s">
        <v>83</v>
      </c>
      <c r="J136" s="57">
        <v>45974</v>
      </c>
      <c r="K136" s="11">
        <v>19992</v>
      </c>
      <c r="L136" s="353" t="s">
        <v>315</v>
      </c>
    </row>
    <row r="137" spans="1:12" hidden="1">
      <c r="A137" s="353" t="s">
        <v>316</v>
      </c>
      <c r="B137" s="7" t="s">
        <v>309</v>
      </c>
      <c r="C137" s="103" t="s">
        <v>317</v>
      </c>
      <c r="D137" s="57">
        <v>45978</v>
      </c>
      <c r="E137" s="57">
        <v>45978</v>
      </c>
      <c r="F137" s="353" t="s">
        <v>16</v>
      </c>
      <c r="G137" s="11">
        <v>30000</v>
      </c>
      <c r="H137" s="353" t="s">
        <v>312</v>
      </c>
      <c r="I137" s="353" t="s">
        <v>83</v>
      </c>
      <c r="J137" s="57"/>
      <c r="K137" s="11"/>
      <c r="L137" s="353"/>
    </row>
    <row r="138" spans="1:12" hidden="1">
      <c r="A138" s="353" t="s">
        <v>13</v>
      </c>
      <c r="B138" s="7" t="s">
        <v>318</v>
      </c>
      <c r="C138" s="103" t="s">
        <v>319</v>
      </c>
      <c r="D138" s="57">
        <v>45672</v>
      </c>
      <c r="E138" s="57">
        <v>45716</v>
      </c>
      <c r="F138" s="353" t="s">
        <v>16</v>
      </c>
      <c r="G138" s="11">
        <v>2685.5</v>
      </c>
      <c r="H138" s="353" t="s">
        <v>321</v>
      </c>
      <c r="I138" s="353"/>
      <c r="J138" s="57">
        <v>45733</v>
      </c>
      <c r="K138" s="11">
        <v>4138.68</v>
      </c>
      <c r="L138" s="353" t="s">
        <v>111</v>
      </c>
    </row>
    <row r="139" spans="1:12" hidden="1">
      <c r="A139" s="353" t="s">
        <v>13</v>
      </c>
      <c r="B139" s="7" t="s">
        <v>318</v>
      </c>
      <c r="C139" s="103" t="s">
        <v>322</v>
      </c>
      <c r="D139" s="57">
        <v>45703</v>
      </c>
      <c r="E139" s="57">
        <v>45747</v>
      </c>
      <c r="F139" s="353" t="s">
        <v>16</v>
      </c>
      <c r="G139" s="11">
        <v>2906.35</v>
      </c>
      <c r="H139" s="353"/>
      <c r="I139" s="353"/>
      <c r="J139" s="57">
        <v>45733</v>
      </c>
      <c r="K139" s="11">
        <v>1453.1800000000003</v>
      </c>
      <c r="L139" s="353" t="s">
        <v>111</v>
      </c>
    </row>
    <row r="140" spans="1:12" hidden="1">
      <c r="A140" s="353" t="s">
        <v>13</v>
      </c>
      <c r="B140" s="7" t="s">
        <v>318</v>
      </c>
      <c r="C140" s="103" t="s">
        <v>322</v>
      </c>
      <c r="D140" s="57">
        <v>45703</v>
      </c>
      <c r="E140" s="57">
        <v>45747</v>
      </c>
      <c r="F140" s="353" t="s">
        <v>16</v>
      </c>
      <c r="G140" s="11">
        <v>1453.17</v>
      </c>
      <c r="H140" s="353" t="s">
        <v>323</v>
      </c>
      <c r="I140" s="353"/>
      <c r="J140" s="57">
        <v>45945</v>
      </c>
      <c r="K140" s="11">
        <v>1560</v>
      </c>
      <c r="L140" s="353" t="s">
        <v>71</v>
      </c>
    </row>
    <row r="141" spans="1:12" hidden="1">
      <c r="A141" s="353" t="s">
        <v>13</v>
      </c>
      <c r="B141" s="7" t="s">
        <v>318</v>
      </c>
      <c r="C141" s="103" t="s">
        <v>324</v>
      </c>
      <c r="D141" s="57">
        <v>45808</v>
      </c>
      <c r="E141" s="57">
        <v>45838</v>
      </c>
      <c r="F141" s="353" t="s">
        <v>16</v>
      </c>
      <c r="G141" s="11">
        <v>2963.54</v>
      </c>
      <c r="H141" s="353"/>
      <c r="I141" s="353"/>
      <c r="J141" s="57">
        <v>45945</v>
      </c>
      <c r="K141" s="11">
        <v>106</v>
      </c>
      <c r="L141" s="353" t="s">
        <v>71</v>
      </c>
    </row>
    <row r="142" spans="1:12" hidden="1">
      <c r="A142" s="353" t="s">
        <v>13</v>
      </c>
      <c r="B142" s="7" t="s">
        <v>318</v>
      </c>
      <c r="C142" s="103" t="s">
        <v>324</v>
      </c>
      <c r="D142" s="57">
        <v>45808</v>
      </c>
      <c r="E142" s="57">
        <v>45838</v>
      </c>
      <c r="F142" s="353" t="s">
        <v>16</v>
      </c>
      <c r="G142" s="11">
        <v>2857.54</v>
      </c>
      <c r="H142" s="353" t="s">
        <v>325</v>
      </c>
      <c r="I142" s="353"/>
      <c r="J142" s="57">
        <v>45960</v>
      </c>
      <c r="K142" s="11">
        <v>1560</v>
      </c>
      <c r="L142" s="353" t="s">
        <v>326</v>
      </c>
    </row>
    <row r="143" spans="1:12" hidden="1">
      <c r="A143" s="353" t="s">
        <v>13</v>
      </c>
      <c r="B143" s="7" t="s">
        <v>318</v>
      </c>
      <c r="C143" s="103" t="s">
        <v>324</v>
      </c>
      <c r="D143" s="57">
        <v>45808</v>
      </c>
      <c r="E143" s="57">
        <v>45838</v>
      </c>
      <c r="F143" s="353" t="s">
        <v>16</v>
      </c>
      <c r="G143" s="11">
        <v>1297.54</v>
      </c>
      <c r="H143" s="353" t="s">
        <v>327</v>
      </c>
      <c r="I143" s="353"/>
      <c r="J143" s="57">
        <v>46042</v>
      </c>
      <c r="K143" s="11">
        <v>882.06</v>
      </c>
      <c r="L143" s="353" t="s">
        <v>330</v>
      </c>
    </row>
    <row r="144" spans="1:12" hidden="1">
      <c r="A144" s="353" t="s">
        <v>13</v>
      </c>
      <c r="B144" s="7" t="s">
        <v>318</v>
      </c>
      <c r="C144" s="103" t="s">
        <v>324</v>
      </c>
      <c r="D144" s="57">
        <v>45808</v>
      </c>
      <c r="E144" s="57">
        <v>45838</v>
      </c>
      <c r="F144" s="353" t="s">
        <v>16</v>
      </c>
      <c r="G144" s="11">
        <v>882.08</v>
      </c>
      <c r="H144" s="353" t="s">
        <v>4232</v>
      </c>
      <c r="I144" s="353"/>
      <c r="J144" s="57">
        <v>46045</v>
      </c>
      <c r="K144" s="11">
        <v>882.06</v>
      </c>
      <c r="L144" s="353" t="s">
        <v>19</v>
      </c>
    </row>
    <row r="145" spans="1:12" hidden="1">
      <c r="A145" s="353" t="s">
        <v>13</v>
      </c>
      <c r="B145" s="7" t="s">
        <v>318</v>
      </c>
      <c r="C145" s="103" t="s">
        <v>329</v>
      </c>
      <c r="D145" s="57">
        <v>45901</v>
      </c>
      <c r="E145" s="57">
        <v>45901</v>
      </c>
      <c r="F145" s="353" t="s">
        <v>16</v>
      </c>
      <c r="G145" s="11">
        <v>-415.46</v>
      </c>
      <c r="H145" s="353"/>
      <c r="I145" s="353"/>
      <c r="J145" s="57">
        <v>46042</v>
      </c>
      <c r="K145" s="11">
        <v>882.06</v>
      </c>
      <c r="L145" s="353" t="s">
        <v>330</v>
      </c>
    </row>
    <row r="146" spans="1:12" hidden="1">
      <c r="A146" s="353" t="s">
        <v>316</v>
      </c>
      <c r="B146" s="7" t="s">
        <v>330</v>
      </c>
      <c r="C146" s="103" t="s">
        <v>331</v>
      </c>
      <c r="D146" s="57">
        <v>45993</v>
      </c>
      <c r="E146" s="57">
        <v>45993</v>
      </c>
      <c r="F146" s="353" t="s">
        <v>16</v>
      </c>
      <c r="G146" s="11">
        <v>8.5399999999999991</v>
      </c>
      <c r="H146" s="353" t="s">
        <v>196</v>
      </c>
      <c r="I146" s="353" t="s">
        <v>332</v>
      </c>
      <c r="J146" s="57">
        <v>45993</v>
      </c>
      <c r="K146" s="11">
        <v>8.5399999999999991</v>
      </c>
      <c r="L146" s="353" t="s">
        <v>313</v>
      </c>
    </row>
    <row r="147" spans="1:12" hidden="1">
      <c r="A147" s="353" t="s">
        <v>316</v>
      </c>
      <c r="B147" s="7" t="s">
        <v>330</v>
      </c>
      <c r="C147" s="103" t="s">
        <v>4136</v>
      </c>
      <c r="D147" s="57">
        <v>46027</v>
      </c>
      <c r="E147" s="57">
        <v>46027</v>
      </c>
      <c r="F147" s="353" t="s">
        <v>16</v>
      </c>
      <c r="G147" s="11">
        <v>8.5399999999999991</v>
      </c>
      <c r="H147" s="353" t="s">
        <v>196</v>
      </c>
      <c r="I147" s="353" t="s">
        <v>332</v>
      </c>
      <c r="J147" s="57">
        <v>46027</v>
      </c>
      <c r="K147" s="11">
        <v>8.5399999999999991</v>
      </c>
      <c r="L147" s="353" t="s">
        <v>313</v>
      </c>
    </row>
    <row r="148" spans="1:12" hidden="1">
      <c r="A148" s="353"/>
      <c r="B148" s="7" t="s">
        <v>330</v>
      </c>
      <c r="C148" s="103" t="s">
        <v>4259</v>
      </c>
      <c r="D148" s="57">
        <v>46056</v>
      </c>
      <c r="E148" s="57">
        <v>46056</v>
      </c>
      <c r="F148" s="353" t="s">
        <v>16</v>
      </c>
      <c r="G148" s="11">
        <v>8.5399999999999991</v>
      </c>
      <c r="H148" s="353" t="s">
        <v>196</v>
      </c>
      <c r="I148" s="353" t="s">
        <v>332</v>
      </c>
      <c r="J148" s="57">
        <v>46056</v>
      </c>
      <c r="K148" s="11">
        <v>8.5399999999999991</v>
      </c>
      <c r="L148" s="353" t="s">
        <v>313</v>
      </c>
    </row>
    <row r="149" spans="1:12" hidden="1">
      <c r="A149" s="353" t="s">
        <v>333</v>
      </c>
      <c r="B149" s="7" t="s">
        <v>334</v>
      </c>
      <c r="C149" s="103" t="s">
        <v>335</v>
      </c>
      <c r="D149" s="57">
        <v>45682</v>
      </c>
      <c r="F149" s="353" t="s">
        <v>16</v>
      </c>
      <c r="G149" s="11">
        <v>5276.37</v>
      </c>
      <c r="H149" s="353" t="s">
        <v>337</v>
      </c>
      <c r="I149" s="353" t="s">
        <v>56</v>
      </c>
      <c r="J149" s="57"/>
      <c r="K149" s="11"/>
      <c r="L149" s="353"/>
    </row>
    <row r="150" spans="1:12" hidden="1">
      <c r="A150" s="353" t="s">
        <v>333</v>
      </c>
      <c r="B150" s="7" t="s">
        <v>334</v>
      </c>
      <c r="C150" s="103" t="s">
        <v>338</v>
      </c>
      <c r="D150" s="57">
        <v>45680</v>
      </c>
      <c r="E150" s="57">
        <v>45682</v>
      </c>
      <c r="F150" s="353" t="s">
        <v>16</v>
      </c>
      <c r="G150" s="11">
        <v>6008.44</v>
      </c>
      <c r="H150" s="353" t="s">
        <v>337</v>
      </c>
      <c r="I150" s="353" t="s">
        <v>66</v>
      </c>
      <c r="J150" s="57">
        <v>45681</v>
      </c>
      <c r="K150" s="11">
        <v>6008.44</v>
      </c>
      <c r="L150" s="353" t="s">
        <v>111</v>
      </c>
    </row>
    <row r="151" spans="1:12" hidden="1">
      <c r="A151" s="353" t="s">
        <v>333</v>
      </c>
      <c r="B151" s="7" t="s">
        <v>334</v>
      </c>
      <c r="C151" s="103" t="s">
        <v>340</v>
      </c>
      <c r="D151" s="57">
        <v>45687</v>
      </c>
      <c r="F151" s="353" t="s">
        <v>16</v>
      </c>
      <c r="G151" s="11">
        <v>5345.42</v>
      </c>
      <c r="H151" s="353" t="s">
        <v>342</v>
      </c>
      <c r="I151" s="353" t="s">
        <v>56</v>
      </c>
      <c r="J151" s="57"/>
      <c r="K151" s="11"/>
      <c r="L151" s="353"/>
    </row>
    <row r="152" spans="1:12" hidden="1">
      <c r="A152" s="353" t="s">
        <v>316</v>
      </c>
      <c r="B152" s="7" t="s">
        <v>334</v>
      </c>
      <c r="C152" s="103" t="s">
        <v>343</v>
      </c>
      <c r="D152" s="57">
        <v>45798</v>
      </c>
      <c r="F152" s="353" t="s">
        <v>16</v>
      </c>
      <c r="G152" s="11">
        <v>5000</v>
      </c>
      <c r="H152" s="353" t="s">
        <v>342</v>
      </c>
      <c r="I152" s="353" t="s">
        <v>56</v>
      </c>
      <c r="J152" s="57">
        <v>45800</v>
      </c>
      <c r="K152" s="11">
        <v>5000</v>
      </c>
      <c r="L152" s="353" t="s">
        <v>345</v>
      </c>
    </row>
    <row r="153" spans="1:12" hidden="1">
      <c r="A153" s="353" t="s">
        <v>219</v>
      </c>
      <c r="B153" s="7" t="s">
        <v>346</v>
      </c>
      <c r="C153" s="103" t="s">
        <v>347</v>
      </c>
      <c r="D153" s="57">
        <v>45757</v>
      </c>
      <c r="E153" s="57">
        <v>45757</v>
      </c>
      <c r="F153" s="353" t="s">
        <v>16</v>
      </c>
      <c r="G153" s="11">
        <v>127.8</v>
      </c>
      <c r="H153" s="353" t="s">
        <v>349</v>
      </c>
      <c r="I153" s="353" t="s">
        <v>350</v>
      </c>
      <c r="J153" s="57"/>
      <c r="K153" s="11"/>
      <c r="L153" s="353"/>
    </row>
    <row r="154" spans="1:12" hidden="1">
      <c r="A154" s="353" t="s">
        <v>316</v>
      </c>
      <c r="B154" s="7" t="s">
        <v>351</v>
      </c>
      <c r="C154" s="103" t="s">
        <v>352</v>
      </c>
      <c r="D154" s="57">
        <v>45688</v>
      </c>
      <c r="E154" s="57">
        <v>45747</v>
      </c>
      <c r="F154" s="353" t="s">
        <v>16</v>
      </c>
      <c r="G154" s="11">
        <v>218.72</v>
      </c>
      <c r="H154" s="353" t="s">
        <v>349</v>
      </c>
      <c r="I154" s="353" t="s">
        <v>354</v>
      </c>
      <c r="J154" s="57">
        <v>45868</v>
      </c>
      <c r="K154" s="11">
        <v>218.72</v>
      </c>
      <c r="L154" s="353" t="s">
        <v>19</v>
      </c>
    </row>
    <row r="155" spans="1:12" hidden="1">
      <c r="A155" s="353" t="s">
        <v>67</v>
      </c>
      <c r="B155" s="7" t="s">
        <v>351</v>
      </c>
      <c r="C155" s="103" t="s">
        <v>355</v>
      </c>
      <c r="D155" s="57">
        <v>45716</v>
      </c>
      <c r="E155" s="57">
        <v>45716</v>
      </c>
      <c r="F155" s="353" t="s">
        <v>16</v>
      </c>
      <c r="G155" s="11">
        <v>4.7</v>
      </c>
      <c r="H155" s="353" t="s">
        <v>349</v>
      </c>
      <c r="I155" s="353" t="s">
        <v>56</v>
      </c>
      <c r="J155" s="57"/>
      <c r="K155" s="11"/>
      <c r="L155" s="353"/>
    </row>
    <row r="156" spans="1:12" hidden="1">
      <c r="A156" s="353" t="s">
        <v>316</v>
      </c>
      <c r="B156" s="7" t="s">
        <v>351</v>
      </c>
      <c r="C156" s="103" t="s">
        <v>357</v>
      </c>
      <c r="D156" s="57">
        <v>45771</v>
      </c>
      <c r="E156" s="57">
        <v>45771</v>
      </c>
      <c r="F156" s="353" t="s">
        <v>16</v>
      </c>
      <c r="G156" s="11">
        <v>21.2</v>
      </c>
      <c r="H156" s="353" t="s">
        <v>349</v>
      </c>
      <c r="I156" s="353" t="s">
        <v>24</v>
      </c>
      <c r="J156" s="57">
        <v>45771</v>
      </c>
      <c r="K156" s="11">
        <v>21.2</v>
      </c>
      <c r="L156" s="353" t="s">
        <v>219</v>
      </c>
    </row>
    <row r="157" spans="1:12" hidden="1">
      <c r="A157" s="353" t="s">
        <v>316</v>
      </c>
      <c r="B157" s="7" t="s">
        <v>351</v>
      </c>
      <c r="C157" s="103" t="s">
        <v>359</v>
      </c>
      <c r="D157" s="57">
        <v>45828</v>
      </c>
      <c r="E157" s="57">
        <v>45828</v>
      </c>
      <c r="F157" s="353" t="s">
        <v>16</v>
      </c>
      <c r="G157" s="11">
        <v>15.47</v>
      </c>
      <c r="H157" s="353" t="s">
        <v>349</v>
      </c>
      <c r="I157" s="353" t="s">
        <v>219</v>
      </c>
      <c r="J157" s="57">
        <v>45828</v>
      </c>
      <c r="K157" s="11">
        <v>15.47</v>
      </c>
      <c r="L157" s="353" t="s">
        <v>361</v>
      </c>
    </row>
    <row r="158" spans="1:12" hidden="1">
      <c r="A158" s="353" t="s">
        <v>316</v>
      </c>
      <c r="B158" s="7" t="s">
        <v>351</v>
      </c>
      <c r="C158" s="103" t="s">
        <v>362</v>
      </c>
      <c r="D158" s="57">
        <v>45831</v>
      </c>
      <c r="E158" s="57">
        <v>45831</v>
      </c>
      <c r="F158" s="353" t="s">
        <v>16</v>
      </c>
      <c r="G158" s="11">
        <v>37.94</v>
      </c>
      <c r="H158" s="353" t="s">
        <v>364</v>
      </c>
      <c r="I158" s="353" t="s">
        <v>361</v>
      </c>
      <c r="J158" s="57">
        <v>45831</v>
      </c>
      <c r="K158" s="11">
        <v>37.94</v>
      </c>
      <c r="L158" s="353" t="s">
        <v>361</v>
      </c>
    </row>
    <row r="159" spans="1:12" hidden="1">
      <c r="A159" s="353" t="s">
        <v>365</v>
      </c>
      <c r="B159" s="7" t="s">
        <v>351</v>
      </c>
      <c r="C159" s="103" t="s">
        <v>366</v>
      </c>
      <c r="D159" s="57">
        <v>45838</v>
      </c>
      <c r="E159" s="57">
        <v>45905</v>
      </c>
      <c r="F159" s="353" t="s">
        <v>16</v>
      </c>
      <c r="G159" s="11">
        <v>33.659999999999997</v>
      </c>
      <c r="H159" s="353" t="s">
        <v>349</v>
      </c>
      <c r="I159" s="353"/>
      <c r="J159" s="57"/>
      <c r="K159" s="11"/>
      <c r="L159" s="353"/>
    </row>
    <row r="160" spans="1:12" hidden="1">
      <c r="A160" s="353" t="s">
        <v>90</v>
      </c>
      <c r="B160" s="7" t="s">
        <v>351</v>
      </c>
      <c r="C160" s="103" t="s">
        <v>368</v>
      </c>
      <c r="D160" s="57">
        <v>45869</v>
      </c>
      <c r="F160" s="353" t="s">
        <v>16</v>
      </c>
      <c r="G160" s="11">
        <v>11.24</v>
      </c>
      <c r="H160" s="353" t="s">
        <v>349</v>
      </c>
      <c r="I160" s="353" t="s">
        <v>56</v>
      </c>
      <c r="J160" s="57"/>
      <c r="K160" s="11"/>
      <c r="L160" s="353"/>
    </row>
    <row r="161" spans="1:12" hidden="1">
      <c r="A161" s="353" t="s">
        <v>13</v>
      </c>
      <c r="B161" s="7" t="s">
        <v>370</v>
      </c>
      <c r="C161" s="103" t="s">
        <v>2102</v>
      </c>
      <c r="D161" s="57">
        <v>45987</v>
      </c>
      <c r="E161" s="57">
        <v>45987</v>
      </c>
      <c r="F161" s="353" t="s">
        <v>16</v>
      </c>
      <c r="G161" s="11">
        <v>31.99</v>
      </c>
      <c r="H161" s="353" t="s">
        <v>218</v>
      </c>
      <c r="I161" s="353" t="s">
        <v>219</v>
      </c>
      <c r="J161" s="57">
        <v>45987</v>
      </c>
      <c r="K161" s="11">
        <v>31.99</v>
      </c>
      <c r="L161" s="353" t="s">
        <v>219</v>
      </c>
    </row>
    <row r="162" spans="1:12" hidden="1">
      <c r="A162" s="353" t="s">
        <v>13</v>
      </c>
      <c r="B162" s="7" t="s">
        <v>370</v>
      </c>
      <c r="C162" s="103" t="s">
        <v>372</v>
      </c>
      <c r="D162" s="57">
        <v>45991</v>
      </c>
      <c r="E162" s="57">
        <v>46053</v>
      </c>
      <c r="F162" s="353"/>
      <c r="G162" s="11">
        <v>92.92</v>
      </c>
      <c r="H162" s="353" t="s">
        <v>373</v>
      </c>
      <c r="I162" s="353" t="s">
        <v>374</v>
      </c>
      <c r="J162" s="57">
        <v>46053</v>
      </c>
      <c r="K162" s="11">
        <v>92.92</v>
      </c>
      <c r="L162" s="353" t="s">
        <v>47</v>
      </c>
    </row>
    <row r="163" spans="1:12" hidden="1">
      <c r="A163" s="353" t="s">
        <v>13</v>
      </c>
      <c r="B163" s="7" t="s">
        <v>375</v>
      </c>
      <c r="C163" s="103" t="s">
        <v>376</v>
      </c>
      <c r="D163" s="57">
        <v>45995</v>
      </c>
      <c r="E163" s="57">
        <v>45995</v>
      </c>
      <c r="F163" s="353" t="s">
        <v>16</v>
      </c>
      <c r="G163" s="11">
        <v>16</v>
      </c>
      <c r="H163" s="353" t="s">
        <v>377</v>
      </c>
      <c r="I163" s="353" t="s">
        <v>18</v>
      </c>
      <c r="J163" s="57">
        <v>45995</v>
      </c>
      <c r="K163" s="11">
        <v>16</v>
      </c>
      <c r="L163" s="353" t="s">
        <v>345</v>
      </c>
    </row>
    <row r="164" spans="1:12" hidden="1">
      <c r="A164" s="353" t="s">
        <v>13</v>
      </c>
      <c r="B164" s="7" t="s">
        <v>375</v>
      </c>
      <c r="C164" s="103" t="s">
        <v>378</v>
      </c>
      <c r="D164" s="57">
        <v>45995</v>
      </c>
      <c r="E164" s="57">
        <v>45995</v>
      </c>
      <c r="F164" s="353" t="s">
        <v>16</v>
      </c>
      <c r="G164" s="11">
        <v>8.33</v>
      </c>
      <c r="H164" s="353" t="s">
        <v>379</v>
      </c>
      <c r="I164" s="353" t="s">
        <v>18</v>
      </c>
      <c r="J164" s="57">
        <v>45995</v>
      </c>
      <c r="K164" s="11">
        <v>8.33</v>
      </c>
      <c r="L164" s="353" t="s">
        <v>345</v>
      </c>
    </row>
    <row r="165" spans="1:12" hidden="1">
      <c r="A165" s="353" t="s">
        <v>13</v>
      </c>
      <c r="B165" s="7" t="s">
        <v>375</v>
      </c>
      <c r="C165" s="103" t="s">
        <v>380</v>
      </c>
      <c r="D165" s="57">
        <v>45995</v>
      </c>
      <c r="E165" s="57">
        <v>45995</v>
      </c>
      <c r="F165" s="353" t="s">
        <v>16</v>
      </c>
      <c r="G165" s="11">
        <v>10.33</v>
      </c>
      <c r="H165" s="353" t="s">
        <v>379</v>
      </c>
      <c r="I165" s="353" t="s">
        <v>18</v>
      </c>
      <c r="J165" s="57">
        <v>45995</v>
      </c>
      <c r="K165" s="11">
        <v>10.33</v>
      </c>
      <c r="L165" s="353" t="s">
        <v>345</v>
      </c>
    </row>
    <row r="166" spans="1:12" hidden="1">
      <c r="A166" s="353" t="s">
        <v>13</v>
      </c>
      <c r="B166" s="7" t="s">
        <v>375</v>
      </c>
      <c r="C166" s="103" t="s">
        <v>381</v>
      </c>
      <c r="D166" s="57">
        <v>45995</v>
      </c>
      <c r="E166" s="57">
        <v>45995</v>
      </c>
      <c r="F166" s="353" t="s">
        <v>16</v>
      </c>
      <c r="G166" s="11">
        <v>18</v>
      </c>
      <c r="H166" s="353" t="s">
        <v>379</v>
      </c>
      <c r="I166" s="353" t="s">
        <v>18</v>
      </c>
      <c r="J166" s="57">
        <v>45995</v>
      </c>
      <c r="K166" s="11">
        <v>18</v>
      </c>
      <c r="L166" s="353" t="s">
        <v>345</v>
      </c>
    </row>
    <row r="167" spans="1:12" hidden="1">
      <c r="A167" s="353" t="s">
        <v>13</v>
      </c>
      <c r="B167" s="7" t="s">
        <v>375</v>
      </c>
      <c r="C167" s="103" t="s">
        <v>382</v>
      </c>
      <c r="D167" s="57">
        <v>46003</v>
      </c>
      <c r="E167" s="57">
        <v>46003</v>
      </c>
      <c r="F167" s="353" t="s">
        <v>16</v>
      </c>
      <c r="G167" s="11">
        <v>10</v>
      </c>
      <c r="H167" s="353" t="s">
        <v>379</v>
      </c>
      <c r="I167" s="353" t="s">
        <v>18</v>
      </c>
      <c r="J167" s="57" t="s">
        <v>383</v>
      </c>
      <c r="K167" s="11">
        <v>10</v>
      </c>
      <c r="L167" s="353" t="s">
        <v>345</v>
      </c>
    </row>
    <row r="168" spans="1:12" hidden="1">
      <c r="A168" s="353" t="s">
        <v>13</v>
      </c>
      <c r="B168" s="7" t="s">
        <v>375</v>
      </c>
      <c r="C168" s="103" t="s">
        <v>384</v>
      </c>
      <c r="D168" s="57">
        <v>46003</v>
      </c>
      <c r="E168" s="57">
        <v>46003</v>
      </c>
      <c r="F168" s="353" t="s">
        <v>16</v>
      </c>
      <c r="G168" s="11">
        <v>16</v>
      </c>
      <c r="H168" s="353" t="s">
        <v>379</v>
      </c>
      <c r="I168" s="353" t="s">
        <v>18</v>
      </c>
      <c r="J168" s="57">
        <v>46003</v>
      </c>
      <c r="K168" s="11">
        <v>16</v>
      </c>
      <c r="L168" s="353" t="s">
        <v>345</v>
      </c>
    </row>
    <row r="169" spans="1:12" hidden="1">
      <c r="A169" s="353" t="s">
        <v>13</v>
      </c>
      <c r="B169" s="7" t="s">
        <v>375</v>
      </c>
      <c r="C169" s="103" t="s">
        <v>4233</v>
      </c>
      <c r="D169" s="57">
        <v>46048</v>
      </c>
      <c r="E169" s="57">
        <v>46048</v>
      </c>
      <c r="F169" s="353" t="s">
        <v>16</v>
      </c>
      <c r="G169" s="11">
        <v>16</v>
      </c>
      <c r="H169" s="353" t="s">
        <v>379</v>
      </c>
      <c r="I169" s="353" t="s">
        <v>18</v>
      </c>
      <c r="J169" s="57">
        <v>46048</v>
      </c>
      <c r="K169" s="11">
        <v>16</v>
      </c>
      <c r="L169" s="353"/>
    </row>
    <row r="170" spans="1:12" hidden="1">
      <c r="A170" s="353" t="s">
        <v>385</v>
      </c>
      <c r="B170" s="7" t="s">
        <v>386</v>
      </c>
      <c r="C170" s="103" t="s">
        <v>387</v>
      </c>
      <c r="D170" s="57">
        <v>45673</v>
      </c>
      <c r="E170" s="57">
        <v>45716</v>
      </c>
      <c r="F170" s="353" t="s">
        <v>16</v>
      </c>
      <c r="G170" s="11">
        <v>16925.38</v>
      </c>
      <c r="H170" s="353" t="s">
        <v>342</v>
      </c>
      <c r="I170" s="353" t="s">
        <v>389</v>
      </c>
      <c r="J170" s="57">
        <v>45685</v>
      </c>
      <c r="K170" s="11">
        <v>16925.38</v>
      </c>
      <c r="L170" s="353" t="s">
        <v>111</v>
      </c>
    </row>
    <row r="171" spans="1:12" hidden="1">
      <c r="A171" s="353" t="s">
        <v>385</v>
      </c>
      <c r="B171" s="7" t="s">
        <v>386</v>
      </c>
      <c r="C171" s="103" t="s">
        <v>390</v>
      </c>
      <c r="D171" s="57">
        <v>45700</v>
      </c>
      <c r="E171" s="57">
        <v>45747</v>
      </c>
      <c r="F171" s="353" t="s">
        <v>16</v>
      </c>
      <c r="G171" s="11">
        <v>11766.72</v>
      </c>
      <c r="H171" s="353" t="s">
        <v>312</v>
      </c>
      <c r="I171" s="353" t="s">
        <v>56</v>
      </c>
      <c r="J171" s="57">
        <v>45730</v>
      </c>
      <c r="K171" s="11">
        <v>11766.72</v>
      </c>
      <c r="L171" s="353" t="s">
        <v>111</v>
      </c>
    </row>
    <row r="172" spans="1:12" hidden="1">
      <c r="A172" s="353" t="s">
        <v>13</v>
      </c>
      <c r="B172" s="7" t="s">
        <v>386</v>
      </c>
      <c r="C172" s="103" t="s">
        <v>392</v>
      </c>
      <c r="D172" s="57">
        <v>45716</v>
      </c>
      <c r="E172" s="57">
        <v>45777</v>
      </c>
      <c r="F172" s="353" t="s">
        <v>16</v>
      </c>
      <c r="G172" s="11">
        <v>12667.41</v>
      </c>
      <c r="H172" s="353" t="s">
        <v>312</v>
      </c>
      <c r="I172" s="353" t="s">
        <v>110</v>
      </c>
      <c r="J172" s="57">
        <v>45853</v>
      </c>
      <c r="K172" s="11">
        <v>12667.41</v>
      </c>
      <c r="L172" s="353" t="s">
        <v>394</v>
      </c>
    </row>
    <row r="173" spans="1:12" hidden="1">
      <c r="A173" s="353" t="s">
        <v>316</v>
      </c>
      <c r="B173" s="7" t="s">
        <v>395</v>
      </c>
      <c r="C173" s="103" t="s">
        <v>396</v>
      </c>
      <c r="D173" s="57">
        <v>45734</v>
      </c>
      <c r="E173" s="57">
        <v>45808</v>
      </c>
      <c r="F173" s="353" t="s">
        <v>16</v>
      </c>
      <c r="G173" s="11">
        <v>702.72</v>
      </c>
      <c r="H173" s="353" t="s">
        <v>398</v>
      </c>
      <c r="I173" s="353" t="s">
        <v>399</v>
      </c>
      <c r="J173" s="57">
        <v>45811</v>
      </c>
      <c r="K173" s="11">
        <v>702.72</v>
      </c>
      <c r="L173" s="353"/>
    </row>
    <row r="174" spans="1:12" hidden="1">
      <c r="A174" s="353"/>
      <c r="B174" s="7" t="s">
        <v>4221</v>
      </c>
      <c r="C174" s="103" t="s">
        <v>4222</v>
      </c>
      <c r="D174" s="57">
        <v>46049</v>
      </c>
      <c r="E174" s="57">
        <v>46049</v>
      </c>
      <c r="F174" s="353" t="s">
        <v>16</v>
      </c>
      <c r="G174" s="11">
        <v>19.52</v>
      </c>
      <c r="H174" s="353" t="s">
        <v>4234</v>
      </c>
      <c r="I174" s="353" t="s">
        <v>47</v>
      </c>
      <c r="J174" s="57">
        <v>46049</v>
      </c>
      <c r="K174" s="11">
        <v>19.52</v>
      </c>
      <c r="L174" s="353" t="s">
        <v>2886</v>
      </c>
    </row>
    <row r="175" spans="1:12" hidden="1">
      <c r="A175" s="353" t="s">
        <v>385</v>
      </c>
      <c r="B175" s="7" t="s">
        <v>400</v>
      </c>
      <c r="C175" s="103" t="s">
        <v>401</v>
      </c>
      <c r="D175" s="57">
        <v>45694</v>
      </c>
      <c r="F175" s="353" t="s">
        <v>16</v>
      </c>
      <c r="G175" s="11">
        <v>7481.6</v>
      </c>
      <c r="H175" s="353" t="s">
        <v>312</v>
      </c>
      <c r="I175" s="353" t="s">
        <v>66</v>
      </c>
      <c r="J175" s="57"/>
      <c r="K175" s="11"/>
      <c r="L175" s="353"/>
    </row>
    <row r="176" spans="1:12" hidden="1">
      <c r="A176" s="353" t="s">
        <v>385</v>
      </c>
      <c r="B176" s="7" t="s">
        <v>400</v>
      </c>
      <c r="C176" s="103" t="s">
        <v>401</v>
      </c>
      <c r="D176" s="57">
        <v>45694</v>
      </c>
      <c r="F176" s="353" t="s">
        <v>16</v>
      </c>
      <c r="G176" s="11">
        <v>3500</v>
      </c>
      <c r="H176" s="353" t="s">
        <v>312</v>
      </c>
      <c r="I176" s="353" t="s">
        <v>66</v>
      </c>
      <c r="J176" s="57">
        <v>45730</v>
      </c>
      <c r="K176" s="11">
        <v>3500</v>
      </c>
      <c r="L176" s="353" t="s">
        <v>111</v>
      </c>
    </row>
    <row r="177" spans="1:12" hidden="1">
      <c r="A177" s="353" t="s">
        <v>13</v>
      </c>
      <c r="B177" s="7" t="s">
        <v>400</v>
      </c>
      <c r="C177" s="103" t="s">
        <v>401</v>
      </c>
      <c r="D177" s="57">
        <v>45694</v>
      </c>
      <c r="F177" s="353"/>
      <c r="G177" s="11">
        <v>3981.6</v>
      </c>
      <c r="H177" s="353" t="s">
        <v>312</v>
      </c>
      <c r="I177" s="353" t="s">
        <v>66</v>
      </c>
      <c r="J177" s="57"/>
      <c r="K177" s="11"/>
      <c r="L177" s="353"/>
    </row>
    <row r="178" spans="1:12" hidden="1">
      <c r="A178" s="353" t="s">
        <v>90</v>
      </c>
      <c r="B178" s="7" t="s">
        <v>403</v>
      </c>
      <c r="C178" s="103" t="s">
        <v>2494</v>
      </c>
      <c r="D178" s="57">
        <v>46007</v>
      </c>
      <c r="E178" s="57">
        <v>46022</v>
      </c>
      <c r="F178" s="353" t="s">
        <v>16</v>
      </c>
      <c r="G178" s="11">
        <v>458</v>
      </c>
      <c r="H178" s="353" t="s">
        <v>405</v>
      </c>
      <c r="I178" s="353" t="s">
        <v>354</v>
      </c>
      <c r="J178" s="57"/>
      <c r="K178" s="11">
        <v>458</v>
      </c>
      <c r="L178" s="353"/>
    </row>
    <row r="179" spans="1:12" hidden="1">
      <c r="A179" s="353" t="s">
        <v>90</v>
      </c>
      <c r="B179" s="7" t="s">
        <v>406</v>
      </c>
      <c r="C179" s="103" t="s">
        <v>407</v>
      </c>
      <c r="D179" s="57">
        <v>45918</v>
      </c>
      <c r="E179" s="57">
        <v>45727</v>
      </c>
      <c r="F179" s="353" t="s">
        <v>16</v>
      </c>
      <c r="G179" s="11">
        <v>3933.18</v>
      </c>
      <c r="H179" s="353" t="s">
        <v>409</v>
      </c>
      <c r="I179" s="353" t="s">
        <v>56</v>
      </c>
      <c r="J179" s="57"/>
      <c r="K179" s="11"/>
      <c r="L179" s="353"/>
    </row>
    <row r="180" spans="1:12" hidden="1">
      <c r="A180" s="353"/>
      <c r="B180" s="7" t="s">
        <v>410</v>
      </c>
      <c r="C180" s="103" t="s">
        <v>411</v>
      </c>
      <c r="D180" s="57">
        <v>45896</v>
      </c>
      <c r="E180" s="57">
        <v>45896</v>
      </c>
      <c r="F180" s="353" t="s">
        <v>16</v>
      </c>
      <c r="G180" s="11">
        <v>406.94</v>
      </c>
      <c r="H180" s="353" t="s">
        <v>413</v>
      </c>
      <c r="I180" s="353" t="s">
        <v>66</v>
      </c>
      <c r="J180" s="57">
        <v>45989</v>
      </c>
      <c r="K180" s="11" t="s">
        <v>394</v>
      </c>
      <c r="L180" s="353"/>
    </row>
    <row r="181" spans="1:12" hidden="1">
      <c r="A181" s="353" t="s">
        <v>47</v>
      </c>
      <c r="B181" s="7" t="s">
        <v>414</v>
      </c>
      <c r="C181" s="103" t="s">
        <v>415</v>
      </c>
      <c r="D181" s="57">
        <v>45699</v>
      </c>
      <c r="F181" s="353" t="s">
        <v>16</v>
      </c>
      <c r="G181" s="11">
        <v>63.42</v>
      </c>
      <c r="H181" s="353" t="s">
        <v>417</v>
      </c>
      <c r="I181" s="353" t="s">
        <v>24</v>
      </c>
      <c r="J181" s="57"/>
      <c r="K181" s="11"/>
      <c r="L181" s="353"/>
    </row>
    <row r="182" spans="1:12" hidden="1">
      <c r="A182" s="353" t="s">
        <v>13</v>
      </c>
      <c r="B182" s="7" t="s">
        <v>418</v>
      </c>
      <c r="C182" s="103" t="s">
        <v>419</v>
      </c>
      <c r="D182" s="57">
        <v>45873</v>
      </c>
      <c r="F182" s="353" t="s">
        <v>16</v>
      </c>
      <c r="G182" s="11">
        <v>55.96</v>
      </c>
      <c r="H182" s="353" t="s">
        <v>421</v>
      </c>
      <c r="I182" s="353" t="s">
        <v>215</v>
      </c>
      <c r="J182" s="57">
        <v>45873</v>
      </c>
      <c r="K182" s="11">
        <v>55.96</v>
      </c>
      <c r="L182" s="353" t="s">
        <v>422</v>
      </c>
    </row>
    <row r="183" spans="1:12" hidden="1">
      <c r="A183" s="353" t="s">
        <v>13</v>
      </c>
      <c r="B183" s="7" t="s">
        <v>418</v>
      </c>
      <c r="C183" s="103" t="s">
        <v>423</v>
      </c>
      <c r="D183" s="57">
        <v>45903</v>
      </c>
      <c r="F183" s="353" t="s">
        <v>16</v>
      </c>
      <c r="G183" s="11">
        <v>51.24</v>
      </c>
      <c r="H183" s="353"/>
      <c r="I183" s="353" t="s">
        <v>425</v>
      </c>
      <c r="J183" s="57"/>
      <c r="K183" s="11"/>
      <c r="L183" s="353"/>
    </row>
    <row r="184" spans="1:12" hidden="1">
      <c r="A184" s="353" t="s">
        <v>13</v>
      </c>
      <c r="B184" s="7" t="s">
        <v>418</v>
      </c>
      <c r="C184" s="103" t="s">
        <v>426</v>
      </c>
      <c r="D184" s="57">
        <v>45966</v>
      </c>
      <c r="E184" s="57">
        <v>45966</v>
      </c>
      <c r="F184" s="353" t="s">
        <v>16</v>
      </c>
      <c r="G184" s="11">
        <v>51.24</v>
      </c>
      <c r="H184" s="353" t="s">
        <v>427</v>
      </c>
      <c r="I184" s="353" t="s">
        <v>428</v>
      </c>
      <c r="J184" s="57"/>
      <c r="K184" s="11">
        <v>51.24</v>
      </c>
      <c r="L184" s="353"/>
    </row>
    <row r="185" spans="1:12" hidden="1">
      <c r="A185" s="353"/>
      <c r="B185" s="7" t="s">
        <v>4268</v>
      </c>
      <c r="C185" s="103" t="s">
        <v>4129</v>
      </c>
      <c r="D185" s="57">
        <v>46043</v>
      </c>
      <c r="E185" s="57">
        <v>46043</v>
      </c>
      <c r="F185" s="353" t="s">
        <v>16</v>
      </c>
      <c r="G185" s="11">
        <v>37.15</v>
      </c>
      <c r="H185" s="353" t="s">
        <v>813</v>
      </c>
      <c r="I185" s="353" t="s">
        <v>425</v>
      </c>
      <c r="J185" s="57"/>
      <c r="K185" s="11">
        <v>37.15</v>
      </c>
      <c r="L185" s="353"/>
    </row>
    <row r="186" spans="1:12" hidden="1">
      <c r="A186" s="353" t="s">
        <v>13</v>
      </c>
      <c r="B186" s="7" t="s">
        <v>429</v>
      </c>
      <c r="C186" s="103" t="s">
        <v>430</v>
      </c>
      <c r="D186" s="57">
        <v>45685</v>
      </c>
      <c r="E186" s="57">
        <v>45705</v>
      </c>
      <c r="F186" s="353" t="s">
        <v>16</v>
      </c>
      <c r="G186" s="11">
        <v>450.51</v>
      </c>
      <c r="H186" s="353" t="s">
        <v>87</v>
      </c>
      <c r="I186" s="353" t="s">
        <v>150</v>
      </c>
      <c r="J186" s="57">
        <v>45705</v>
      </c>
      <c r="K186" s="11">
        <v>450.51</v>
      </c>
      <c r="L186" s="353" t="s">
        <v>345</v>
      </c>
    </row>
    <row r="187" spans="1:12" hidden="1">
      <c r="A187" s="353" t="s">
        <v>13</v>
      </c>
      <c r="B187" s="7" t="s">
        <v>429</v>
      </c>
      <c r="C187" s="103" t="s">
        <v>432</v>
      </c>
      <c r="D187" s="57">
        <v>45714</v>
      </c>
      <c r="E187" s="57">
        <v>45734</v>
      </c>
      <c r="F187" s="353" t="s">
        <v>16</v>
      </c>
      <c r="G187" s="11">
        <v>1230.1500000000001</v>
      </c>
      <c r="H187" s="353" t="s">
        <v>87</v>
      </c>
      <c r="I187" s="353" t="s">
        <v>150</v>
      </c>
      <c r="J187" s="57">
        <v>45734</v>
      </c>
      <c r="K187" s="11">
        <v>1230.1500000000001</v>
      </c>
      <c r="L187" s="353" t="s">
        <v>345</v>
      </c>
    </row>
    <row r="188" spans="1:12" hidden="1">
      <c r="A188" s="353" t="s">
        <v>13</v>
      </c>
      <c r="B188" s="7" t="s">
        <v>429</v>
      </c>
      <c r="C188" s="103" t="s">
        <v>434</v>
      </c>
      <c r="D188" s="57">
        <v>45741</v>
      </c>
      <c r="E188" s="57">
        <v>45761</v>
      </c>
      <c r="F188" s="353" t="s">
        <v>16</v>
      </c>
      <c r="G188" s="11">
        <v>37.86</v>
      </c>
      <c r="H188" s="353" t="s">
        <v>436</v>
      </c>
      <c r="I188" s="353" t="s">
        <v>150</v>
      </c>
      <c r="J188" s="57">
        <v>45761</v>
      </c>
      <c r="K188" s="11">
        <v>37.86</v>
      </c>
      <c r="L188" s="353" t="s">
        <v>345</v>
      </c>
    </row>
    <row r="189" spans="1:12" hidden="1">
      <c r="A189" s="353" t="s">
        <v>13</v>
      </c>
      <c r="B189" s="7" t="s">
        <v>429</v>
      </c>
      <c r="C189" s="103" t="s">
        <v>437</v>
      </c>
      <c r="D189" s="57">
        <v>45741</v>
      </c>
      <c r="E189" s="57">
        <v>45761</v>
      </c>
      <c r="F189" s="353" t="s">
        <v>16</v>
      </c>
      <c r="G189" s="11">
        <v>225.75</v>
      </c>
      <c r="H189" s="353" t="s">
        <v>87</v>
      </c>
      <c r="I189" s="353" t="s">
        <v>150</v>
      </c>
      <c r="J189" s="57">
        <v>45764</v>
      </c>
      <c r="K189" s="11">
        <v>225.75</v>
      </c>
      <c r="L189" s="353" t="s">
        <v>345</v>
      </c>
    </row>
    <row r="190" spans="1:12" hidden="1">
      <c r="A190" s="353" t="s">
        <v>13</v>
      </c>
      <c r="B190" s="7" t="s">
        <v>429</v>
      </c>
      <c r="C190" s="103" t="s">
        <v>439</v>
      </c>
      <c r="D190" s="57">
        <v>45775</v>
      </c>
      <c r="E190" s="57">
        <v>45796</v>
      </c>
      <c r="F190" s="353" t="s">
        <v>16</v>
      </c>
      <c r="G190" s="11">
        <v>265.18</v>
      </c>
      <c r="H190" s="353" t="s">
        <v>87</v>
      </c>
      <c r="I190" s="353" t="s">
        <v>150</v>
      </c>
      <c r="J190" s="57">
        <v>45796</v>
      </c>
      <c r="K190" s="11">
        <v>265.18</v>
      </c>
      <c r="L190" s="353" t="s">
        <v>345</v>
      </c>
    </row>
    <row r="191" spans="1:12" hidden="1">
      <c r="A191" s="353" t="s">
        <v>13</v>
      </c>
      <c r="B191" s="7" t="s">
        <v>429</v>
      </c>
      <c r="C191" s="103" t="s">
        <v>441</v>
      </c>
      <c r="D191" s="57">
        <v>45804</v>
      </c>
      <c r="E191" s="57">
        <v>45824</v>
      </c>
      <c r="F191" s="353" t="s">
        <v>16</v>
      </c>
      <c r="G191" s="11">
        <v>37.49</v>
      </c>
      <c r="H191" s="353" t="s">
        <v>87</v>
      </c>
      <c r="I191" s="353" t="s">
        <v>150</v>
      </c>
      <c r="J191" s="57">
        <v>45824</v>
      </c>
      <c r="K191" s="11">
        <v>37.49</v>
      </c>
      <c r="L191" s="353" t="s">
        <v>345</v>
      </c>
    </row>
    <row r="192" spans="1:12" hidden="1">
      <c r="A192" s="353" t="s">
        <v>13</v>
      </c>
      <c r="B192" s="7" t="s">
        <v>429</v>
      </c>
      <c r="C192" s="103" t="s">
        <v>3212</v>
      </c>
      <c r="D192" s="57">
        <v>45804</v>
      </c>
      <c r="F192" s="353" t="s">
        <v>16</v>
      </c>
      <c r="G192" s="11">
        <v>-82.19</v>
      </c>
      <c r="H192" s="353" t="s">
        <v>87</v>
      </c>
      <c r="I192" s="353" t="s">
        <v>150</v>
      </c>
      <c r="J192" s="57" t="s">
        <v>80</v>
      </c>
      <c r="K192" s="11">
        <v>-82.19</v>
      </c>
      <c r="L192" s="353" t="s">
        <v>345</v>
      </c>
    </row>
    <row r="193" spans="1:12" hidden="1">
      <c r="A193" s="353" t="s">
        <v>13</v>
      </c>
      <c r="B193" s="7" t="s">
        <v>429</v>
      </c>
      <c r="C193" s="103" t="s">
        <v>445</v>
      </c>
      <c r="D193" s="57">
        <v>45833</v>
      </c>
      <c r="E193" s="57">
        <v>45853</v>
      </c>
      <c r="F193" s="353" t="s">
        <v>16</v>
      </c>
      <c r="G193" s="11">
        <v>38.19</v>
      </c>
      <c r="H193" s="353" t="s">
        <v>87</v>
      </c>
      <c r="I193" s="353" t="s">
        <v>150</v>
      </c>
      <c r="J193" s="57">
        <v>45853</v>
      </c>
      <c r="K193" s="11">
        <v>38.19</v>
      </c>
      <c r="L193" s="353" t="s">
        <v>345</v>
      </c>
    </row>
    <row r="194" spans="1:12" hidden="1">
      <c r="A194" s="353" t="s">
        <v>13</v>
      </c>
      <c r="B194" s="7" t="s">
        <v>429</v>
      </c>
      <c r="C194" s="103" t="s">
        <v>447</v>
      </c>
      <c r="D194" s="57">
        <v>45864</v>
      </c>
      <c r="E194" s="57">
        <v>45887</v>
      </c>
      <c r="F194" s="353" t="s">
        <v>16</v>
      </c>
      <c r="G194" s="11">
        <v>145.81</v>
      </c>
      <c r="H194" s="353" t="s">
        <v>436</v>
      </c>
      <c r="I194" s="353" t="s">
        <v>150</v>
      </c>
      <c r="J194" s="57">
        <v>45887</v>
      </c>
      <c r="K194" s="11">
        <v>145.81</v>
      </c>
      <c r="L194" s="353" t="s">
        <v>345</v>
      </c>
    </row>
    <row r="195" spans="1:12" hidden="1">
      <c r="A195" s="353" t="s">
        <v>13</v>
      </c>
      <c r="B195" s="7" t="s">
        <v>429</v>
      </c>
      <c r="C195" s="103" t="s">
        <v>449</v>
      </c>
      <c r="D195" s="57">
        <v>45895</v>
      </c>
      <c r="E195" s="57">
        <v>45915</v>
      </c>
      <c r="F195" s="353" t="s">
        <v>16</v>
      </c>
      <c r="G195" s="11">
        <v>10.84</v>
      </c>
      <c r="H195" s="353" t="s">
        <v>87</v>
      </c>
      <c r="I195" s="353" t="s">
        <v>150</v>
      </c>
      <c r="J195" s="57">
        <v>45915</v>
      </c>
      <c r="K195" s="11">
        <v>10.84</v>
      </c>
      <c r="L195" s="353" t="s">
        <v>345</v>
      </c>
    </row>
    <row r="196" spans="1:12" hidden="1">
      <c r="A196" s="353" t="s">
        <v>13</v>
      </c>
      <c r="B196" s="7" t="s">
        <v>4142</v>
      </c>
      <c r="C196" s="103" t="s">
        <v>4143</v>
      </c>
      <c r="F196" s="353" t="s">
        <v>16</v>
      </c>
      <c r="G196" s="11">
        <v>1354.5</v>
      </c>
      <c r="H196" s="353" t="s">
        <v>4144</v>
      </c>
      <c r="I196" s="353" t="s">
        <v>75</v>
      </c>
      <c r="J196" s="57">
        <v>46036</v>
      </c>
      <c r="K196" s="11">
        <v>1354.5</v>
      </c>
      <c r="L196" s="353" t="s">
        <v>19</v>
      </c>
    </row>
    <row r="197" spans="1:12" hidden="1">
      <c r="A197" s="353" t="s">
        <v>13</v>
      </c>
      <c r="B197" s="7" t="s">
        <v>4142</v>
      </c>
      <c r="C197" s="103" t="s">
        <v>4143</v>
      </c>
      <c r="F197" s="353" t="s">
        <v>16</v>
      </c>
      <c r="G197" s="11">
        <v>1354.5</v>
      </c>
      <c r="H197" s="353" t="s">
        <v>4144</v>
      </c>
      <c r="I197" s="353" t="s">
        <v>75</v>
      </c>
      <c r="J197" s="57">
        <v>46036</v>
      </c>
      <c r="K197" s="11">
        <v>1354.5</v>
      </c>
      <c r="L197" s="353" t="s">
        <v>19</v>
      </c>
    </row>
    <row r="198" spans="1:12" hidden="1">
      <c r="A198" s="353" t="s">
        <v>13</v>
      </c>
      <c r="B198" s="7" t="s">
        <v>4142</v>
      </c>
      <c r="C198" s="103" t="s">
        <v>4143</v>
      </c>
      <c r="F198" s="353"/>
      <c r="G198" s="11">
        <v>1354.5</v>
      </c>
      <c r="H198" s="353" t="s">
        <v>4144</v>
      </c>
      <c r="I198" s="353" t="s">
        <v>75</v>
      </c>
      <c r="J198" s="57"/>
      <c r="K198" s="11"/>
      <c r="L198" s="353"/>
    </row>
    <row r="199" spans="1:12" hidden="1">
      <c r="A199" s="353" t="s">
        <v>13</v>
      </c>
      <c r="B199" s="7" t="s">
        <v>4142</v>
      </c>
      <c r="C199" s="103" t="s">
        <v>4143</v>
      </c>
      <c r="F199" s="353"/>
      <c r="G199" s="11">
        <v>1354.5</v>
      </c>
      <c r="H199" s="353" t="s">
        <v>4144</v>
      </c>
      <c r="I199" s="353" t="s">
        <v>75</v>
      </c>
      <c r="J199" s="57"/>
      <c r="K199" s="11"/>
      <c r="L199" s="353"/>
    </row>
    <row r="200" spans="1:12" hidden="1">
      <c r="A200" s="353" t="s">
        <v>13</v>
      </c>
      <c r="B200" s="7" t="s">
        <v>4142</v>
      </c>
      <c r="C200" s="103" t="s">
        <v>4143</v>
      </c>
      <c r="F200" s="353"/>
      <c r="G200" s="11">
        <v>1354.5</v>
      </c>
      <c r="H200" s="353" t="s">
        <v>4144</v>
      </c>
      <c r="I200" s="353" t="s">
        <v>75</v>
      </c>
      <c r="J200" s="57"/>
      <c r="K200" s="11"/>
      <c r="L200" s="353"/>
    </row>
    <row r="201" spans="1:12" hidden="1">
      <c r="A201" s="353" t="s">
        <v>13</v>
      </c>
      <c r="B201" s="7" t="s">
        <v>4142</v>
      </c>
      <c r="C201" s="103" t="s">
        <v>4143</v>
      </c>
      <c r="F201" s="353"/>
      <c r="G201" s="11">
        <v>1354.5</v>
      </c>
      <c r="H201" s="353" t="s">
        <v>4144</v>
      </c>
      <c r="I201" s="353" t="s">
        <v>75</v>
      </c>
      <c r="J201" s="57"/>
      <c r="K201" s="11"/>
      <c r="L201" s="353"/>
    </row>
    <row r="202" spans="1:12" hidden="1">
      <c r="A202" s="353" t="s">
        <v>13</v>
      </c>
      <c r="B202" s="7" t="s">
        <v>451</v>
      </c>
      <c r="C202" s="103" t="s">
        <v>452</v>
      </c>
      <c r="D202" s="57">
        <v>45978</v>
      </c>
      <c r="E202" s="57">
        <v>45978</v>
      </c>
      <c r="F202" s="353"/>
      <c r="G202" s="11">
        <v>1098</v>
      </c>
      <c r="H202" s="353" t="s">
        <v>453</v>
      </c>
      <c r="I202" s="353" t="s">
        <v>354</v>
      </c>
      <c r="J202" s="57"/>
      <c r="K202" s="11"/>
      <c r="L202" s="353"/>
    </row>
    <row r="203" spans="1:12" hidden="1">
      <c r="A203" s="353"/>
      <c r="B203" s="7" t="s">
        <v>4335</v>
      </c>
      <c r="C203" s="103" t="s">
        <v>1596</v>
      </c>
      <c r="D203" s="57">
        <v>46079</v>
      </c>
      <c r="E203" s="57">
        <v>46079</v>
      </c>
      <c r="F203" s="353" t="s">
        <v>16</v>
      </c>
      <c r="G203" s="11">
        <v>78.08</v>
      </c>
      <c r="H203" s="353" t="s">
        <v>4336</v>
      </c>
      <c r="I203" s="353" t="s">
        <v>47</v>
      </c>
      <c r="J203" s="57"/>
      <c r="K203" s="11"/>
      <c r="L203" s="353"/>
    </row>
    <row r="204" spans="1:12" hidden="1">
      <c r="A204" s="353" t="s">
        <v>13</v>
      </c>
      <c r="B204" s="7" t="s">
        <v>454</v>
      </c>
      <c r="C204" s="103" t="s">
        <v>455</v>
      </c>
      <c r="D204" s="57">
        <v>45870</v>
      </c>
      <c r="E204" s="57">
        <v>45870</v>
      </c>
      <c r="F204" s="353" t="s">
        <v>16</v>
      </c>
      <c r="G204" s="11">
        <v>124</v>
      </c>
      <c r="H204" s="353" t="s">
        <v>457</v>
      </c>
      <c r="I204" s="353" t="s">
        <v>215</v>
      </c>
      <c r="J204" s="57"/>
      <c r="K204" s="11"/>
      <c r="L204" s="353"/>
    </row>
    <row r="205" spans="1:12" hidden="1">
      <c r="A205" s="353" t="s">
        <v>13</v>
      </c>
      <c r="B205" s="7" t="s">
        <v>458</v>
      </c>
      <c r="C205" s="103" t="s">
        <v>3214</v>
      </c>
      <c r="D205" s="57">
        <v>45974</v>
      </c>
      <c r="E205" s="57">
        <v>45974</v>
      </c>
      <c r="F205" s="353" t="s">
        <v>16</v>
      </c>
      <c r="G205" s="11">
        <v>176.5</v>
      </c>
      <c r="H205" s="353" t="s">
        <v>460</v>
      </c>
      <c r="I205" s="353" t="s">
        <v>18</v>
      </c>
      <c r="J205" s="57">
        <v>45944</v>
      </c>
      <c r="K205" s="11">
        <v>176.5</v>
      </c>
      <c r="L205" s="353" t="s">
        <v>19</v>
      </c>
    </row>
    <row r="206" spans="1:12" hidden="1">
      <c r="A206" s="353" t="s">
        <v>13</v>
      </c>
      <c r="B206" s="7" t="s">
        <v>461</v>
      </c>
      <c r="C206" s="103" t="s">
        <v>462</v>
      </c>
      <c r="D206" s="57">
        <v>45994</v>
      </c>
      <c r="E206" s="57">
        <v>46181</v>
      </c>
      <c r="F206" s="353" t="s">
        <v>16</v>
      </c>
      <c r="G206" s="11">
        <v>35</v>
      </c>
      <c r="H206" s="353" t="s">
        <v>463</v>
      </c>
      <c r="I206" s="353" t="s">
        <v>18</v>
      </c>
      <c r="J206" s="57">
        <v>46006</v>
      </c>
      <c r="K206" s="11">
        <v>35</v>
      </c>
      <c r="L206" s="353" t="s">
        <v>19</v>
      </c>
    </row>
    <row r="207" spans="1:12" hidden="1">
      <c r="A207" s="353" t="s">
        <v>13</v>
      </c>
      <c r="B207" s="7" t="s">
        <v>3367</v>
      </c>
      <c r="C207" s="103" t="s">
        <v>3368</v>
      </c>
      <c r="D207" s="57">
        <v>46027</v>
      </c>
      <c r="E207" s="57">
        <v>46027</v>
      </c>
      <c r="F207" s="353" t="s">
        <v>16</v>
      </c>
      <c r="G207" s="11">
        <v>29.4</v>
      </c>
      <c r="H207" s="353" t="s">
        <v>3369</v>
      </c>
      <c r="I207" s="353" t="s">
        <v>18</v>
      </c>
      <c r="J207" s="57">
        <v>46029</v>
      </c>
      <c r="K207" s="11">
        <v>29.4</v>
      </c>
      <c r="L207" s="353" t="s">
        <v>19</v>
      </c>
    </row>
    <row r="208" spans="1:12" hidden="1">
      <c r="A208" s="353" t="s">
        <v>13</v>
      </c>
      <c r="B208" s="7" t="s">
        <v>4145</v>
      </c>
      <c r="C208" s="103" t="s">
        <v>4146</v>
      </c>
      <c r="D208" s="57">
        <v>46019</v>
      </c>
      <c r="E208" s="57">
        <v>46019</v>
      </c>
      <c r="F208" s="353" t="s">
        <v>16</v>
      </c>
      <c r="G208" s="11">
        <v>60.9</v>
      </c>
      <c r="H208" s="353" t="s">
        <v>4147</v>
      </c>
      <c r="I208" s="353" t="s">
        <v>18</v>
      </c>
      <c r="J208" s="57">
        <v>46376</v>
      </c>
      <c r="K208" s="11">
        <v>60.9</v>
      </c>
      <c r="L208" s="353" t="s">
        <v>19</v>
      </c>
    </row>
    <row r="209" spans="1:12" hidden="1">
      <c r="A209" s="353" t="s">
        <v>464</v>
      </c>
      <c r="B209" s="7" t="s">
        <v>465</v>
      </c>
      <c r="C209" s="103" t="s">
        <v>317</v>
      </c>
      <c r="D209" s="57">
        <v>45860</v>
      </c>
      <c r="E209" s="57">
        <v>45860</v>
      </c>
      <c r="F209" s="353" t="s">
        <v>16</v>
      </c>
      <c r="G209" s="11">
        <v>1389.44</v>
      </c>
      <c r="H209" s="353" t="s">
        <v>467</v>
      </c>
      <c r="I209" s="353" t="s">
        <v>56</v>
      </c>
      <c r="J209" s="57">
        <v>45910</v>
      </c>
      <c r="K209" s="11">
        <v>1389.44</v>
      </c>
      <c r="L209" s="353" t="s">
        <v>19</v>
      </c>
    </row>
    <row r="210" spans="1:12" hidden="1">
      <c r="A210" s="353" t="s">
        <v>316</v>
      </c>
      <c r="B210" s="7" t="s">
        <v>465</v>
      </c>
      <c r="C210" s="103" t="s">
        <v>468</v>
      </c>
      <c r="D210" s="57">
        <v>45939</v>
      </c>
      <c r="E210" s="57">
        <v>45939</v>
      </c>
      <c r="F210" s="353" t="s">
        <v>16</v>
      </c>
      <c r="G210" s="11">
        <v>3206.4</v>
      </c>
      <c r="H210" s="353" t="s">
        <v>470</v>
      </c>
      <c r="I210" s="353" t="s">
        <v>56</v>
      </c>
      <c r="J210" s="57">
        <v>45945</v>
      </c>
      <c r="K210" s="11">
        <v>3206.4</v>
      </c>
      <c r="L210" s="353" t="s">
        <v>246</v>
      </c>
    </row>
    <row r="211" spans="1:12" hidden="1">
      <c r="A211" s="353" t="s">
        <v>316</v>
      </c>
      <c r="B211" s="7" t="s">
        <v>465</v>
      </c>
      <c r="C211" s="103" t="s">
        <v>396</v>
      </c>
      <c r="D211" s="57">
        <v>45939</v>
      </c>
      <c r="E211" s="57">
        <v>45939</v>
      </c>
      <c r="F211" s="353" t="s">
        <v>16</v>
      </c>
      <c r="G211" s="11">
        <v>1068.8</v>
      </c>
      <c r="H211" s="353" t="s">
        <v>472</v>
      </c>
      <c r="I211" s="353" t="s">
        <v>66</v>
      </c>
      <c r="J211" s="57">
        <v>45826</v>
      </c>
      <c r="K211" s="11">
        <v>1068.8</v>
      </c>
      <c r="L211" s="353" t="s">
        <v>2832</v>
      </c>
    </row>
    <row r="212" spans="1:12" hidden="1">
      <c r="A212" s="353" t="s">
        <v>316</v>
      </c>
      <c r="B212" s="7" t="s">
        <v>465</v>
      </c>
      <c r="C212" s="103" t="s">
        <v>396</v>
      </c>
      <c r="D212" s="57">
        <v>45939</v>
      </c>
      <c r="E212" s="57">
        <v>45939</v>
      </c>
      <c r="F212" s="353"/>
      <c r="G212" s="11">
        <v>534.4</v>
      </c>
      <c r="H212" s="353" t="s">
        <v>472</v>
      </c>
      <c r="I212" s="353" t="s">
        <v>66</v>
      </c>
      <c r="J212" s="57"/>
      <c r="K212" s="11"/>
      <c r="L212" s="353"/>
    </row>
    <row r="213" spans="1:12" hidden="1">
      <c r="A213" s="353" t="s">
        <v>316</v>
      </c>
      <c r="B213" s="7" t="s">
        <v>465</v>
      </c>
      <c r="C213" s="103" t="s">
        <v>473</v>
      </c>
      <c r="D213" s="57">
        <v>45968</v>
      </c>
      <c r="E213" s="57">
        <v>45968</v>
      </c>
      <c r="F213" s="353"/>
      <c r="G213" s="11">
        <v>572.32000000000005</v>
      </c>
      <c r="H213" s="353" t="s">
        <v>474</v>
      </c>
      <c r="I213" s="353" t="s">
        <v>83</v>
      </c>
      <c r="J213" s="57"/>
      <c r="K213" s="11">
        <v>572.32000000000005</v>
      </c>
      <c r="L213" s="353"/>
    </row>
    <row r="214" spans="1:12" hidden="1">
      <c r="A214" s="353"/>
      <c r="B214" s="7" t="s">
        <v>465</v>
      </c>
      <c r="C214" s="103" t="s">
        <v>3371</v>
      </c>
      <c r="D214" s="57">
        <v>46019</v>
      </c>
      <c r="E214" s="57">
        <v>46019</v>
      </c>
      <c r="F214" s="353"/>
      <c r="G214" s="11">
        <v>5344</v>
      </c>
      <c r="H214" s="353" t="s">
        <v>3372</v>
      </c>
      <c r="I214" s="353" t="s">
        <v>83</v>
      </c>
      <c r="J214" s="57"/>
      <c r="K214" s="11"/>
      <c r="L214" s="353"/>
    </row>
    <row r="215" spans="1:12" hidden="1">
      <c r="A215" s="353"/>
      <c r="B215" s="7" t="s">
        <v>465</v>
      </c>
      <c r="C215" s="103" t="s">
        <v>3373</v>
      </c>
      <c r="D215" s="57">
        <v>46019</v>
      </c>
      <c r="E215" s="57">
        <v>46019</v>
      </c>
      <c r="F215" s="353"/>
      <c r="G215" s="11">
        <v>2137.6</v>
      </c>
      <c r="H215" s="353" t="s">
        <v>3374</v>
      </c>
      <c r="I215" s="353" t="s">
        <v>83</v>
      </c>
      <c r="J215" s="57"/>
      <c r="K215" s="11"/>
      <c r="L215" s="353"/>
    </row>
    <row r="216" spans="1:12" hidden="1">
      <c r="A216" s="353" t="s">
        <v>475</v>
      </c>
      <c r="B216" s="7" t="s">
        <v>476</v>
      </c>
      <c r="C216" s="103" t="s">
        <v>340</v>
      </c>
      <c r="D216" s="57">
        <v>45685</v>
      </c>
      <c r="E216" s="57">
        <v>45685</v>
      </c>
      <c r="F216" s="353" t="s">
        <v>16</v>
      </c>
      <c r="G216" s="11">
        <v>4998</v>
      </c>
      <c r="H216" s="353" t="s">
        <v>342</v>
      </c>
      <c r="I216" s="353" t="s">
        <v>66</v>
      </c>
      <c r="J216" s="57"/>
      <c r="K216" s="11"/>
      <c r="L216" s="353"/>
    </row>
    <row r="217" spans="1:12" hidden="1">
      <c r="A217" s="353" t="s">
        <v>475</v>
      </c>
      <c r="B217" s="7" t="s">
        <v>478</v>
      </c>
      <c r="C217" s="103" t="s">
        <v>479</v>
      </c>
      <c r="D217" s="57">
        <v>45705</v>
      </c>
      <c r="E217" s="57">
        <v>45810</v>
      </c>
      <c r="F217" s="353"/>
      <c r="G217" s="11">
        <v>3500</v>
      </c>
      <c r="H217" s="353" t="s">
        <v>481</v>
      </c>
      <c r="I217" s="353" t="s">
        <v>56</v>
      </c>
      <c r="J217" s="57"/>
      <c r="K217" s="11"/>
      <c r="L217" s="353"/>
    </row>
    <row r="218" spans="1:12" hidden="1">
      <c r="A218" s="353" t="s">
        <v>475</v>
      </c>
      <c r="B218" s="7" t="s">
        <v>478</v>
      </c>
      <c r="C218" s="103" t="s">
        <v>482</v>
      </c>
      <c r="D218" s="57">
        <v>45798</v>
      </c>
      <c r="E218" s="57">
        <v>45810</v>
      </c>
      <c r="F218" s="353"/>
      <c r="G218" s="11">
        <v>600</v>
      </c>
      <c r="H218" s="353" t="s">
        <v>484</v>
      </c>
      <c r="I218" s="353" t="s">
        <v>56</v>
      </c>
      <c r="J218" s="57">
        <v>45910</v>
      </c>
      <c r="K218" s="11" t="s">
        <v>485</v>
      </c>
      <c r="L218" s="353" t="s">
        <v>71</v>
      </c>
    </row>
    <row r="219" spans="1:12" hidden="1">
      <c r="A219" s="353" t="s">
        <v>475</v>
      </c>
      <c r="B219" s="7" t="s">
        <v>478</v>
      </c>
      <c r="C219" s="103" t="s">
        <v>482</v>
      </c>
      <c r="D219" s="57">
        <v>45798</v>
      </c>
      <c r="E219" s="57">
        <v>45810</v>
      </c>
      <c r="F219" s="353" t="s">
        <v>16</v>
      </c>
      <c r="G219" s="11">
        <v>8100</v>
      </c>
      <c r="H219" s="353" t="s">
        <v>484</v>
      </c>
      <c r="I219" s="353" t="s">
        <v>56</v>
      </c>
      <c r="J219" s="57">
        <v>45910</v>
      </c>
      <c r="K219" s="11" t="s">
        <v>486</v>
      </c>
      <c r="L219" s="353" t="s">
        <v>71</v>
      </c>
    </row>
    <row r="220" spans="1:12" hidden="1">
      <c r="A220" s="353" t="s">
        <v>316</v>
      </c>
      <c r="B220" s="7" t="s">
        <v>487</v>
      </c>
      <c r="C220" s="103" t="s">
        <v>488</v>
      </c>
      <c r="D220" s="57">
        <v>45775</v>
      </c>
      <c r="E220" s="57">
        <v>45848</v>
      </c>
      <c r="F220" s="353" t="s">
        <v>16</v>
      </c>
      <c r="G220" s="11">
        <v>1058</v>
      </c>
      <c r="H220" s="353" t="s">
        <v>490</v>
      </c>
      <c r="I220" s="353" t="s">
        <v>491</v>
      </c>
      <c r="J220" s="57">
        <v>45880</v>
      </c>
      <c r="K220" s="11">
        <v>1058</v>
      </c>
      <c r="L220" s="353" t="s">
        <v>19</v>
      </c>
    </row>
    <row r="221" spans="1:12" hidden="1">
      <c r="A221" s="353" t="s">
        <v>492</v>
      </c>
      <c r="B221" s="7" t="s">
        <v>487</v>
      </c>
      <c r="C221" s="103" t="s">
        <v>488</v>
      </c>
      <c r="D221" s="57">
        <v>45775</v>
      </c>
      <c r="E221" s="57">
        <v>45879</v>
      </c>
      <c r="F221" s="353" t="s">
        <v>16</v>
      </c>
      <c r="G221" s="11">
        <v>1058</v>
      </c>
      <c r="H221" s="353" t="s">
        <v>490</v>
      </c>
      <c r="I221" s="353" t="s">
        <v>491</v>
      </c>
      <c r="J221" s="57">
        <v>45910</v>
      </c>
      <c r="K221" s="11">
        <v>1058</v>
      </c>
      <c r="L221" s="353" t="s">
        <v>19</v>
      </c>
    </row>
    <row r="222" spans="1:12" hidden="1">
      <c r="A222" s="353" t="s">
        <v>493</v>
      </c>
      <c r="B222" s="7" t="s">
        <v>494</v>
      </c>
      <c r="C222" s="103" t="s">
        <v>495</v>
      </c>
      <c r="D222" s="57">
        <v>45698</v>
      </c>
      <c r="F222" s="353" t="s">
        <v>16</v>
      </c>
      <c r="G222" s="11">
        <v>7139.52</v>
      </c>
      <c r="H222" s="353" t="s">
        <v>312</v>
      </c>
      <c r="I222" s="353" t="s">
        <v>56</v>
      </c>
      <c r="J222" s="57"/>
      <c r="K222" s="11"/>
      <c r="L222" s="353"/>
    </row>
    <row r="223" spans="1:12" hidden="1">
      <c r="A223" s="353" t="s">
        <v>497</v>
      </c>
      <c r="B223" s="7" t="s">
        <v>494</v>
      </c>
      <c r="C223" s="103" t="s">
        <v>482</v>
      </c>
      <c r="D223" s="57">
        <v>45897</v>
      </c>
      <c r="F223" s="353" t="s">
        <v>16</v>
      </c>
      <c r="G223" s="11">
        <v>3000</v>
      </c>
      <c r="H223" s="353" t="s">
        <v>499</v>
      </c>
      <c r="I223" s="353"/>
      <c r="J223" s="57"/>
      <c r="K223" s="11"/>
      <c r="L223" s="353"/>
    </row>
    <row r="224" spans="1:12" hidden="1">
      <c r="A224" s="353" t="s">
        <v>500</v>
      </c>
      <c r="B224" s="7" t="s">
        <v>494</v>
      </c>
      <c r="C224" s="103" t="s">
        <v>3217</v>
      </c>
      <c r="D224" s="57">
        <v>45910</v>
      </c>
      <c r="F224" s="353" t="s">
        <v>16</v>
      </c>
      <c r="G224" s="11">
        <v>-3000</v>
      </c>
      <c r="H224" s="353" t="s">
        <v>503</v>
      </c>
      <c r="I224" s="353"/>
      <c r="J224" s="57"/>
      <c r="K224" s="11"/>
      <c r="L224" s="353"/>
    </row>
    <row r="225" spans="1:12" hidden="1">
      <c r="A225" s="353" t="s">
        <v>13</v>
      </c>
      <c r="B225" s="7" t="s">
        <v>504</v>
      </c>
      <c r="C225" s="103" t="s">
        <v>505</v>
      </c>
      <c r="D225" s="57">
        <v>45835</v>
      </c>
      <c r="E225" s="57">
        <v>45869</v>
      </c>
      <c r="F225" s="353" t="s">
        <v>16</v>
      </c>
      <c r="G225" s="11">
        <v>36.659999999999997</v>
      </c>
      <c r="H225" s="353" t="s">
        <v>279</v>
      </c>
      <c r="I225" s="353" t="s">
        <v>150</v>
      </c>
      <c r="J225" s="57">
        <v>45869</v>
      </c>
      <c r="K225" s="11">
        <v>36.659999999999997</v>
      </c>
      <c r="L225" s="353" t="s">
        <v>19</v>
      </c>
    </row>
    <row r="226" spans="1:12" hidden="1">
      <c r="A226" s="353" t="s">
        <v>13</v>
      </c>
      <c r="B226" s="7" t="s">
        <v>504</v>
      </c>
      <c r="C226" s="103" t="s">
        <v>507</v>
      </c>
      <c r="D226" s="57">
        <v>45929</v>
      </c>
      <c r="E226" s="57">
        <v>45961</v>
      </c>
      <c r="F226" s="353" t="s">
        <v>16</v>
      </c>
      <c r="G226" s="11">
        <v>36.659999999999997</v>
      </c>
      <c r="H226" s="353" t="s">
        <v>279</v>
      </c>
      <c r="I226" s="353" t="s">
        <v>150</v>
      </c>
      <c r="J226" s="57">
        <v>45961</v>
      </c>
      <c r="K226" s="11">
        <v>36.659999999999997</v>
      </c>
      <c r="L226" s="353" t="s">
        <v>509</v>
      </c>
    </row>
    <row r="227" spans="1:12" hidden="1">
      <c r="A227" s="353" t="s">
        <v>4148</v>
      </c>
      <c r="B227" s="7" t="s">
        <v>504</v>
      </c>
      <c r="C227" s="103" t="s">
        <v>511</v>
      </c>
      <c r="D227" s="57">
        <v>45988</v>
      </c>
      <c r="E227" s="57">
        <v>46022</v>
      </c>
      <c r="F227" s="353"/>
      <c r="G227" s="11">
        <v>111.58</v>
      </c>
      <c r="H227" s="353" t="s">
        <v>512</v>
      </c>
      <c r="I227" s="353" t="s">
        <v>150</v>
      </c>
      <c r="J227" s="57">
        <v>46022</v>
      </c>
      <c r="K227" s="11">
        <v>111.58</v>
      </c>
      <c r="L227" s="353" t="s">
        <v>509</v>
      </c>
    </row>
    <row r="228" spans="1:12" hidden="1">
      <c r="A228" s="353" t="s">
        <v>316</v>
      </c>
      <c r="B228" s="7" t="s">
        <v>513</v>
      </c>
      <c r="C228" s="103" t="s">
        <v>514</v>
      </c>
      <c r="D228" s="57">
        <v>45675</v>
      </c>
      <c r="E228" s="57">
        <v>45675</v>
      </c>
      <c r="F228" s="353" t="s">
        <v>16</v>
      </c>
      <c r="G228" s="11">
        <v>26</v>
      </c>
      <c r="H228" s="353" t="s">
        <v>516</v>
      </c>
      <c r="I228" s="353"/>
      <c r="J228" s="57"/>
      <c r="K228" s="11"/>
      <c r="L228" s="353"/>
    </row>
    <row r="229" spans="1:12" hidden="1">
      <c r="A229" s="353" t="s">
        <v>316</v>
      </c>
      <c r="B229" s="7" t="s">
        <v>513</v>
      </c>
      <c r="C229" s="103" t="s">
        <v>517</v>
      </c>
      <c r="D229" s="57">
        <v>45734</v>
      </c>
      <c r="F229" s="353" t="s">
        <v>16</v>
      </c>
      <c r="G229" s="11">
        <v>26</v>
      </c>
      <c r="H229" s="353" t="s">
        <v>519</v>
      </c>
      <c r="I229" s="353"/>
      <c r="J229" s="57"/>
      <c r="K229" s="11"/>
      <c r="L229" s="353"/>
    </row>
    <row r="230" spans="1:12" hidden="1">
      <c r="A230" s="353" t="s">
        <v>316</v>
      </c>
      <c r="B230" s="7" t="s">
        <v>513</v>
      </c>
      <c r="C230" s="103" t="s">
        <v>520</v>
      </c>
      <c r="D230" s="57">
        <v>45738</v>
      </c>
      <c r="F230" s="353" t="s">
        <v>16</v>
      </c>
      <c r="G230" s="11">
        <v>39</v>
      </c>
      <c r="H230" s="353" t="s">
        <v>42</v>
      </c>
      <c r="I230" s="353"/>
      <c r="J230" s="57"/>
      <c r="K230" s="11"/>
      <c r="L230" s="353"/>
    </row>
    <row r="231" spans="1:12" hidden="1">
      <c r="A231" s="353" t="s">
        <v>316</v>
      </c>
      <c r="B231" s="7" t="s">
        <v>513</v>
      </c>
      <c r="C231" s="103" t="s">
        <v>522</v>
      </c>
      <c r="D231" s="57">
        <v>45745</v>
      </c>
      <c r="F231" s="353" t="s">
        <v>16</v>
      </c>
      <c r="G231" s="11">
        <v>26</v>
      </c>
      <c r="H231" s="353" t="s">
        <v>42</v>
      </c>
      <c r="I231" s="353"/>
      <c r="J231" s="57"/>
      <c r="K231" s="11"/>
      <c r="L231" s="353"/>
    </row>
    <row r="232" spans="1:12" hidden="1">
      <c r="A232" s="353" t="s">
        <v>316</v>
      </c>
      <c r="B232" s="7" t="s">
        <v>513</v>
      </c>
      <c r="C232" s="103" t="s">
        <v>524</v>
      </c>
      <c r="D232" s="57">
        <v>45752</v>
      </c>
      <c r="F232" s="353" t="s">
        <v>16</v>
      </c>
      <c r="G232" s="11">
        <v>26</v>
      </c>
      <c r="H232" s="353" t="s">
        <v>42</v>
      </c>
      <c r="I232" s="353"/>
      <c r="J232" s="57"/>
      <c r="K232" s="11"/>
      <c r="L232" s="353"/>
    </row>
    <row r="233" spans="1:12" hidden="1">
      <c r="A233" s="353" t="s">
        <v>316</v>
      </c>
      <c r="B233" s="7" t="s">
        <v>513</v>
      </c>
      <c r="C233" s="103" t="s">
        <v>526</v>
      </c>
      <c r="D233" s="57">
        <v>45757</v>
      </c>
      <c r="F233" s="353" t="s">
        <v>16</v>
      </c>
      <c r="G233" s="11">
        <v>26</v>
      </c>
      <c r="H233" s="353" t="s">
        <v>42</v>
      </c>
      <c r="I233" s="353"/>
      <c r="J233" s="57"/>
      <c r="K233" s="11"/>
      <c r="L233" s="353"/>
    </row>
    <row r="234" spans="1:12" hidden="1">
      <c r="A234" s="353" t="s">
        <v>316</v>
      </c>
      <c r="B234" s="7" t="s">
        <v>513</v>
      </c>
      <c r="C234" s="103" t="s">
        <v>528</v>
      </c>
      <c r="D234" s="57">
        <v>45758</v>
      </c>
      <c r="F234" s="353" t="s">
        <v>16</v>
      </c>
      <c r="G234" s="11">
        <v>52</v>
      </c>
      <c r="H234" s="353" t="s">
        <v>42</v>
      </c>
      <c r="I234" s="353"/>
      <c r="J234" s="57"/>
      <c r="K234" s="11"/>
      <c r="L234" s="353"/>
    </row>
    <row r="235" spans="1:12" hidden="1">
      <c r="A235" s="353" t="s">
        <v>316</v>
      </c>
      <c r="B235" s="7" t="s">
        <v>513</v>
      </c>
      <c r="C235" s="103" t="s">
        <v>530</v>
      </c>
      <c r="D235" s="57">
        <v>45762</v>
      </c>
      <c r="F235" s="353" t="s">
        <v>16</v>
      </c>
      <c r="G235" s="11">
        <v>52</v>
      </c>
      <c r="H235" s="353" t="s">
        <v>457</v>
      </c>
      <c r="I235" s="353"/>
      <c r="J235" s="57"/>
      <c r="K235" s="11"/>
      <c r="L235" s="353"/>
    </row>
    <row r="236" spans="1:12" hidden="1">
      <c r="A236" s="353" t="s">
        <v>316</v>
      </c>
      <c r="B236" s="7" t="s">
        <v>513</v>
      </c>
      <c r="C236" s="103" t="s">
        <v>532</v>
      </c>
      <c r="D236" s="57">
        <v>45763</v>
      </c>
      <c r="F236" s="353" t="s">
        <v>16</v>
      </c>
      <c r="G236" s="11">
        <v>52</v>
      </c>
      <c r="H236" s="353" t="s">
        <v>457</v>
      </c>
      <c r="I236" s="353"/>
      <c r="J236" s="57"/>
      <c r="K236" s="11"/>
      <c r="L236" s="353"/>
    </row>
    <row r="237" spans="1:12" hidden="1">
      <c r="A237" s="353" t="s">
        <v>316</v>
      </c>
      <c r="B237" s="7" t="s">
        <v>513</v>
      </c>
      <c r="C237" s="103" t="s">
        <v>534</v>
      </c>
      <c r="D237" s="57">
        <v>45764</v>
      </c>
      <c r="F237" s="353" t="s">
        <v>16</v>
      </c>
      <c r="G237" s="11">
        <v>63</v>
      </c>
      <c r="H237" s="353" t="s">
        <v>457</v>
      </c>
      <c r="I237" s="353"/>
      <c r="J237" s="57"/>
      <c r="K237" s="11"/>
      <c r="L237" s="353"/>
    </row>
    <row r="238" spans="1:12" hidden="1">
      <c r="A238" s="353" t="s">
        <v>316</v>
      </c>
      <c r="B238" s="7" t="s">
        <v>513</v>
      </c>
      <c r="C238" s="103" t="s">
        <v>536</v>
      </c>
      <c r="D238" s="57">
        <v>45765</v>
      </c>
      <c r="F238" s="353" t="s">
        <v>16</v>
      </c>
      <c r="G238" s="11">
        <v>52</v>
      </c>
      <c r="H238" s="353" t="s">
        <v>457</v>
      </c>
      <c r="I238" s="353"/>
      <c r="J238" s="57"/>
      <c r="K238" s="11"/>
      <c r="L238" s="353"/>
    </row>
    <row r="239" spans="1:12" hidden="1">
      <c r="A239" s="353" t="s">
        <v>316</v>
      </c>
      <c r="B239" s="7" t="s">
        <v>513</v>
      </c>
      <c r="C239" s="103" t="s">
        <v>538</v>
      </c>
      <c r="D239" s="57">
        <v>45784</v>
      </c>
      <c r="F239" s="353" t="s">
        <v>16</v>
      </c>
      <c r="G239" s="11">
        <v>26</v>
      </c>
      <c r="H239" s="353" t="s">
        <v>457</v>
      </c>
      <c r="I239" s="353"/>
      <c r="J239" s="57"/>
      <c r="K239" s="11"/>
      <c r="L239" s="353"/>
    </row>
    <row r="240" spans="1:12" hidden="1">
      <c r="A240" s="353" t="s">
        <v>316</v>
      </c>
      <c r="B240" s="7" t="s">
        <v>513</v>
      </c>
      <c r="C240" s="103" t="s">
        <v>540</v>
      </c>
      <c r="D240" s="57">
        <v>45785</v>
      </c>
      <c r="F240" s="353" t="s">
        <v>16</v>
      </c>
      <c r="G240" s="11">
        <v>26</v>
      </c>
      <c r="H240" s="353" t="s">
        <v>457</v>
      </c>
      <c r="I240" s="353"/>
      <c r="J240" s="57"/>
      <c r="K240" s="11"/>
      <c r="L240" s="353"/>
    </row>
    <row r="241" spans="1:12" hidden="1">
      <c r="A241" s="353" t="s">
        <v>316</v>
      </c>
      <c r="B241" s="7" t="s">
        <v>513</v>
      </c>
      <c r="C241" s="103" t="s">
        <v>542</v>
      </c>
      <c r="D241" s="57">
        <v>45790</v>
      </c>
      <c r="F241" s="353" t="s">
        <v>16</v>
      </c>
      <c r="G241" s="11">
        <v>39</v>
      </c>
      <c r="H241" s="353" t="s">
        <v>42</v>
      </c>
      <c r="I241" s="353"/>
      <c r="J241" s="57"/>
      <c r="K241" s="11"/>
      <c r="L241" s="353"/>
    </row>
    <row r="242" spans="1:12" hidden="1">
      <c r="A242" s="353" t="s">
        <v>316</v>
      </c>
      <c r="B242" s="7" t="s">
        <v>513</v>
      </c>
      <c r="C242" s="103" t="s">
        <v>544</v>
      </c>
      <c r="D242" s="57">
        <v>45791</v>
      </c>
      <c r="F242" s="353" t="s">
        <v>16</v>
      </c>
      <c r="G242" s="11">
        <v>39</v>
      </c>
      <c r="H242" s="353" t="s">
        <v>42</v>
      </c>
      <c r="I242" s="353"/>
      <c r="J242" s="57"/>
      <c r="K242" s="11"/>
      <c r="L242" s="353"/>
    </row>
    <row r="243" spans="1:12" hidden="1">
      <c r="A243" s="353" t="s">
        <v>316</v>
      </c>
      <c r="B243" s="7" t="s">
        <v>513</v>
      </c>
      <c r="C243" s="103" t="s">
        <v>546</v>
      </c>
      <c r="D243" s="57">
        <v>45808</v>
      </c>
      <c r="F243" s="353" t="s">
        <v>16</v>
      </c>
      <c r="G243" s="11">
        <v>13</v>
      </c>
      <c r="H243" s="353" t="s">
        <v>42</v>
      </c>
      <c r="I243" s="353"/>
      <c r="J243" s="57"/>
      <c r="K243" s="11"/>
      <c r="L243" s="353"/>
    </row>
    <row r="244" spans="1:12" hidden="1">
      <c r="A244" s="353" t="s">
        <v>316</v>
      </c>
      <c r="B244" s="7" t="s">
        <v>513</v>
      </c>
      <c r="C244" s="103" t="s">
        <v>548</v>
      </c>
      <c r="D244" s="57">
        <v>45839</v>
      </c>
      <c r="F244" s="353" t="s">
        <v>16</v>
      </c>
      <c r="G244" s="11">
        <v>78</v>
      </c>
      <c r="H244" s="353" t="s">
        <v>42</v>
      </c>
      <c r="I244" s="353"/>
      <c r="J244" s="57"/>
      <c r="K244" s="11"/>
      <c r="L244" s="353"/>
    </row>
    <row r="245" spans="1:12" hidden="1">
      <c r="A245" s="353" t="s">
        <v>316</v>
      </c>
      <c r="B245" s="7" t="s">
        <v>513</v>
      </c>
      <c r="C245" s="103" t="s">
        <v>550</v>
      </c>
      <c r="D245" s="57">
        <v>45839</v>
      </c>
      <c r="F245" s="353" t="s">
        <v>16</v>
      </c>
      <c r="G245" s="11">
        <v>78</v>
      </c>
      <c r="H245" s="353" t="s">
        <v>42</v>
      </c>
      <c r="I245" s="353"/>
      <c r="J245" s="57"/>
      <c r="K245" s="11"/>
      <c r="L245" s="353"/>
    </row>
    <row r="246" spans="1:12" hidden="1">
      <c r="A246" s="353" t="s">
        <v>316</v>
      </c>
      <c r="B246" s="7" t="s">
        <v>513</v>
      </c>
      <c r="C246" s="103" t="s">
        <v>3218</v>
      </c>
      <c r="D246" s="57">
        <v>45839</v>
      </c>
      <c r="F246" s="353" t="s">
        <v>16</v>
      </c>
      <c r="G246" s="11">
        <v>-78</v>
      </c>
      <c r="H246" s="353" t="s">
        <v>554</v>
      </c>
      <c r="I246" s="353"/>
      <c r="J246" s="57"/>
      <c r="K246" s="11"/>
      <c r="L246" s="353"/>
    </row>
    <row r="247" spans="1:12" hidden="1">
      <c r="A247" s="353" t="s">
        <v>316</v>
      </c>
      <c r="B247" s="7" t="s">
        <v>513</v>
      </c>
      <c r="C247" s="103" t="s">
        <v>555</v>
      </c>
      <c r="D247" s="57">
        <v>45919</v>
      </c>
      <c r="F247" s="353" t="s">
        <v>16</v>
      </c>
      <c r="G247" s="11">
        <v>26</v>
      </c>
      <c r="H247" s="353" t="s">
        <v>457</v>
      </c>
      <c r="I247" s="353"/>
      <c r="J247" s="57"/>
      <c r="K247" s="11"/>
      <c r="L247" s="353"/>
    </row>
    <row r="248" spans="1:12" hidden="1">
      <c r="A248" s="353" t="s">
        <v>4149</v>
      </c>
      <c r="B248" s="7" t="s">
        <v>558</v>
      </c>
      <c r="F248" s="353"/>
      <c r="G248" s="11">
        <v>13109.85</v>
      </c>
      <c r="H248" s="353" t="s">
        <v>4217</v>
      </c>
      <c r="I248" s="353"/>
      <c r="J248" s="57"/>
      <c r="K248" s="11">
        <v>9109.8499999999985</v>
      </c>
      <c r="L248" s="353" t="s">
        <v>4150</v>
      </c>
    </row>
    <row r="249" spans="1:12" hidden="1">
      <c r="A249" s="353" t="s">
        <v>557</v>
      </c>
      <c r="B249" s="7" t="s">
        <v>558</v>
      </c>
      <c r="C249" s="103" t="s">
        <v>4151</v>
      </c>
      <c r="E249" s="57">
        <v>45957</v>
      </c>
      <c r="F249" s="353" t="s">
        <v>16</v>
      </c>
      <c r="G249" s="11">
        <v>2000</v>
      </c>
      <c r="H249" s="353" t="s">
        <v>4152</v>
      </c>
      <c r="I249" s="353" t="s">
        <v>83</v>
      </c>
      <c r="J249" s="57">
        <v>45957</v>
      </c>
      <c r="K249" s="11">
        <v>2000</v>
      </c>
      <c r="L249" s="353" t="s">
        <v>246</v>
      </c>
    </row>
    <row r="250" spans="1:12" hidden="1">
      <c r="A250" s="353" t="s">
        <v>557</v>
      </c>
      <c r="B250" s="7" t="s">
        <v>558</v>
      </c>
      <c r="C250" s="103" t="s">
        <v>4151</v>
      </c>
      <c r="E250" s="57">
        <v>46041</v>
      </c>
      <c r="F250" s="353" t="s">
        <v>16</v>
      </c>
      <c r="G250" s="11">
        <v>2000</v>
      </c>
      <c r="H250" s="353" t="s">
        <v>4152</v>
      </c>
      <c r="I250" s="353" t="s">
        <v>83</v>
      </c>
      <c r="J250" s="57">
        <v>46041</v>
      </c>
      <c r="K250" s="11">
        <v>2000</v>
      </c>
      <c r="L250" s="353" t="s">
        <v>19</v>
      </c>
    </row>
    <row r="251" spans="1:12" hidden="1">
      <c r="A251" s="353" t="s">
        <v>316</v>
      </c>
      <c r="B251" s="7" t="s">
        <v>559</v>
      </c>
      <c r="C251" s="103" t="s">
        <v>560</v>
      </c>
      <c r="D251" s="57">
        <v>45688</v>
      </c>
      <c r="E251" s="57">
        <v>45688</v>
      </c>
      <c r="F251" s="353" t="s">
        <v>16</v>
      </c>
      <c r="G251" s="11">
        <v>5000</v>
      </c>
      <c r="H251" s="353" t="s">
        <v>312</v>
      </c>
      <c r="I251" s="353" t="s">
        <v>56</v>
      </c>
      <c r="J251" s="57">
        <v>45712</v>
      </c>
      <c r="K251" s="11">
        <v>5000</v>
      </c>
      <c r="L251" s="353" t="s">
        <v>111</v>
      </c>
    </row>
    <row r="252" spans="1:12" hidden="1">
      <c r="A252" s="353" t="s">
        <v>316</v>
      </c>
      <c r="B252" s="7" t="s">
        <v>559</v>
      </c>
      <c r="C252" s="103" t="s">
        <v>560</v>
      </c>
      <c r="D252" s="57">
        <v>45688</v>
      </c>
      <c r="E252" s="57">
        <v>45688</v>
      </c>
      <c r="F252" s="353" t="s">
        <v>16</v>
      </c>
      <c r="G252" s="11">
        <v>4000</v>
      </c>
      <c r="H252" s="353" t="s">
        <v>312</v>
      </c>
      <c r="I252" s="353" t="s">
        <v>56</v>
      </c>
      <c r="J252" s="57">
        <v>45791</v>
      </c>
      <c r="K252" s="11">
        <v>4000</v>
      </c>
      <c r="L252" s="353" t="s">
        <v>345</v>
      </c>
    </row>
    <row r="253" spans="1:12" hidden="1">
      <c r="A253" s="353" t="s">
        <v>316</v>
      </c>
      <c r="B253" s="7" t="s">
        <v>562</v>
      </c>
      <c r="C253" s="103" t="s">
        <v>563</v>
      </c>
      <c r="D253" s="57">
        <v>45687</v>
      </c>
      <c r="E253" s="57">
        <v>45687</v>
      </c>
      <c r="F253" s="353" t="s">
        <v>16</v>
      </c>
      <c r="G253" s="11">
        <v>2.8</v>
      </c>
      <c r="H253" s="353" t="s">
        <v>565</v>
      </c>
      <c r="I253" s="353" t="s">
        <v>150</v>
      </c>
      <c r="J253" s="57">
        <v>45687</v>
      </c>
      <c r="K253" s="11">
        <v>2.8</v>
      </c>
      <c r="L253" s="353" t="s">
        <v>151</v>
      </c>
    </row>
    <row r="254" spans="1:12" hidden="1">
      <c r="A254" s="353" t="s">
        <v>566</v>
      </c>
      <c r="B254" s="7" t="s">
        <v>567</v>
      </c>
      <c r="C254" s="103" t="s">
        <v>568</v>
      </c>
      <c r="D254" s="57">
        <v>45637</v>
      </c>
      <c r="E254" s="57">
        <v>45657</v>
      </c>
      <c r="F254" s="353" t="s">
        <v>16</v>
      </c>
      <c r="G254" s="11">
        <v>272.72000000000003</v>
      </c>
      <c r="H254" s="353" t="s">
        <v>312</v>
      </c>
      <c r="I254" s="353" t="s">
        <v>570</v>
      </c>
      <c r="J254" s="57"/>
      <c r="K254" s="11"/>
      <c r="L254" s="353" t="s">
        <v>571</v>
      </c>
    </row>
    <row r="255" spans="1:12" hidden="1">
      <c r="A255" s="353"/>
      <c r="B255" s="7" t="s">
        <v>567</v>
      </c>
      <c r="C255" s="103" t="s">
        <v>572</v>
      </c>
      <c r="D255" s="57">
        <v>45670</v>
      </c>
      <c r="E255" s="57">
        <v>45691</v>
      </c>
      <c r="F255" s="353" t="s">
        <v>16</v>
      </c>
      <c r="G255" s="11">
        <v>301.44</v>
      </c>
      <c r="H255" s="353" t="s">
        <v>342</v>
      </c>
      <c r="I255" s="353" t="s">
        <v>570</v>
      </c>
      <c r="J255" s="57"/>
      <c r="K255" s="11"/>
      <c r="L255" s="353" t="s">
        <v>571</v>
      </c>
    </row>
    <row r="256" spans="1:12" hidden="1">
      <c r="A256" s="353"/>
      <c r="B256" s="7" t="s">
        <v>567</v>
      </c>
      <c r="C256" s="103" t="s">
        <v>574</v>
      </c>
      <c r="D256" s="57">
        <v>45698</v>
      </c>
      <c r="E256" s="57">
        <v>45719</v>
      </c>
      <c r="F256" s="353" t="s">
        <v>16</v>
      </c>
      <c r="G256" s="11">
        <v>32.04</v>
      </c>
      <c r="H256" s="353" t="s">
        <v>312</v>
      </c>
      <c r="I256" s="353" t="s">
        <v>570</v>
      </c>
      <c r="J256" s="57"/>
      <c r="K256" s="11"/>
      <c r="L256" s="353" t="s">
        <v>571</v>
      </c>
    </row>
    <row r="257" spans="1:12" hidden="1">
      <c r="A257" s="353" t="s">
        <v>576</v>
      </c>
      <c r="B257" s="7" t="s">
        <v>567</v>
      </c>
      <c r="C257" s="103" t="s">
        <v>3220</v>
      </c>
      <c r="F257" s="353" t="s">
        <v>16</v>
      </c>
      <c r="G257" s="11">
        <v>400</v>
      </c>
      <c r="H257" s="353" t="s">
        <v>577</v>
      </c>
      <c r="I257" s="353" t="s">
        <v>83</v>
      </c>
      <c r="J257" s="57">
        <v>45957</v>
      </c>
      <c r="K257" s="11">
        <v>400</v>
      </c>
      <c r="L257" s="353" t="s">
        <v>246</v>
      </c>
    </row>
    <row r="258" spans="1:12" hidden="1">
      <c r="A258" s="353" t="s">
        <v>13</v>
      </c>
      <c r="B258" s="7" t="s">
        <v>567</v>
      </c>
      <c r="C258" s="103" t="s">
        <v>578</v>
      </c>
      <c r="D258" s="57">
        <v>46001</v>
      </c>
      <c r="E258" s="57">
        <v>46021</v>
      </c>
      <c r="F258" s="353"/>
      <c r="G258" s="11">
        <v>48.78</v>
      </c>
      <c r="H258" s="353" t="s">
        <v>579</v>
      </c>
      <c r="I258" s="353" t="s">
        <v>83</v>
      </c>
      <c r="J258" s="57"/>
      <c r="K258" s="11">
        <v>48.78</v>
      </c>
      <c r="L258" s="353"/>
    </row>
    <row r="259" spans="1:12" hidden="1">
      <c r="A259" s="353" t="s">
        <v>4235</v>
      </c>
      <c r="B259" s="7" t="s">
        <v>567</v>
      </c>
      <c r="C259" s="103" t="s">
        <v>4236</v>
      </c>
      <c r="D259" s="57">
        <v>46051</v>
      </c>
      <c r="E259" s="57">
        <v>46051</v>
      </c>
      <c r="F259" s="353"/>
      <c r="G259" s="11">
        <v>48.78</v>
      </c>
      <c r="H259" s="353" t="s">
        <v>4237</v>
      </c>
      <c r="I259" s="353"/>
      <c r="J259" s="57"/>
      <c r="K259" s="11"/>
      <c r="L259" s="353"/>
    </row>
    <row r="260" spans="1:12" hidden="1">
      <c r="A260" s="353"/>
      <c r="B260" s="7" t="s">
        <v>580</v>
      </c>
      <c r="C260" s="103" t="s">
        <v>581</v>
      </c>
      <c r="D260" s="57">
        <v>45688</v>
      </c>
      <c r="E260" s="57">
        <v>45726</v>
      </c>
      <c r="F260" s="353" t="s">
        <v>16</v>
      </c>
      <c r="G260" s="11">
        <v>638.42999999999995</v>
      </c>
      <c r="H260" s="353" t="s">
        <v>312</v>
      </c>
      <c r="I260" s="353" t="s">
        <v>66</v>
      </c>
      <c r="J260" s="57">
        <v>45730</v>
      </c>
      <c r="K260" s="11">
        <v>638.42999999999995</v>
      </c>
      <c r="L260" s="353" t="s">
        <v>111</v>
      </c>
    </row>
    <row r="261" spans="1:12" hidden="1">
      <c r="A261" s="353"/>
      <c r="B261" s="7" t="s">
        <v>580</v>
      </c>
      <c r="C261" s="103" t="s">
        <v>583</v>
      </c>
      <c r="D261" s="57">
        <v>45716</v>
      </c>
      <c r="E261" s="57">
        <v>45757</v>
      </c>
      <c r="F261" s="353" t="s">
        <v>16</v>
      </c>
      <c r="G261" s="11">
        <v>489.71</v>
      </c>
      <c r="H261" s="353" t="s">
        <v>436</v>
      </c>
      <c r="I261" s="353" t="s">
        <v>110</v>
      </c>
      <c r="J261" s="57">
        <v>45757</v>
      </c>
      <c r="K261" s="11">
        <v>489.71</v>
      </c>
      <c r="L261" s="353"/>
    </row>
    <row r="262" spans="1:12" hidden="1">
      <c r="A262" s="353"/>
      <c r="B262" s="7" t="s">
        <v>580</v>
      </c>
      <c r="C262" s="103" t="s">
        <v>585</v>
      </c>
      <c r="D262" s="57">
        <v>45747</v>
      </c>
      <c r="F262" s="353"/>
      <c r="G262" s="11">
        <v>573.77</v>
      </c>
      <c r="H262" s="353"/>
      <c r="I262" s="353"/>
      <c r="J262" s="57"/>
      <c r="K262" s="11"/>
      <c r="L262" s="353"/>
    </row>
    <row r="263" spans="1:12" hidden="1">
      <c r="A263" s="353"/>
      <c r="B263" s="7" t="s">
        <v>580</v>
      </c>
      <c r="C263" s="103" t="s">
        <v>586</v>
      </c>
      <c r="D263" s="57">
        <v>45808</v>
      </c>
      <c r="E263" s="57">
        <v>45848</v>
      </c>
      <c r="F263" s="353" t="s">
        <v>16</v>
      </c>
      <c r="G263" s="11">
        <v>1349.69</v>
      </c>
      <c r="H263" s="353" t="s">
        <v>588</v>
      </c>
      <c r="I263" s="353" t="s">
        <v>83</v>
      </c>
      <c r="J263" s="57">
        <v>45945</v>
      </c>
      <c r="K263" s="11">
        <v>2065.71</v>
      </c>
      <c r="L263" s="353" t="s">
        <v>589</v>
      </c>
    </row>
    <row r="264" spans="1:12" hidden="1">
      <c r="A264" s="353"/>
      <c r="B264" s="7" t="s">
        <v>580</v>
      </c>
      <c r="C264" s="103" t="s">
        <v>590</v>
      </c>
      <c r="D264" s="57">
        <v>45869</v>
      </c>
      <c r="E264" s="57">
        <v>45910</v>
      </c>
      <c r="F264" s="353" t="s">
        <v>16</v>
      </c>
      <c r="G264" s="11">
        <v>716.02</v>
      </c>
      <c r="H264" s="353" t="s">
        <v>592</v>
      </c>
      <c r="I264" s="353" t="s">
        <v>83</v>
      </c>
      <c r="J264" s="57">
        <v>45945</v>
      </c>
      <c r="K264" s="11">
        <v>2065.71</v>
      </c>
      <c r="L264" s="353" t="s">
        <v>589</v>
      </c>
    </row>
    <row r="265" spans="1:12" hidden="1">
      <c r="A265" s="353" t="s">
        <v>13</v>
      </c>
      <c r="B265" s="7" t="s">
        <v>593</v>
      </c>
      <c r="C265" s="103" t="s">
        <v>594</v>
      </c>
      <c r="D265" s="57">
        <v>45638</v>
      </c>
      <c r="E265" s="57">
        <v>45698</v>
      </c>
      <c r="F265" s="353" t="s">
        <v>16</v>
      </c>
      <c r="G265" s="11">
        <v>158.6</v>
      </c>
      <c r="H265" s="353" t="s">
        <v>596</v>
      </c>
      <c r="I265" s="353" t="s">
        <v>597</v>
      </c>
      <c r="J265" s="57"/>
      <c r="K265" s="11"/>
      <c r="L265" s="353"/>
    </row>
    <row r="266" spans="1:12" hidden="1">
      <c r="A266" s="353" t="s">
        <v>13</v>
      </c>
      <c r="B266" s="7" t="s">
        <v>593</v>
      </c>
      <c r="C266" s="103" t="s">
        <v>598</v>
      </c>
      <c r="D266" s="57">
        <v>45643</v>
      </c>
      <c r="E266" s="57">
        <v>45703</v>
      </c>
      <c r="F266" s="353" t="s">
        <v>16</v>
      </c>
      <c r="G266" s="11">
        <v>158.6</v>
      </c>
      <c r="H266" s="353" t="s">
        <v>312</v>
      </c>
      <c r="I266" s="353" t="s">
        <v>56</v>
      </c>
      <c r="J266" s="57"/>
      <c r="K266" s="11"/>
      <c r="L266" s="353"/>
    </row>
    <row r="267" spans="1:12" hidden="1">
      <c r="A267" s="353" t="s">
        <v>13</v>
      </c>
      <c r="B267" s="7" t="s">
        <v>593</v>
      </c>
      <c r="C267" s="103" t="s">
        <v>600</v>
      </c>
      <c r="D267" s="57">
        <v>45666</v>
      </c>
      <c r="E267" s="57">
        <v>45747</v>
      </c>
      <c r="F267" s="353" t="s">
        <v>16</v>
      </c>
      <c r="G267" s="11">
        <v>158.6</v>
      </c>
      <c r="H267" s="353" t="s">
        <v>87</v>
      </c>
      <c r="I267" s="353" t="s">
        <v>56</v>
      </c>
      <c r="J267" s="57"/>
      <c r="K267" s="11"/>
      <c r="L267" s="353"/>
    </row>
    <row r="268" spans="1:12" hidden="1">
      <c r="A268" s="353" t="s">
        <v>13</v>
      </c>
      <c r="B268" s="7" t="s">
        <v>593</v>
      </c>
      <c r="C268" s="103" t="s">
        <v>602</v>
      </c>
      <c r="D268" s="57">
        <v>45671</v>
      </c>
      <c r="E268" s="57">
        <v>45747</v>
      </c>
      <c r="F268" s="353" t="s">
        <v>16</v>
      </c>
      <c r="G268" s="11">
        <v>158.6</v>
      </c>
      <c r="H268" s="353" t="s">
        <v>312</v>
      </c>
      <c r="I268" s="353" t="s">
        <v>56</v>
      </c>
      <c r="J268" s="57"/>
      <c r="K268" s="11"/>
      <c r="L268" s="353"/>
    </row>
    <row r="269" spans="1:12" hidden="1">
      <c r="A269" s="353" t="s">
        <v>13</v>
      </c>
      <c r="B269" s="7" t="s">
        <v>593</v>
      </c>
      <c r="C269" s="103" t="s">
        <v>604</v>
      </c>
      <c r="D269" s="57">
        <v>45694</v>
      </c>
      <c r="F269" s="353" t="s">
        <v>16</v>
      </c>
      <c r="G269" s="11">
        <v>158.6</v>
      </c>
      <c r="H269" s="353" t="s">
        <v>87</v>
      </c>
      <c r="I269" s="353" t="s">
        <v>56</v>
      </c>
      <c r="J269" s="57"/>
      <c r="K269" s="11"/>
      <c r="L269" s="353"/>
    </row>
    <row r="270" spans="1:12" hidden="1">
      <c r="A270" s="353" t="s">
        <v>13</v>
      </c>
      <c r="B270" s="7" t="s">
        <v>593</v>
      </c>
      <c r="C270" s="103" t="s">
        <v>606</v>
      </c>
      <c r="D270" s="57">
        <v>45699</v>
      </c>
      <c r="F270" s="353" t="s">
        <v>16</v>
      </c>
      <c r="G270" s="11">
        <v>158.6</v>
      </c>
      <c r="H270" s="353" t="s">
        <v>608</v>
      </c>
      <c r="I270" s="353" t="s">
        <v>56</v>
      </c>
      <c r="J270" s="57"/>
      <c r="K270" s="11"/>
      <c r="L270" s="353"/>
    </row>
    <row r="271" spans="1:12" hidden="1">
      <c r="A271" s="353" t="s">
        <v>13</v>
      </c>
      <c r="B271" s="7" t="s">
        <v>593</v>
      </c>
      <c r="C271" s="103" t="s">
        <v>609</v>
      </c>
      <c r="D271" s="57">
        <v>45722</v>
      </c>
      <c r="F271" s="353" t="s">
        <v>16</v>
      </c>
      <c r="G271" s="11">
        <v>158.6</v>
      </c>
      <c r="H271" s="353" t="s">
        <v>87</v>
      </c>
      <c r="I271" s="353" t="s">
        <v>66</v>
      </c>
      <c r="J271" s="57"/>
      <c r="K271" s="11"/>
      <c r="L271" s="353"/>
    </row>
    <row r="272" spans="1:12" hidden="1">
      <c r="A272" s="353" t="s">
        <v>13</v>
      </c>
      <c r="B272" s="7" t="s">
        <v>593</v>
      </c>
      <c r="C272" s="103" t="s">
        <v>611</v>
      </c>
      <c r="D272" s="57">
        <v>45750</v>
      </c>
      <c r="F272" s="353" t="s">
        <v>16</v>
      </c>
      <c r="G272" s="11">
        <v>158.6</v>
      </c>
      <c r="H272" s="353" t="s">
        <v>87</v>
      </c>
      <c r="I272" s="353" t="s">
        <v>56</v>
      </c>
      <c r="J272" s="57">
        <v>45968</v>
      </c>
      <c r="K272" s="11">
        <v>634.4</v>
      </c>
      <c r="L272" s="353" t="s">
        <v>613</v>
      </c>
    </row>
    <row r="273" spans="1:12" hidden="1">
      <c r="A273" s="353" t="s">
        <v>13</v>
      </c>
      <c r="B273" s="7" t="s">
        <v>593</v>
      </c>
      <c r="C273" s="103" t="s">
        <v>614</v>
      </c>
      <c r="D273" s="57">
        <v>45778</v>
      </c>
      <c r="F273" s="353" t="s">
        <v>16</v>
      </c>
      <c r="G273" s="11">
        <v>158.6</v>
      </c>
      <c r="H273" s="353" t="s">
        <v>87</v>
      </c>
      <c r="I273" s="353" t="s">
        <v>56</v>
      </c>
      <c r="J273" s="57">
        <v>45968</v>
      </c>
      <c r="K273" s="11">
        <v>634.4</v>
      </c>
      <c r="L273" s="353" t="s">
        <v>613</v>
      </c>
    </row>
    <row r="274" spans="1:12" hidden="1">
      <c r="A274" s="353" t="s">
        <v>13</v>
      </c>
      <c r="B274" s="7" t="s">
        <v>593</v>
      </c>
      <c r="C274" s="103" t="s">
        <v>616</v>
      </c>
      <c r="D274" s="57">
        <v>45806</v>
      </c>
      <c r="F274" s="353" t="s">
        <v>16</v>
      </c>
      <c r="G274" s="11">
        <v>158.6</v>
      </c>
      <c r="H274" s="353" t="s">
        <v>87</v>
      </c>
      <c r="I274" s="353" t="s">
        <v>56</v>
      </c>
      <c r="J274" s="57">
        <v>45968</v>
      </c>
      <c r="K274" s="11">
        <v>634.4</v>
      </c>
      <c r="L274" s="353" t="s">
        <v>613</v>
      </c>
    </row>
    <row r="275" spans="1:12" hidden="1">
      <c r="A275" s="353" t="s">
        <v>13</v>
      </c>
      <c r="B275" s="7" t="s">
        <v>593</v>
      </c>
      <c r="C275" s="103" t="s">
        <v>618</v>
      </c>
      <c r="D275" s="57">
        <v>45834</v>
      </c>
      <c r="F275" s="353" t="s">
        <v>16</v>
      </c>
      <c r="G275" s="11">
        <v>158.6</v>
      </c>
      <c r="H275" s="353" t="s">
        <v>436</v>
      </c>
      <c r="I275" s="353" t="s">
        <v>56</v>
      </c>
      <c r="J275" s="57">
        <v>45968</v>
      </c>
      <c r="K275" s="11">
        <v>634.4</v>
      </c>
      <c r="L275" s="353" t="s">
        <v>613</v>
      </c>
    </row>
    <row r="276" spans="1:12" hidden="1">
      <c r="A276" s="353"/>
      <c r="B276" s="7" t="s">
        <v>4153</v>
      </c>
      <c r="C276" s="103" t="s">
        <v>4092</v>
      </c>
      <c r="D276" s="57">
        <v>46022</v>
      </c>
      <c r="E276" s="57">
        <v>46022</v>
      </c>
      <c r="F276" s="353"/>
      <c r="G276" s="11">
        <v>7200</v>
      </c>
      <c r="H276" s="353" t="s">
        <v>4154</v>
      </c>
      <c r="I276" s="353" t="s">
        <v>83</v>
      </c>
      <c r="J276" s="57"/>
      <c r="K276" s="11">
        <v>7200</v>
      </c>
      <c r="L276" s="353"/>
    </row>
    <row r="277" spans="1:12" hidden="1">
      <c r="A277" s="353"/>
      <c r="B277" s="7" t="s">
        <v>619</v>
      </c>
      <c r="C277" s="103" t="s">
        <v>3222</v>
      </c>
      <c r="F277" s="353" t="s">
        <v>16</v>
      </c>
      <c r="G277" s="11">
        <v>6400</v>
      </c>
      <c r="H277" s="353"/>
      <c r="I277" s="353" t="s">
        <v>622</v>
      </c>
      <c r="J277" s="57"/>
      <c r="K277" s="11"/>
      <c r="L277" s="353"/>
    </row>
    <row r="278" spans="1:12" hidden="1">
      <c r="A278" s="353"/>
      <c r="B278" s="7" t="s">
        <v>619</v>
      </c>
      <c r="E278" s="57">
        <v>45713</v>
      </c>
      <c r="F278" s="353" t="s">
        <v>16</v>
      </c>
      <c r="G278" s="11">
        <v>2757.9</v>
      </c>
      <c r="H278" s="353"/>
      <c r="I278" s="353" t="s">
        <v>56</v>
      </c>
      <c r="J278" s="57">
        <v>45826</v>
      </c>
      <c r="K278" s="11">
        <v>4000</v>
      </c>
      <c r="L278" s="353" t="s">
        <v>345</v>
      </c>
    </row>
    <row r="279" spans="1:12" hidden="1">
      <c r="A279" s="353"/>
      <c r="B279" s="7" t="s">
        <v>619</v>
      </c>
      <c r="E279" s="57">
        <v>45736</v>
      </c>
      <c r="F279" s="353" t="s">
        <v>16</v>
      </c>
      <c r="G279" s="11">
        <v>1985.2</v>
      </c>
      <c r="H279" s="353"/>
      <c r="I279" s="353" t="s">
        <v>56</v>
      </c>
      <c r="J279" s="57">
        <v>45826</v>
      </c>
      <c r="K279" s="11">
        <v>4000</v>
      </c>
      <c r="L279" s="353" t="s">
        <v>345</v>
      </c>
    </row>
    <row r="280" spans="1:12" hidden="1">
      <c r="A280" s="353"/>
      <c r="B280" s="7" t="s">
        <v>619</v>
      </c>
      <c r="E280" s="57">
        <v>45769</v>
      </c>
      <c r="F280" s="353" t="s">
        <v>16</v>
      </c>
      <c r="G280" s="11">
        <v>2014.8</v>
      </c>
      <c r="H280" s="353"/>
      <c r="I280" s="353" t="s">
        <v>66</v>
      </c>
      <c r="J280" s="57">
        <v>45826</v>
      </c>
      <c r="K280" s="11">
        <v>2175.13</v>
      </c>
      <c r="L280" s="353" t="s">
        <v>111</v>
      </c>
    </row>
    <row r="281" spans="1:12" hidden="1">
      <c r="A281" s="353"/>
      <c r="B281" s="7" t="s">
        <v>619</v>
      </c>
      <c r="E281" s="57">
        <v>45769</v>
      </c>
      <c r="F281" s="353" t="s">
        <v>16</v>
      </c>
      <c r="G281" s="11">
        <v>56.49</v>
      </c>
      <c r="H281" s="353"/>
      <c r="I281" s="353" t="s">
        <v>66</v>
      </c>
      <c r="J281" s="57">
        <v>45826</v>
      </c>
      <c r="K281" s="11">
        <v>2175.13</v>
      </c>
      <c r="L281" s="353" t="s">
        <v>111</v>
      </c>
    </row>
    <row r="282" spans="1:12" hidden="1">
      <c r="A282" s="353"/>
      <c r="B282" s="7" t="s">
        <v>619</v>
      </c>
      <c r="E282" s="57">
        <v>45797</v>
      </c>
      <c r="F282" s="353" t="s">
        <v>16</v>
      </c>
      <c r="G282" s="11">
        <v>2118.64</v>
      </c>
      <c r="H282" s="353"/>
      <c r="I282" s="353" t="s">
        <v>56</v>
      </c>
      <c r="J282" s="57"/>
      <c r="K282" s="11"/>
      <c r="L282" s="353"/>
    </row>
    <row r="283" spans="1:12" hidden="1">
      <c r="A283" s="353"/>
      <c r="B283" s="7" t="s">
        <v>619</v>
      </c>
      <c r="C283" s="103" t="s">
        <v>624</v>
      </c>
      <c r="E283" s="57">
        <v>45981</v>
      </c>
      <c r="F283" s="353" t="s">
        <v>16</v>
      </c>
      <c r="G283" s="11">
        <v>1423.22</v>
      </c>
      <c r="H283" s="353" t="s">
        <v>3375</v>
      </c>
      <c r="I283" s="353" t="s">
        <v>83</v>
      </c>
      <c r="J283" s="57">
        <v>45978</v>
      </c>
      <c r="K283" s="11">
        <v>1423</v>
      </c>
      <c r="L283" s="353" t="s">
        <v>19</v>
      </c>
    </row>
    <row r="284" spans="1:12" hidden="1">
      <c r="A284" s="353"/>
      <c r="B284" s="7" t="s">
        <v>619</v>
      </c>
      <c r="F284" s="353" t="s">
        <v>16</v>
      </c>
      <c r="G284" s="11">
        <v>2458.96</v>
      </c>
      <c r="H284" s="353"/>
      <c r="I284" s="353" t="s">
        <v>56</v>
      </c>
      <c r="J284" s="57">
        <v>45945</v>
      </c>
      <c r="K284" s="11">
        <v>2458.96</v>
      </c>
      <c r="L284" s="353" t="s">
        <v>71</v>
      </c>
    </row>
    <row r="285" spans="1:12" hidden="1">
      <c r="A285" s="353" t="s">
        <v>626</v>
      </c>
      <c r="B285" s="7" t="s">
        <v>619</v>
      </c>
      <c r="F285" s="353" t="s">
        <v>16</v>
      </c>
      <c r="G285" s="11">
        <v>1140</v>
      </c>
      <c r="H285" s="353"/>
      <c r="I285" s="353" t="s">
        <v>622</v>
      </c>
      <c r="J285" s="57">
        <v>45992</v>
      </c>
      <c r="K285" s="11">
        <v>1140</v>
      </c>
      <c r="L285" s="353" t="s">
        <v>627</v>
      </c>
    </row>
    <row r="286" spans="1:12" hidden="1">
      <c r="A286" s="353" t="s">
        <v>628</v>
      </c>
      <c r="B286" s="7" t="s">
        <v>619</v>
      </c>
      <c r="F286" s="353" t="s">
        <v>16</v>
      </c>
      <c r="G286" s="11">
        <v>1140</v>
      </c>
      <c r="H286" s="353"/>
      <c r="I286" s="353" t="s">
        <v>622</v>
      </c>
      <c r="J286" s="57">
        <v>46020</v>
      </c>
      <c r="K286" s="11">
        <v>1140</v>
      </c>
      <c r="L286" s="353" t="s">
        <v>627</v>
      </c>
    </row>
    <row r="287" spans="1:12" hidden="1">
      <c r="A287" s="353" t="s">
        <v>629</v>
      </c>
      <c r="B287" s="7" t="s">
        <v>619</v>
      </c>
      <c r="F287" s="353"/>
      <c r="G287" s="11">
        <v>1140</v>
      </c>
      <c r="H287" s="353"/>
      <c r="I287" s="353" t="s">
        <v>622</v>
      </c>
      <c r="J287" s="57">
        <v>46052</v>
      </c>
      <c r="K287" s="11">
        <v>1140</v>
      </c>
      <c r="L287" s="353" t="s">
        <v>627</v>
      </c>
    </row>
    <row r="288" spans="1:12" hidden="1">
      <c r="A288" s="353" t="s">
        <v>630</v>
      </c>
      <c r="B288" s="7" t="s">
        <v>619</v>
      </c>
      <c r="F288" s="353"/>
      <c r="G288" s="11">
        <v>1140</v>
      </c>
      <c r="H288" s="353"/>
      <c r="I288" s="353" t="s">
        <v>622</v>
      </c>
      <c r="J288" s="57">
        <v>46080</v>
      </c>
      <c r="K288" s="11">
        <v>1140</v>
      </c>
      <c r="L288" s="353" t="s">
        <v>627</v>
      </c>
    </row>
    <row r="289" spans="1:12" hidden="1">
      <c r="A289" s="353" t="s">
        <v>631</v>
      </c>
      <c r="B289" s="7" t="s">
        <v>619</v>
      </c>
      <c r="F289" s="353"/>
      <c r="G289" s="11">
        <v>1140</v>
      </c>
      <c r="H289" s="353"/>
      <c r="I289" s="353" t="s">
        <v>622</v>
      </c>
      <c r="J289" s="57">
        <v>46112</v>
      </c>
      <c r="K289" s="11">
        <v>1140</v>
      </c>
      <c r="L289" s="353" t="s">
        <v>627</v>
      </c>
    </row>
    <row r="290" spans="1:12" hidden="1">
      <c r="A290" s="353" t="s">
        <v>316</v>
      </c>
      <c r="B290" s="7" t="s">
        <v>619</v>
      </c>
      <c r="C290" s="103" t="s">
        <v>632</v>
      </c>
      <c r="F290" s="353" t="s">
        <v>16</v>
      </c>
      <c r="G290" s="11">
        <v>1644.89</v>
      </c>
      <c r="H290" s="353" t="s">
        <v>3376</v>
      </c>
      <c r="I290" s="353" t="s">
        <v>56</v>
      </c>
      <c r="J290" s="57">
        <v>46029</v>
      </c>
      <c r="K290" s="11">
        <v>1644.77</v>
      </c>
      <c r="L290" s="353" t="s">
        <v>394</v>
      </c>
    </row>
    <row r="291" spans="1:12" hidden="1">
      <c r="A291" s="353" t="s">
        <v>316</v>
      </c>
      <c r="B291" s="7" t="s">
        <v>619</v>
      </c>
      <c r="C291" s="103" t="s">
        <v>3377</v>
      </c>
      <c r="D291" s="57">
        <v>46013</v>
      </c>
      <c r="E291" s="57">
        <v>46013</v>
      </c>
      <c r="F291" s="353" t="s">
        <v>16</v>
      </c>
      <c r="G291" s="11">
        <v>1218.4000000000001</v>
      </c>
      <c r="H291" s="353" t="s">
        <v>3378</v>
      </c>
      <c r="I291" s="353" t="s">
        <v>56</v>
      </c>
      <c r="J291" s="57">
        <v>46013</v>
      </c>
      <c r="K291" s="11">
        <v>1218.4000000000001</v>
      </c>
      <c r="L291" s="353" t="s">
        <v>313</v>
      </c>
    </row>
    <row r="292" spans="1:12" hidden="1">
      <c r="A292" s="353" t="s">
        <v>13</v>
      </c>
      <c r="B292" s="7" t="s">
        <v>619</v>
      </c>
      <c r="C292" s="103" t="s">
        <v>4155</v>
      </c>
      <c r="D292" s="57">
        <v>45677</v>
      </c>
      <c r="E292" s="57">
        <v>45677</v>
      </c>
      <c r="F292" s="353" t="s">
        <v>16</v>
      </c>
      <c r="G292" s="11">
        <v>1053.32</v>
      </c>
      <c r="H292" s="353" t="s">
        <v>4156</v>
      </c>
      <c r="I292" s="353" t="s">
        <v>56</v>
      </c>
      <c r="J292" s="57">
        <v>46042</v>
      </c>
      <c r="K292" s="11">
        <v>1053.32</v>
      </c>
      <c r="L292" s="353" t="s">
        <v>313</v>
      </c>
    </row>
    <row r="293" spans="1:12" hidden="1">
      <c r="A293" s="353" t="s">
        <v>634</v>
      </c>
      <c r="B293" s="7" t="s">
        <v>635</v>
      </c>
      <c r="C293" s="103" t="s">
        <v>468</v>
      </c>
      <c r="D293" s="57">
        <v>45672</v>
      </c>
      <c r="F293" s="353" t="s">
        <v>16</v>
      </c>
      <c r="G293" s="11">
        <v>9901.9500000000007</v>
      </c>
      <c r="H293" s="353"/>
      <c r="I293" s="353" t="s">
        <v>637</v>
      </c>
      <c r="J293" s="57" t="s">
        <v>638</v>
      </c>
      <c r="K293" s="11"/>
      <c r="L293" s="353"/>
    </row>
    <row r="294" spans="1:12" hidden="1">
      <c r="A294" s="353" t="s">
        <v>634</v>
      </c>
      <c r="B294" s="7" t="s">
        <v>635</v>
      </c>
      <c r="C294" s="103" t="s">
        <v>468</v>
      </c>
      <c r="D294" s="57">
        <v>45672</v>
      </c>
      <c r="F294" s="353" t="s">
        <v>16</v>
      </c>
      <c r="G294" s="11">
        <v>2145.21</v>
      </c>
      <c r="H294" s="353"/>
      <c r="I294" s="353" t="s">
        <v>637</v>
      </c>
      <c r="J294" s="57" t="s">
        <v>639</v>
      </c>
      <c r="K294" s="11"/>
      <c r="L294" s="353" t="s">
        <v>640</v>
      </c>
    </row>
    <row r="295" spans="1:12" hidden="1">
      <c r="A295" s="353" t="s">
        <v>634</v>
      </c>
      <c r="B295" s="7" t="s">
        <v>635</v>
      </c>
      <c r="C295" s="103" t="s">
        <v>641</v>
      </c>
      <c r="D295" s="57">
        <v>45688</v>
      </c>
      <c r="F295" s="353" t="s">
        <v>16</v>
      </c>
      <c r="G295" s="11">
        <v>5655.13</v>
      </c>
      <c r="H295" s="353"/>
      <c r="I295" s="353" t="s">
        <v>637</v>
      </c>
      <c r="J295" s="57" t="s">
        <v>638</v>
      </c>
      <c r="K295" s="11"/>
      <c r="L295" s="353"/>
    </row>
    <row r="296" spans="1:12" hidden="1">
      <c r="A296" s="353" t="s">
        <v>634</v>
      </c>
      <c r="B296" s="7" t="s">
        <v>635</v>
      </c>
      <c r="C296" s="103" t="s">
        <v>641</v>
      </c>
      <c r="D296" s="57">
        <v>45688</v>
      </c>
      <c r="F296" s="353" t="s">
        <v>16</v>
      </c>
      <c r="G296" s="11">
        <v>1244.1300000000001</v>
      </c>
      <c r="H296" s="353"/>
      <c r="I296" s="353" t="s">
        <v>637</v>
      </c>
      <c r="J296" s="57" t="s">
        <v>643</v>
      </c>
      <c r="K296" s="11"/>
      <c r="L296" s="353"/>
    </row>
    <row r="297" spans="1:12" hidden="1">
      <c r="A297" s="353" t="s">
        <v>634</v>
      </c>
      <c r="B297" s="7" t="s">
        <v>635</v>
      </c>
      <c r="C297" s="103" t="s">
        <v>644</v>
      </c>
      <c r="D297" s="57">
        <v>45580</v>
      </c>
      <c r="E297" s="57">
        <v>45580</v>
      </c>
      <c r="F297" s="353" t="s">
        <v>16</v>
      </c>
      <c r="G297" s="11">
        <v>5104.53</v>
      </c>
      <c r="H297" s="353" t="s">
        <v>646</v>
      </c>
      <c r="I297" s="353" t="s">
        <v>637</v>
      </c>
      <c r="J297" s="57" t="s">
        <v>643</v>
      </c>
      <c r="K297" s="11"/>
      <c r="L297" s="353"/>
    </row>
    <row r="298" spans="1:12" hidden="1">
      <c r="A298" s="353" t="s">
        <v>634</v>
      </c>
      <c r="B298" s="7" t="s">
        <v>635</v>
      </c>
      <c r="C298" s="103" t="s">
        <v>647</v>
      </c>
      <c r="D298" s="57">
        <v>45596</v>
      </c>
      <c r="E298" s="57">
        <v>45596</v>
      </c>
      <c r="F298" s="353" t="s">
        <v>16</v>
      </c>
      <c r="G298" s="11">
        <v>4437.7700000000004</v>
      </c>
      <c r="H298" s="353" t="s">
        <v>649</v>
      </c>
      <c r="I298" s="353" t="s">
        <v>637</v>
      </c>
      <c r="J298" s="57" t="s">
        <v>650</v>
      </c>
      <c r="K298" s="11"/>
      <c r="L298" s="353"/>
    </row>
    <row r="299" spans="1:12" hidden="1">
      <c r="A299" s="353" t="s">
        <v>634</v>
      </c>
      <c r="B299" s="7" t="s">
        <v>635</v>
      </c>
      <c r="C299" s="103" t="s">
        <v>651</v>
      </c>
      <c r="D299" s="57">
        <v>45626</v>
      </c>
      <c r="E299" s="57">
        <v>45757</v>
      </c>
      <c r="F299" s="353" t="s">
        <v>16</v>
      </c>
      <c r="G299" s="11">
        <v>3065.47</v>
      </c>
      <c r="H299" s="353"/>
      <c r="I299" s="353" t="s">
        <v>637</v>
      </c>
      <c r="J299" s="57" t="s">
        <v>650</v>
      </c>
      <c r="K299" s="11"/>
      <c r="L299" s="353"/>
    </row>
    <row r="300" spans="1:12" hidden="1">
      <c r="A300" s="353" t="s">
        <v>634</v>
      </c>
      <c r="B300" s="7" t="s">
        <v>635</v>
      </c>
      <c r="C300" s="103" t="s">
        <v>653</v>
      </c>
      <c r="D300" s="57">
        <v>45612</v>
      </c>
      <c r="E300" s="57">
        <v>45757</v>
      </c>
      <c r="F300" s="353" t="s">
        <v>16</v>
      </c>
      <c r="G300" s="11">
        <v>2536.9899999999998</v>
      </c>
      <c r="H300" s="353" t="s">
        <v>655</v>
      </c>
      <c r="I300" s="353" t="s">
        <v>637</v>
      </c>
      <c r="J300" s="57" t="s">
        <v>650</v>
      </c>
      <c r="K300" s="11"/>
      <c r="L300" s="353"/>
    </row>
    <row r="301" spans="1:12" hidden="1">
      <c r="A301" s="353" t="s">
        <v>634</v>
      </c>
      <c r="B301" s="7" t="s">
        <v>635</v>
      </c>
      <c r="C301" s="103" t="s">
        <v>656</v>
      </c>
      <c r="D301" s="57">
        <v>45646</v>
      </c>
      <c r="E301" s="57">
        <v>45757</v>
      </c>
      <c r="F301" s="353" t="s">
        <v>16</v>
      </c>
      <c r="G301" s="11">
        <v>3395.75</v>
      </c>
      <c r="H301" s="353" t="s">
        <v>658</v>
      </c>
      <c r="I301" s="353" t="s">
        <v>637</v>
      </c>
      <c r="J301" s="57" t="s">
        <v>659</v>
      </c>
      <c r="K301" s="11"/>
      <c r="L301" s="353" t="s">
        <v>660</v>
      </c>
    </row>
    <row r="302" spans="1:12" hidden="1">
      <c r="A302" s="353" t="s">
        <v>634</v>
      </c>
      <c r="B302" s="7" t="s">
        <v>635</v>
      </c>
      <c r="C302" s="103" t="s">
        <v>661</v>
      </c>
      <c r="D302" s="57">
        <v>45731</v>
      </c>
      <c r="E302" s="57">
        <v>45879</v>
      </c>
      <c r="F302" s="353" t="s">
        <v>16</v>
      </c>
      <c r="G302" s="11">
        <v>469.6</v>
      </c>
      <c r="H302" s="353"/>
      <c r="I302" s="353" t="s">
        <v>637</v>
      </c>
      <c r="J302" s="57" t="s">
        <v>663</v>
      </c>
      <c r="K302" s="11"/>
      <c r="L302" s="353"/>
    </row>
    <row r="303" spans="1:12" hidden="1">
      <c r="A303" s="353" t="s">
        <v>634</v>
      </c>
      <c r="B303" s="7" t="s">
        <v>635</v>
      </c>
      <c r="C303" s="103" t="s">
        <v>661</v>
      </c>
      <c r="D303" s="57">
        <v>45731</v>
      </c>
      <c r="E303" s="57">
        <v>45879</v>
      </c>
      <c r="F303" s="353" t="s">
        <v>16</v>
      </c>
      <c r="G303" s="11">
        <v>103.31</v>
      </c>
      <c r="H303" s="353"/>
      <c r="I303" s="353" t="s">
        <v>637</v>
      </c>
      <c r="J303" s="57" t="s">
        <v>663</v>
      </c>
      <c r="K303" s="11"/>
      <c r="L303" s="353"/>
    </row>
    <row r="304" spans="1:12" hidden="1">
      <c r="A304" s="353" t="s">
        <v>634</v>
      </c>
      <c r="B304" s="7" t="s">
        <v>635</v>
      </c>
      <c r="C304" s="103" t="s">
        <v>664</v>
      </c>
      <c r="D304" s="57">
        <v>45747</v>
      </c>
      <c r="E304" s="57">
        <v>45879</v>
      </c>
      <c r="F304" s="353" t="s">
        <v>16</v>
      </c>
      <c r="G304" s="11">
        <v>24053.599999999999</v>
      </c>
      <c r="H304" s="353"/>
      <c r="I304" s="353" t="s">
        <v>637</v>
      </c>
      <c r="J304" s="57" t="s">
        <v>666</v>
      </c>
      <c r="K304" s="11"/>
      <c r="L304" s="353"/>
    </row>
    <row r="305" spans="1:12" hidden="1">
      <c r="A305" s="353" t="s">
        <v>634</v>
      </c>
      <c r="B305" s="7" t="s">
        <v>635</v>
      </c>
      <c r="C305" s="103" t="s">
        <v>667</v>
      </c>
      <c r="D305" s="57">
        <v>45762</v>
      </c>
      <c r="E305" s="57">
        <v>45910</v>
      </c>
      <c r="F305" s="353" t="s">
        <v>16</v>
      </c>
      <c r="G305" s="11">
        <v>8688.33</v>
      </c>
      <c r="H305" s="353" t="s">
        <v>669</v>
      </c>
      <c r="I305" s="353"/>
      <c r="J305" s="57" t="s">
        <v>666</v>
      </c>
      <c r="K305" s="11"/>
      <c r="L305" s="353"/>
    </row>
    <row r="306" spans="1:12" hidden="1">
      <c r="A306" s="353" t="s">
        <v>634</v>
      </c>
      <c r="B306" s="7" t="s">
        <v>635</v>
      </c>
      <c r="C306" s="103" t="s">
        <v>670</v>
      </c>
      <c r="D306" s="57">
        <v>45777</v>
      </c>
      <c r="E306" s="57">
        <v>45910</v>
      </c>
      <c r="F306" s="353" t="s">
        <v>16</v>
      </c>
      <c r="G306" s="11">
        <v>1340.39</v>
      </c>
      <c r="H306" s="353" t="s">
        <v>669</v>
      </c>
      <c r="I306" s="353"/>
      <c r="J306" s="57" t="s">
        <v>666</v>
      </c>
      <c r="K306" s="11"/>
      <c r="L306" s="353"/>
    </row>
    <row r="307" spans="1:12" hidden="1">
      <c r="A307" s="353" t="s">
        <v>634</v>
      </c>
      <c r="B307" s="7" t="s">
        <v>635</v>
      </c>
      <c r="C307" s="103" t="s">
        <v>672</v>
      </c>
      <c r="D307" s="57">
        <v>45792</v>
      </c>
      <c r="E307" s="57">
        <v>45940</v>
      </c>
      <c r="F307" s="353" t="s">
        <v>16</v>
      </c>
      <c r="G307" s="11">
        <v>2129.91</v>
      </c>
      <c r="H307" s="353" t="s">
        <v>674</v>
      </c>
      <c r="I307" s="353"/>
      <c r="J307" s="57" t="s">
        <v>675</v>
      </c>
      <c r="K307" s="11"/>
      <c r="L307" s="353"/>
    </row>
    <row r="308" spans="1:12" hidden="1">
      <c r="A308" s="353" t="s">
        <v>634</v>
      </c>
      <c r="B308" s="7" t="s">
        <v>635</v>
      </c>
      <c r="C308" s="103" t="s">
        <v>676</v>
      </c>
      <c r="D308" s="57">
        <v>45808</v>
      </c>
      <c r="E308" s="57">
        <v>45940</v>
      </c>
      <c r="F308" s="353" t="s">
        <v>16</v>
      </c>
      <c r="G308" s="11">
        <v>392.45</v>
      </c>
      <c r="H308" s="353" t="s">
        <v>678</v>
      </c>
      <c r="I308" s="353"/>
      <c r="J308" s="57" t="s">
        <v>679</v>
      </c>
      <c r="K308" s="11"/>
      <c r="L308" s="353"/>
    </row>
    <row r="309" spans="1:12" hidden="1">
      <c r="A309" s="353" t="s">
        <v>634</v>
      </c>
      <c r="B309" s="7" t="s">
        <v>635</v>
      </c>
      <c r="C309" s="103" t="s">
        <v>680</v>
      </c>
      <c r="D309" s="57">
        <v>45823</v>
      </c>
      <c r="E309" s="57">
        <v>45960</v>
      </c>
      <c r="F309" s="353" t="s">
        <v>16</v>
      </c>
      <c r="G309" s="11">
        <v>388.48</v>
      </c>
      <c r="H309" s="353" t="s">
        <v>682</v>
      </c>
      <c r="I309" s="353" t="s">
        <v>637</v>
      </c>
      <c r="J309" s="57">
        <v>45957</v>
      </c>
      <c r="K309" s="11">
        <v>388.48</v>
      </c>
      <c r="L309" s="353" t="s">
        <v>683</v>
      </c>
    </row>
    <row r="310" spans="1:12" hidden="1">
      <c r="A310" s="353" t="s">
        <v>634</v>
      </c>
      <c r="B310" s="7" t="s">
        <v>635</v>
      </c>
      <c r="C310" s="103" t="s">
        <v>684</v>
      </c>
      <c r="D310" s="57">
        <v>45838</v>
      </c>
      <c r="E310" s="57">
        <v>45960</v>
      </c>
      <c r="F310" s="353" t="s">
        <v>16</v>
      </c>
      <c r="G310" s="11">
        <v>10148.11</v>
      </c>
      <c r="H310" s="353" t="s">
        <v>349</v>
      </c>
      <c r="I310" s="353" t="s">
        <v>637</v>
      </c>
      <c r="J310" s="57">
        <v>45957</v>
      </c>
      <c r="K310" s="11">
        <v>10148.11</v>
      </c>
      <c r="L310" s="353" t="s">
        <v>71</v>
      </c>
    </row>
    <row r="311" spans="1:12" hidden="1">
      <c r="A311" s="353" t="s">
        <v>634</v>
      </c>
      <c r="B311" s="7" t="s">
        <v>635</v>
      </c>
      <c r="C311" s="103" t="s">
        <v>686</v>
      </c>
      <c r="D311" s="57">
        <v>45853</v>
      </c>
      <c r="F311" s="353" t="s">
        <v>16</v>
      </c>
      <c r="G311" s="11">
        <v>659.76</v>
      </c>
      <c r="H311" s="353" t="s">
        <v>218</v>
      </c>
      <c r="I311" s="353" t="s">
        <v>637</v>
      </c>
      <c r="J311" s="57" t="s">
        <v>688</v>
      </c>
      <c r="K311" s="11">
        <v>3068</v>
      </c>
      <c r="L311" s="353" t="s">
        <v>689</v>
      </c>
    </row>
    <row r="312" spans="1:12" hidden="1">
      <c r="A312" s="353" t="s">
        <v>634</v>
      </c>
      <c r="B312" s="7" t="s">
        <v>635</v>
      </c>
      <c r="C312" s="103" t="s">
        <v>690</v>
      </c>
      <c r="D312" s="57">
        <v>45869</v>
      </c>
      <c r="F312" s="353" t="s">
        <v>16</v>
      </c>
      <c r="G312" s="11">
        <v>42.55</v>
      </c>
      <c r="H312" s="353" t="s">
        <v>692</v>
      </c>
      <c r="I312" s="353" t="s">
        <v>637</v>
      </c>
      <c r="J312" s="57" t="s">
        <v>688</v>
      </c>
      <c r="K312" s="11">
        <v>3068</v>
      </c>
      <c r="L312" s="353" t="s">
        <v>689</v>
      </c>
    </row>
    <row r="313" spans="1:12" hidden="1">
      <c r="A313" s="353" t="s">
        <v>634</v>
      </c>
      <c r="B313" s="7" t="s">
        <v>635</v>
      </c>
      <c r="C313" s="103" t="s">
        <v>693</v>
      </c>
      <c r="D313" s="57">
        <v>45900</v>
      </c>
      <c r="F313" s="353" t="s">
        <v>16</v>
      </c>
      <c r="G313" s="11">
        <v>137.69999999999999</v>
      </c>
      <c r="H313" s="353" t="s">
        <v>349</v>
      </c>
      <c r="I313" s="353" t="s">
        <v>637</v>
      </c>
      <c r="J313" s="57" t="s">
        <v>688</v>
      </c>
      <c r="K313" s="11">
        <v>3068</v>
      </c>
      <c r="L313" s="353" t="s">
        <v>689</v>
      </c>
    </row>
    <row r="314" spans="1:12" hidden="1">
      <c r="A314" s="353" t="s">
        <v>634</v>
      </c>
      <c r="B314" s="7" t="s">
        <v>635</v>
      </c>
      <c r="C314" s="103" t="s">
        <v>695</v>
      </c>
      <c r="D314" s="57">
        <v>45915</v>
      </c>
      <c r="F314" s="353" t="s">
        <v>16</v>
      </c>
      <c r="G314" s="11">
        <v>339.44</v>
      </c>
      <c r="H314" s="353" t="s">
        <v>697</v>
      </c>
      <c r="I314" s="353" t="s">
        <v>637</v>
      </c>
      <c r="J314" s="57" t="s">
        <v>688</v>
      </c>
      <c r="K314" s="11">
        <v>3068</v>
      </c>
      <c r="L314" s="353" t="s">
        <v>689</v>
      </c>
    </row>
    <row r="315" spans="1:12" hidden="1">
      <c r="A315" s="353" t="s">
        <v>634</v>
      </c>
      <c r="B315" s="7" t="s">
        <v>635</v>
      </c>
      <c r="C315" s="103" t="s">
        <v>698</v>
      </c>
      <c r="D315" s="57">
        <v>45930</v>
      </c>
      <c r="F315" s="353" t="s">
        <v>16</v>
      </c>
      <c r="G315" s="11">
        <v>1888.18</v>
      </c>
      <c r="H315" s="353" t="s">
        <v>697</v>
      </c>
      <c r="I315" s="353" t="s">
        <v>637</v>
      </c>
      <c r="J315" s="57" t="s">
        <v>688</v>
      </c>
      <c r="K315" s="11">
        <v>3068</v>
      </c>
      <c r="L315" s="353" t="s">
        <v>689</v>
      </c>
    </row>
    <row r="316" spans="1:12" hidden="1">
      <c r="A316" s="353" t="s">
        <v>4157</v>
      </c>
      <c r="B316" s="7" t="s">
        <v>635</v>
      </c>
      <c r="C316" s="103" t="s">
        <v>700</v>
      </c>
      <c r="D316" s="57">
        <v>45945</v>
      </c>
      <c r="E316" s="57">
        <v>45945</v>
      </c>
      <c r="F316" s="353"/>
      <c r="G316" s="11">
        <v>1064.95</v>
      </c>
      <c r="H316" s="353" t="s">
        <v>701</v>
      </c>
      <c r="I316" s="353" t="s">
        <v>702</v>
      </c>
      <c r="J316" s="57" t="s">
        <v>4158</v>
      </c>
      <c r="K316" s="11">
        <v>2869.42</v>
      </c>
      <c r="L316" s="353" t="s">
        <v>689</v>
      </c>
    </row>
    <row r="317" spans="1:12" hidden="1">
      <c r="A317" s="353" t="s">
        <v>4157</v>
      </c>
      <c r="B317" s="7" t="s">
        <v>635</v>
      </c>
      <c r="C317" s="103" t="s">
        <v>704</v>
      </c>
      <c r="D317" s="57">
        <v>45991</v>
      </c>
      <c r="E317" s="57">
        <v>45991</v>
      </c>
      <c r="F317" s="353"/>
      <c r="G317" s="11">
        <v>1804.47</v>
      </c>
      <c r="H317" s="353" t="s">
        <v>705</v>
      </c>
      <c r="I317" s="353" t="s">
        <v>702</v>
      </c>
      <c r="J317" s="57" t="s">
        <v>4158</v>
      </c>
      <c r="K317" s="11">
        <v>2869.42</v>
      </c>
      <c r="L317" s="353" t="s">
        <v>689</v>
      </c>
    </row>
    <row r="318" spans="1:12" hidden="1">
      <c r="A318" s="353" t="s">
        <v>4159</v>
      </c>
      <c r="B318" s="7" t="s">
        <v>635</v>
      </c>
      <c r="C318" s="103" t="s">
        <v>3319</v>
      </c>
      <c r="D318" s="57">
        <v>46011</v>
      </c>
      <c r="E318" s="57">
        <v>46011</v>
      </c>
      <c r="F318" s="353"/>
      <c r="G318" s="11">
        <v>959.9</v>
      </c>
      <c r="H318" s="353" t="s">
        <v>705</v>
      </c>
      <c r="I318" s="353" t="s">
        <v>83</v>
      </c>
      <c r="J318" s="57"/>
      <c r="K318" s="11"/>
      <c r="L318" s="353"/>
    </row>
    <row r="319" spans="1:12" hidden="1">
      <c r="A319" s="353" t="s">
        <v>4159</v>
      </c>
      <c r="B319" s="7" t="s">
        <v>635</v>
      </c>
      <c r="C319" s="103" t="s">
        <v>4134</v>
      </c>
      <c r="D319" s="57">
        <v>46022</v>
      </c>
      <c r="E319" s="57">
        <v>46022</v>
      </c>
      <c r="F319" s="353"/>
      <c r="G319" s="11">
        <v>377.81</v>
      </c>
      <c r="H319" s="353" t="s">
        <v>705</v>
      </c>
      <c r="I319" s="353" t="s">
        <v>83</v>
      </c>
      <c r="J319" s="57"/>
      <c r="K319" s="11"/>
      <c r="L319" s="353"/>
    </row>
    <row r="320" spans="1:12" hidden="1">
      <c r="A320" s="353"/>
      <c r="B320" s="7" t="s">
        <v>706</v>
      </c>
      <c r="C320" s="103" t="s">
        <v>707</v>
      </c>
      <c r="D320" s="57">
        <v>45991</v>
      </c>
      <c r="E320" s="57">
        <v>46032</v>
      </c>
      <c r="F320" s="353" t="s">
        <v>16</v>
      </c>
      <c r="G320" s="11">
        <v>189.1</v>
      </c>
      <c r="H320" s="353" t="s">
        <v>708</v>
      </c>
      <c r="I320" s="353" t="s">
        <v>374</v>
      </c>
      <c r="J320" s="57">
        <v>45667</v>
      </c>
      <c r="K320" s="11">
        <v>189.1</v>
      </c>
      <c r="L320" s="353" t="s">
        <v>345</v>
      </c>
    </row>
    <row r="321" spans="1:12" hidden="1">
      <c r="A321" s="353" t="s">
        <v>13</v>
      </c>
      <c r="B321" s="7" t="s">
        <v>709</v>
      </c>
      <c r="C321" s="103" t="s">
        <v>710</v>
      </c>
      <c r="D321" s="57">
        <v>45596</v>
      </c>
      <c r="E321" s="57">
        <v>45656</v>
      </c>
      <c r="F321" s="353"/>
      <c r="G321" s="11">
        <v>392.84</v>
      </c>
      <c r="H321" s="353" t="s">
        <v>55</v>
      </c>
      <c r="I321" s="353" t="s">
        <v>425</v>
      </c>
      <c r="J321" s="57"/>
      <c r="K321" s="11"/>
      <c r="L321" s="353"/>
    </row>
    <row r="322" spans="1:12" hidden="1">
      <c r="A322" s="353" t="s">
        <v>13</v>
      </c>
      <c r="B322" s="7" t="s">
        <v>712</v>
      </c>
      <c r="C322" s="103" t="s">
        <v>713</v>
      </c>
      <c r="D322" s="57">
        <v>45718</v>
      </c>
      <c r="F322" s="353" t="s">
        <v>16</v>
      </c>
      <c r="G322" s="11">
        <v>58090.98</v>
      </c>
      <c r="H322" s="353" t="s">
        <v>312</v>
      </c>
      <c r="I322" s="353" t="s">
        <v>56</v>
      </c>
      <c r="J322" s="57"/>
      <c r="K322" s="11"/>
      <c r="L322" s="353" t="s">
        <v>715</v>
      </c>
    </row>
    <row r="323" spans="1:12" hidden="1">
      <c r="A323" s="353" t="s">
        <v>716</v>
      </c>
      <c r="B323" s="7" t="s">
        <v>712</v>
      </c>
      <c r="C323" s="103" t="s">
        <v>3225</v>
      </c>
      <c r="D323" s="57">
        <v>45777</v>
      </c>
      <c r="F323" s="353" t="s">
        <v>16</v>
      </c>
      <c r="G323" s="11">
        <v>7283.5</v>
      </c>
      <c r="H323" s="353"/>
      <c r="I323" s="353" t="s">
        <v>66</v>
      </c>
      <c r="J323" s="57"/>
      <c r="K323" s="11"/>
      <c r="L323" s="353" t="s">
        <v>718</v>
      </c>
    </row>
    <row r="324" spans="1:12" hidden="1">
      <c r="A324" s="353" t="s">
        <v>13</v>
      </c>
      <c r="B324" s="7" t="s">
        <v>712</v>
      </c>
      <c r="C324" s="103" t="s">
        <v>719</v>
      </c>
      <c r="D324" s="57">
        <v>45803</v>
      </c>
      <c r="F324" s="353" t="s">
        <v>16</v>
      </c>
      <c r="G324" s="11">
        <v>7000</v>
      </c>
      <c r="H324" s="353" t="s">
        <v>721</v>
      </c>
      <c r="I324" s="353" t="s">
        <v>56</v>
      </c>
      <c r="J324" s="57">
        <v>45945</v>
      </c>
      <c r="K324" s="11">
        <v>7000</v>
      </c>
      <c r="L324" s="353" t="s">
        <v>71</v>
      </c>
    </row>
    <row r="325" spans="1:12" hidden="1">
      <c r="A325" s="353" t="s">
        <v>13</v>
      </c>
      <c r="B325" s="7" t="s">
        <v>712</v>
      </c>
      <c r="C325" s="103" t="s">
        <v>722</v>
      </c>
      <c r="D325" s="57">
        <v>45803</v>
      </c>
      <c r="F325" s="353" t="s">
        <v>16</v>
      </c>
      <c r="G325" s="11">
        <v>11000</v>
      </c>
      <c r="H325" s="353" t="s">
        <v>721</v>
      </c>
      <c r="I325" s="353" t="s">
        <v>56</v>
      </c>
      <c r="J325" s="57"/>
      <c r="K325" s="11"/>
      <c r="L325" s="353"/>
    </row>
    <row r="326" spans="1:12" hidden="1">
      <c r="A326" s="353" t="s">
        <v>90</v>
      </c>
      <c r="B326" s="7" t="s">
        <v>712</v>
      </c>
      <c r="C326" s="103" t="s">
        <v>3260</v>
      </c>
      <c r="D326" s="57">
        <v>45803</v>
      </c>
      <c r="E326" s="57">
        <v>45803</v>
      </c>
      <c r="F326" s="353"/>
      <c r="G326" s="11">
        <v>10000</v>
      </c>
      <c r="H326" s="353" t="s">
        <v>342</v>
      </c>
      <c r="I326" s="353" t="s">
        <v>56</v>
      </c>
      <c r="J326" s="57">
        <v>45968</v>
      </c>
      <c r="K326" s="11">
        <v>11000</v>
      </c>
      <c r="L326" s="353" t="s">
        <v>19</v>
      </c>
    </row>
    <row r="327" spans="1:12" hidden="1">
      <c r="A327" s="353"/>
      <c r="B327" s="7" t="s">
        <v>725</v>
      </c>
      <c r="C327" s="103" t="s">
        <v>726</v>
      </c>
      <c r="D327" s="57">
        <v>45679</v>
      </c>
      <c r="E327" s="57">
        <v>45739</v>
      </c>
      <c r="F327" s="353" t="s">
        <v>16</v>
      </c>
      <c r="G327" s="11">
        <v>207.4</v>
      </c>
      <c r="H327" s="353" t="s">
        <v>728</v>
      </c>
      <c r="I327" s="353" t="s">
        <v>56</v>
      </c>
      <c r="J327" s="57">
        <v>45775</v>
      </c>
      <c r="K327" s="11">
        <v>576.08000000000004</v>
      </c>
      <c r="L327" s="353"/>
    </row>
    <row r="328" spans="1:12" hidden="1">
      <c r="A328" s="353"/>
      <c r="B328" s="7" t="s">
        <v>725</v>
      </c>
      <c r="C328" s="103" t="s">
        <v>729</v>
      </c>
      <c r="D328" s="57">
        <v>45638</v>
      </c>
      <c r="E328" s="57">
        <v>45716</v>
      </c>
      <c r="F328" s="353" t="s">
        <v>16</v>
      </c>
      <c r="G328" s="11">
        <v>368.68</v>
      </c>
      <c r="H328" s="353" t="s">
        <v>731</v>
      </c>
      <c r="I328" s="353" t="s">
        <v>56</v>
      </c>
      <c r="J328" s="57">
        <v>45775</v>
      </c>
      <c r="K328" s="11">
        <v>576.08000000000004</v>
      </c>
      <c r="L328" s="353"/>
    </row>
    <row r="329" spans="1:12" hidden="1">
      <c r="A329" s="353"/>
      <c r="B329" s="7" t="s">
        <v>732</v>
      </c>
      <c r="C329" s="103" t="s">
        <v>733</v>
      </c>
      <c r="D329" s="57">
        <v>45936</v>
      </c>
      <c r="F329" s="353" t="s">
        <v>16</v>
      </c>
      <c r="G329" s="11">
        <v>3885</v>
      </c>
      <c r="H329" s="353"/>
      <c r="I329" s="353" t="s">
        <v>56</v>
      </c>
      <c r="J329" s="57"/>
      <c r="K329" s="11">
        <v>3885</v>
      </c>
      <c r="L329" s="353" t="s">
        <v>345</v>
      </c>
    </row>
    <row r="330" spans="1:12" hidden="1">
      <c r="A330" s="353"/>
      <c r="B330" s="7" t="s">
        <v>732</v>
      </c>
      <c r="C330" s="103" t="s">
        <v>734</v>
      </c>
      <c r="D330" s="57">
        <v>45936</v>
      </c>
      <c r="F330" s="353" t="s">
        <v>16</v>
      </c>
      <c r="G330" s="11">
        <v>115</v>
      </c>
      <c r="H330" s="353"/>
      <c r="I330" s="353" t="s">
        <v>56</v>
      </c>
      <c r="J330" s="57"/>
      <c r="K330" s="11">
        <v>115</v>
      </c>
      <c r="L330" s="353" t="s">
        <v>345</v>
      </c>
    </row>
    <row r="331" spans="1:12" hidden="1">
      <c r="A331" s="353"/>
      <c r="B331" s="7" t="s">
        <v>732</v>
      </c>
      <c r="C331" s="103" t="s">
        <v>735</v>
      </c>
      <c r="D331" s="57">
        <v>45936</v>
      </c>
      <c r="F331" s="353"/>
      <c r="G331" s="11">
        <v>2540</v>
      </c>
      <c r="H331" s="353"/>
      <c r="I331" s="353" t="s">
        <v>56</v>
      </c>
      <c r="J331" s="57"/>
      <c r="K331" s="11">
        <v>2656</v>
      </c>
      <c r="L331" s="353"/>
    </row>
    <row r="332" spans="1:12" hidden="1">
      <c r="A332" s="353"/>
      <c r="B332" s="7" t="s">
        <v>732</v>
      </c>
      <c r="C332" s="103" t="s">
        <v>736</v>
      </c>
      <c r="D332" s="57">
        <v>45936</v>
      </c>
      <c r="F332" s="353"/>
      <c r="G332" s="11">
        <v>555</v>
      </c>
      <c r="H332" s="353"/>
      <c r="I332" s="353" t="s">
        <v>56</v>
      </c>
      <c r="J332" s="57"/>
      <c r="K332" s="11">
        <v>555</v>
      </c>
      <c r="L332" s="353"/>
    </row>
    <row r="333" spans="1:12" hidden="1">
      <c r="A333" s="353"/>
      <c r="B333" s="7" t="s">
        <v>732</v>
      </c>
      <c r="C333" s="103" t="s">
        <v>737</v>
      </c>
      <c r="D333" s="57">
        <v>45936</v>
      </c>
      <c r="F333" s="353"/>
      <c r="G333" s="11">
        <v>3387</v>
      </c>
      <c r="H333" s="353"/>
      <c r="I333" s="353" t="s">
        <v>56</v>
      </c>
      <c r="J333" s="57"/>
      <c r="K333" s="11">
        <v>3387</v>
      </c>
      <c r="L333" s="353"/>
    </row>
    <row r="334" spans="1:12" hidden="1">
      <c r="A334" s="353"/>
      <c r="B334" s="7" t="s">
        <v>732</v>
      </c>
      <c r="C334" s="103" t="s">
        <v>738</v>
      </c>
      <c r="D334" s="57">
        <v>45936</v>
      </c>
      <c r="F334" s="353"/>
      <c r="G334" s="11">
        <v>5740</v>
      </c>
      <c r="H334" s="353"/>
      <c r="I334" s="353" t="s">
        <v>56</v>
      </c>
      <c r="J334" s="57"/>
      <c r="K334" s="11">
        <v>5740</v>
      </c>
      <c r="L334" s="353"/>
    </row>
    <row r="335" spans="1:12" hidden="1">
      <c r="A335" s="353"/>
      <c r="B335" s="7" t="s">
        <v>732</v>
      </c>
      <c r="C335" s="103" t="s">
        <v>739</v>
      </c>
      <c r="D335" s="57">
        <v>45936</v>
      </c>
      <c r="F335" s="353"/>
      <c r="G335" s="11">
        <v>7265</v>
      </c>
      <c r="H335" s="353"/>
      <c r="I335" s="353" t="s">
        <v>56</v>
      </c>
      <c r="J335" s="57"/>
      <c r="K335" s="11">
        <v>7265</v>
      </c>
      <c r="L335" s="353"/>
    </row>
    <row r="336" spans="1:12" hidden="1">
      <c r="A336" s="353"/>
      <c r="B336" s="7" t="s">
        <v>740</v>
      </c>
      <c r="C336" s="103" t="s">
        <v>741</v>
      </c>
      <c r="D336" s="57">
        <v>45748</v>
      </c>
      <c r="F336" s="353" t="s">
        <v>16</v>
      </c>
      <c r="G336" s="11">
        <v>77</v>
      </c>
      <c r="H336" s="353"/>
      <c r="I336" s="353" t="s">
        <v>150</v>
      </c>
      <c r="J336" s="57">
        <v>45776</v>
      </c>
      <c r="K336" s="11"/>
      <c r="L336" s="353"/>
    </row>
    <row r="337" spans="1:12" hidden="1">
      <c r="A337" s="353"/>
      <c r="B337" s="7" t="s">
        <v>740</v>
      </c>
      <c r="C337" s="103" t="s">
        <v>743</v>
      </c>
      <c r="D337" s="57">
        <v>45870</v>
      </c>
      <c r="F337" s="353" t="s">
        <v>16</v>
      </c>
      <c r="G337" s="11">
        <v>77</v>
      </c>
      <c r="H337" s="353"/>
      <c r="I337" s="353" t="s">
        <v>150</v>
      </c>
      <c r="J337" s="57"/>
      <c r="K337" s="11"/>
      <c r="L337" s="353"/>
    </row>
    <row r="338" spans="1:12" hidden="1">
      <c r="A338" s="353" t="s">
        <v>745</v>
      </c>
      <c r="B338" s="7" t="s">
        <v>740</v>
      </c>
      <c r="C338" s="103" t="s">
        <v>746</v>
      </c>
      <c r="D338" s="57">
        <v>45992</v>
      </c>
      <c r="E338" s="57">
        <v>46022</v>
      </c>
      <c r="F338" s="353"/>
      <c r="G338" s="11">
        <v>81</v>
      </c>
      <c r="H338" s="353" t="s">
        <v>747</v>
      </c>
      <c r="I338" s="353" t="s">
        <v>150</v>
      </c>
      <c r="J338" s="57">
        <v>46022</v>
      </c>
      <c r="K338" s="11">
        <v>81</v>
      </c>
      <c r="L338" s="353" t="s">
        <v>100</v>
      </c>
    </row>
    <row r="339" spans="1:12" hidden="1">
      <c r="A339" s="353"/>
      <c r="B339" s="7" t="s">
        <v>748</v>
      </c>
      <c r="C339" s="103" t="s">
        <v>749</v>
      </c>
      <c r="D339" s="57">
        <v>45698</v>
      </c>
      <c r="E339" s="57">
        <v>45698</v>
      </c>
      <c r="F339" s="353" t="s">
        <v>16</v>
      </c>
      <c r="G339" s="11">
        <v>48.5</v>
      </c>
      <c r="H339" s="353" t="s">
        <v>279</v>
      </c>
      <c r="I339" s="353" t="s">
        <v>751</v>
      </c>
      <c r="J339" s="57"/>
      <c r="K339" s="11"/>
      <c r="L339" s="353"/>
    </row>
    <row r="340" spans="1:12" hidden="1">
      <c r="A340" s="353"/>
      <c r="B340" s="7" t="s">
        <v>752</v>
      </c>
      <c r="C340" s="103" t="s">
        <v>753</v>
      </c>
      <c r="D340" s="57">
        <v>45873</v>
      </c>
      <c r="F340" s="353" t="s">
        <v>16</v>
      </c>
      <c r="G340" s="11">
        <v>88.72</v>
      </c>
      <c r="H340" s="353"/>
      <c r="I340" s="353" t="s">
        <v>215</v>
      </c>
      <c r="J340" s="57"/>
      <c r="K340" s="11"/>
      <c r="L340" s="353"/>
    </row>
    <row r="341" spans="1:12" hidden="1">
      <c r="A341" s="353"/>
      <c r="B341" s="7" t="s">
        <v>755</v>
      </c>
      <c r="C341" s="103" t="s">
        <v>756</v>
      </c>
      <c r="D341" s="57">
        <v>45988</v>
      </c>
      <c r="E341" s="57">
        <v>45988</v>
      </c>
      <c r="F341" s="353" t="s">
        <v>16</v>
      </c>
      <c r="G341" s="11">
        <v>2787</v>
      </c>
      <c r="H341" s="353" t="s">
        <v>757</v>
      </c>
      <c r="I341" s="353" t="s">
        <v>354</v>
      </c>
      <c r="J341" s="57"/>
      <c r="K341" s="11"/>
      <c r="L341" s="353"/>
    </row>
    <row r="342" spans="1:12" hidden="1">
      <c r="A342" s="353"/>
      <c r="B342" s="7" t="s">
        <v>3352</v>
      </c>
      <c r="C342" s="103" t="s">
        <v>3321</v>
      </c>
      <c r="D342" s="57">
        <v>46008</v>
      </c>
      <c r="E342" s="57">
        <v>46053</v>
      </c>
      <c r="F342" s="353"/>
      <c r="G342" s="11">
        <v>463.6</v>
      </c>
      <c r="H342" s="353" t="s">
        <v>3379</v>
      </c>
      <c r="I342" s="353" t="s">
        <v>374</v>
      </c>
      <c r="J342" s="57">
        <v>46053</v>
      </c>
      <c r="K342" s="11">
        <v>463.6</v>
      </c>
      <c r="L342" s="353"/>
    </row>
    <row r="343" spans="1:12" hidden="1">
      <c r="A343" s="353"/>
      <c r="B343" s="7" t="s">
        <v>758</v>
      </c>
      <c r="C343" s="103" t="s">
        <v>759</v>
      </c>
      <c r="D343" s="57">
        <v>45991</v>
      </c>
      <c r="E343" s="57">
        <v>45991</v>
      </c>
      <c r="F343" s="353"/>
      <c r="G343" s="11">
        <v>139.08000000000001</v>
      </c>
      <c r="H343" s="353" t="s">
        <v>760</v>
      </c>
      <c r="I343" s="353" t="s">
        <v>83</v>
      </c>
      <c r="J343" s="57"/>
      <c r="K343" s="11">
        <v>139.08000000000001</v>
      </c>
      <c r="L343" s="353"/>
    </row>
    <row r="344" spans="1:12" hidden="1">
      <c r="A344" s="353"/>
      <c r="B344" s="7" t="s">
        <v>761</v>
      </c>
      <c r="C344" s="103" t="s">
        <v>762</v>
      </c>
      <c r="D344" s="57">
        <v>45290</v>
      </c>
      <c r="E344" s="57">
        <v>45392</v>
      </c>
      <c r="F344" s="353" t="s">
        <v>16</v>
      </c>
      <c r="G344" s="11">
        <v>2098.7399999999998</v>
      </c>
      <c r="H344" s="353" t="s">
        <v>763</v>
      </c>
      <c r="I344" s="353" t="s">
        <v>56</v>
      </c>
      <c r="J344" s="57"/>
      <c r="K344" s="11"/>
      <c r="L344" s="353"/>
    </row>
    <row r="345" spans="1:12" hidden="1">
      <c r="A345" s="353"/>
      <c r="B345" s="7" t="s">
        <v>761</v>
      </c>
      <c r="C345" s="103" t="s">
        <v>764</v>
      </c>
      <c r="D345" s="57">
        <v>45322</v>
      </c>
      <c r="E345" s="57">
        <v>45392</v>
      </c>
      <c r="F345" s="353" t="s">
        <v>16</v>
      </c>
      <c r="G345" s="11">
        <v>-2098.7399999999998</v>
      </c>
      <c r="H345" s="353" t="s">
        <v>763</v>
      </c>
      <c r="I345" s="353" t="s">
        <v>56</v>
      </c>
      <c r="J345" s="57">
        <v>45817</v>
      </c>
      <c r="K345" s="11">
        <v>5000</v>
      </c>
      <c r="L345" s="353" t="s">
        <v>111</v>
      </c>
    </row>
    <row r="346" spans="1:12" hidden="1">
      <c r="A346" s="353"/>
      <c r="B346" s="7" t="s">
        <v>761</v>
      </c>
      <c r="C346" s="103" t="s">
        <v>764</v>
      </c>
      <c r="D346" s="57">
        <v>45322</v>
      </c>
      <c r="E346" s="57">
        <v>45392</v>
      </c>
      <c r="F346" s="353" t="s">
        <v>16</v>
      </c>
      <c r="G346" s="11">
        <v>34596.83</v>
      </c>
      <c r="H346" s="353" t="s">
        <v>763</v>
      </c>
      <c r="I346" s="353" t="s">
        <v>56</v>
      </c>
      <c r="J346" s="57"/>
      <c r="K346" s="11"/>
      <c r="L346" s="353"/>
    </row>
    <row r="347" spans="1:12" hidden="1">
      <c r="A347" s="353"/>
      <c r="B347" s="7" t="s">
        <v>761</v>
      </c>
      <c r="C347" s="103" t="s">
        <v>766</v>
      </c>
      <c r="D347" s="57">
        <v>45442</v>
      </c>
      <c r="E347" s="57">
        <v>45545</v>
      </c>
      <c r="F347" s="353" t="s">
        <v>16</v>
      </c>
      <c r="G347" s="11">
        <v>761.89</v>
      </c>
      <c r="H347" s="353" t="s">
        <v>337</v>
      </c>
      <c r="I347" s="353" t="s">
        <v>110</v>
      </c>
      <c r="J347" s="57"/>
      <c r="K347" s="11"/>
      <c r="L347" s="353"/>
    </row>
    <row r="348" spans="1:12" hidden="1">
      <c r="A348" s="353"/>
      <c r="B348" s="7" t="s">
        <v>761</v>
      </c>
      <c r="C348" s="103" t="s">
        <v>768</v>
      </c>
      <c r="D348" s="57">
        <v>45535</v>
      </c>
      <c r="E348" s="57">
        <v>45606</v>
      </c>
      <c r="F348" s="353" t="s">
        <v>16</v>
      </c>
      <c r="G348" s="11">
        <v>7308.41</v>
      </c>
      <c r="H348" s="353" t="s">
        <v>770</v>
      </c>
      <c r="I348" s="353" t="s">
        <v>110</v>
      </c>
      <c r="J348" s="57">
        <v>45728</v>
      </c>
      <c r="K348" s="11">
        <v>9794.4599999999991</v>
      </c>
      <c r="L348" s="353" t="s">
        <v>111</v>
      </c>
    </row>
    <row r="349" spans="1:12" hidden="1">
      <c r="A349" s="353"/>
      <c r="B349" s="7" t="s">
        <v>761</v>
      </c>
      <c r="C349" s="103" t="s">
        <v>771</v>
      </c>
      <c r="D349" s="57">
        <v>45626</v>
      </c>
      <c r="E349" s="57">
        <v>45726</v>
      </c>
      <c r="F349" s="353" t="s">
        <v>16</v>
      </c>
      <c r="G349" s="11">
        <v>2930.44</v>
      </c>
      <c r="H349" s="353" t="s">
        <v>773</v>
      </c>
      <c r="I349" s="353" t="s">
        <v>110</v>
      </c>
      <c r="J349" s="57">
        <v>45728</v>
      </c>
      <c r="K349" s="11">
        <v>9794.4599999999991</v>
      </c>
      <c r="L349" s="353" t="s">
        <v>111</v>
      </c>
    </row>
    <row r="350" spans="1:12" hidden="1">
      <c r="A350" s="353"/>
      <c r="B350" s="7" t="s">
        <v>761</v>
      </c>
      <c r="C350" s="103" t="s">
        <v>774</v>
      </c>
      <c r="D350" s="57">
        <v>45645</v>
      </c>
      <c r="E350" s="57">
        <v>45726</v>
      </c>
      <c r="F350" s="353" t="s">
        <v>16</v>
      </c>
      <c r="G350" s="11">
        <v>2175.87</v>
      </c>
      <c r="H350" s="353" t="s">
        <v>588</v>
      </c>
      <c r="I350" s="353" t="s">
        <v>110</v>
      </c>
      <c r="J350" s="57"/>
      <c r="K350" s="11"/>
      <c r="L350" s="353"/>
    </row>
    <row r="351" spans="1:12" hidden="1">
      <c r="A351" s="353"/>
      <c r="B351" s="7" t="s">
        <v>761</v>
      </c>
      <c r="C351" s="103" t="s">
        <v>774</v>
      </c>
      <c r="D351" s="57">
        <v>45645</v>
      </c>
      <c r="E351" s="57">
        <v>45757</v>
      </c>
      <c r="F351" s="353" t="s">
        <v>16</v>
      </c>
      <c r="G351" s="11">
        <v>2175.87</v>
      </c>
      <c r="H351" s="353" t="s">
        <v>588</v>
      </c>
      <c r="I351" s="353" t="s">
        <v>110</v>
      </c>
      <c r="J351" s="57">
        <v>45728</v>
      </c>
      <c r="K351" s="11">
        <v>9794.4599999999991</v>
      </c>
      <c r="L351" s="353" t="s">
        <v>111</v>
      </c>
    </row>
    <row r="352" spans="1:12" hidden="1">
      <c r="A352" s="353"/>
      <c r="B352" s="7" t="s">
        <v>761</v>
      </c>
      <c r="C352" s="103" t="s">
        <v>776</v>
      </c>
      <c r="D352" s="57">
        <v>45657</v>
      </c>
      <c r="E352" s="57">
        <v>45726</v>
      </c>
      <c r="F352" s="353" t="s">
        <v>16</v>
      </c>
      <c r="G352" s="11">
        <v>4688.1499999999996</v>
      </c>
      <c r="H352" s="353" t="s">
        <v>588</v>
      </c>
      <c r="I352" s="353" t="s">
        <v>110</v>
      </c>
      <c r="J352" s="57"/>
      <c r="K352" s="11"/>
      <c r="L352" s="353"/>
    </row>
    <row r="353" spans="1:12" hidden="1">
      <c r="A353" s="353"/>
      <c r="B353" s="7" t="s">
        <v>761</v>
      </c>
      <c r="C353" s="103" t="s">
        <v>776</v>
      </c>
      <c r="D353" s="57">
        <v>45657</v>
      </c>
      <c r="E353" s="57">
        <v>45757</v>
      </c>
      <c r="F353" s="353" t="s">
        <v>16</v>
      </c>
      <c r="G353" s="11">
        <v>4688.16</v>
      </c>
      <c r="H353" s="353" t="s">
        <v>592</v>
      </c>
      <c r="I353" s="353" t="s">
        <v>110</v>
      </c>
      <c r="J353" s="57"/>
      <c r="K353" s="11"/>
      <c r="L353" s="353"/>
    </row>
    <row r="354" spans="1:12" hidden="1">
      <c r="A354" s="353"/>
      <c r="B354" s="7" t="s">
        <v>761</v>
      </c>
      <c r="C354" s="103" t="s">
        <v>778</v>
      </c>
      <c r="D354" s="57">
        <v>45688</v>
      </c>
      <c r="E354" s="57">
        <v>45757</v>
      </c>
      <c r="F354" s="353" t="s">
        <v>16</v>
      </c>
      <c r="G354" s="11">
        <v>2737.38</v>
      </c>
      <c r="H354" s="353" t="s">
        <v>592</v>
      </c>
      <c r="I354" s="353" t="s">
        <v>110</v>
      </c>
      <c r="J354" s="57"/>
      <c r="K354" s="11"/>
      <c r="L354" s="353"/>
    </row>
    <row r="355" spans="1:12" hidden="1">
      <c r="A355" s="353"/>
      <c r="B355" s="7" t="s">
        <v>761</v>
      </c>
      <c r="C355" s="103" t="s">
        <v>778</v>
      </c>
      <c r="D355" s="57">
        <v>45688</v>
      </c>
      <c r="E355" s="57">
        <v>45787</v>
      </c>
      <c r="F355" s="353" t="s">
        <v>16</v>
      </c>
      <c r="G355" s="11">
        <v>2737.37</v>
      </c>
      <c r="H355" s="353" t="s">
        <v>592</v>
      </c>
      <c r="I355" s="353" t="s">
        <v>56</v>
      </c>
      <c r="J355" s="57">
        <v>45792</v>
      </c>
      <c r="K355" s="11">
        <v>79.13</v>
      </c>
      <c r="L355" s="353" t="s">
        <v>345</v>
      </c>
    </row>
    <row r="356" spans="1:12" hidden="1">
      <c r="A356" s="353" t="s">
        <v>780</v>
      </c>
      <c r="B356" s="7" t="s">
        <v>761</v>
      </c>
      <c r="C356" s="103" t="s">
        <v>781</v>
      </c>
      <c r="F356" s="353" t="s">
        <v>16</v>
      </c>
      <c r="G356" s="11">
        <v>48000</v>
      </c>
      <c r="H356" s="353" t="s">
        <v>782</v>
      </c>
      <c r="I356" s="353" t="s">
        <v>783</v>
      </c>
      <c r="J356" s="57"/>
      <c r="K356" s="11">
        <v>48000</v>
      </c>
      <c r="L356" s="353" t="s">
        <v>784</v>
      </c>
    </row>
    <row r="357" spans="1:12" hidden="1">
      <c r="A357" s="353" t="s">
        <v>785</v>
      </c>
      <c r="B357" s="7" t="s">
        <v>761</v>
      </c>
      <c r="C357" s="103" t="s">
        <v>786</v>
      </c>
      <c r="D357" s="57">
        <v>45990</v>
      </c>
      <c r="E357" s="57">
        <v>46063</v>
      </c>
      <c r="F357" s="353"/>
      <c r="G357" s="11">
        <v>3852.15</v>
      </c>
      <c r="H357" s="353" t="s">
        <v>787</v>
      </c>
      <c r="I357" s="353" t="s">
        <v>374</v>
      </c>
      <c r="J357" s="57">
        <v>46063</v>
      </c>
      <c r="K357" s="11">
        <v>3852.15</v>
      </c>
      <c r="L357" s="353"/>
    </row>
    <row r="358" spans="1:12" hidden="1">
      <c r="A358" s="353" t="s">
        <v>788</v>
      </c>
      <c r="B358" s="7" t="s">
        <v>761</v>
      </c>
      <c r="C358" s="103" t="s">
        <v>789</v>
      </c>
      <c r="D358" s="57">
        <v>45990</v>
      </c>
      <c r="E358" s="57">
        <v>46091</v>
      </c>
      <c r="F358" s="353"/>
      <c r="G358" s="11">
        <v>3852.15</v>
      </c>
      <c r="H358" s="353" t="s">
        <v>790</v>
      </c>
      <c r="I358" s="353" t="s">
        <v>374</v>
      </c>
      <c r="J358" s="57">
        <v>46091</v>
      </c>
      <c r="K358" s="11">
        <v>3852.15</v>
      </c>
      <c r="L358" s="353"/>
    </row>
    <row r="359" spans="1:12" hidden="1">
      <c r="A359" s="353" t="s">
        <v>785</v>
      </c>
      <c r="B359" s="7" t="s">
        <v>761</v>
      </c>
      <c r="C359" s="103" t="s">
        <v>3325</v>
      </c>
      <c r="D359" s="57">
        <v>46004</v>
      </c>
      <c r="E359" s="57">
        <v>44995</v>
      </c>
      <c r="F359" s="353"/>
      <c r="G359" s="11">
        <v>1175.78</v>
      </c>
      <c r="H359" s="353" t="s">
        <v>3380</v>
      </c>
      <c r="I359" s="353" t="s">
        <v>374</v>
      </c>
      <c r="J359" s="57">
        <v>44995</v>
      </c>
      <c r="K359" s="11">
        <v>1175.78</v>
      </c>
      <c r="L359" s="353"/>
    </row>
    <row r="360" spans="1:12" hidden="1">
      <c r="A360" s="353" t="s">
        <v>788</v>
      </c>
      <c r="B360" s="7" t="s">
        <v>761</v>
      </c>
      <c r="C360" s="103" t="s">
        <v>3325</v>
      </c>
      <c r="D360" s="57">
        <v>46004</v>
      </c>
      <c r="E360" s="57">
        <v>46122</v>
      </c>
      <c r="F360" s="353"/>
      <c r="G360" s="11">
        <v>1175.77</v>
      </c>
      <c r="H360" s="353" t="s">
        <v>3380</v>
      </c>
      <c r="I360" s="353" t="s">
        <v>374</v>
      </c>
      <c r="J360" s="57">
        <v>46122</v>
      </c>
      <c r="K360" s="11">
        <v>1175.77</v>
      </c>
      <c r="L360" s="353"/>
    </row>
    <row r="361" spans="1:12" hidden="1">
      <c r="A361" s="353"/>
      <c r="B361" s="7" t="s">
        <v>791</v>
      </c>
      <c r="C361" s="103" t="s">
        <v>792</v>
      </c>
      <c r="D361" s="57">
        <v>45777</v>
      </c>
      <c r="E361" s="57">
        <v>45777</v>
      </c>
      <c r="F361" s="353" t="s">
        <v>16</v>
      </c>
      <c r="G361" s="11">
        <v>79.13</v>
      </c>
      <c r="H361" s="353"/>
      <c r="I361" s="353" t="s">
        <v>794</v>
      </c>
      <c r="J361" s="57">
        <v>45709</v>
      </c>
      <c r="K361" s="11"/>
      <c r="L361" s="353" t="s">
        <v>111</v>
      </c>
    </row>
    <row r="362" spans="1:12" hidden="1">
      <c r="A362" s="353"/>
      <c r="B362" s="7" t="s">
        <v>795</v>
      </c>
      <c r="C362" s="103" t="s">
        <v>796</v>
      </c>
      <c r="D362" s="57">
        <v>45713</v>
      </c>
      <c r="E362" s="57">
        <v>45713</v>
      </c>
      <c r="F362" s="353" t="s">
        <v>16</v>
      </c>
      <c r="G362" s="11">
        <v>737.47</v>
      </c>
      <c r="H362" s="353" t="s">
        <v>798</v>
      </c>
      <c r="I362" s="353" t="s">
        <v>66</v>
      </c>
      <c r="J362" s="57"/>
      <c r="K362" s="11"/>
      <c r="L362" s="353"/>
    </row>
    <row r="363" spans="1:12" hidden="1">
      <c r="A363" s="353"/>
      <c r="B363" s="7" t="s">
        <v>795</v>
      </c>
      <c r="C363" s="103" t="s">
        <v>796</v>
      </c>
      <c r="D363" s="57">
        <v>45713</v>
      </c>
      <c r="E363" s="57">
        <v>45732</v>
      </c>
      <c r="F363" s="353" t="s">
        <v>16</v>
      </c>
      <c r="G363" s="11">
        <v>138</v>
      </c>
      <c r="H363" s="353" t="s">
        <v>798</v>
      </c>
      <c r="I363" s="353" t="s">
        <v>799</v>
      </c>
      <c r="J363" s="57"/>
      <c r="K363" s="11"/>
      <c r="L363" s="353"/>
    </row>
    <row r="364" spans="1:12" hidden="1">
      <c r="A364" s="353" t="s">
        <v>13</v>
      </c>
      <c r="B364" s="7" t="s">
        <v>800</v>
      </c>
      <c r="C364" s="103" t="s">
        <v>801</v>
      </c>
      <c r="D364" s="57">
        <v>45808</v>
      </c>
      <c r="E364" s="57">
        <v>45869</v>
      </c>
      <c r="F364" s="353" t="s">
        <v>16</v>
      </c>
      <c r="G364" s="11">
        <v>1100</v>
      </c>
      <c r="H364" s="353"/>
      <c r="I364" s="353" t="s">
        <v>75</v>
      </c>
      <c r="J364" s="57">
        <v>45945</v>
      </c>
      <c r="K364" s="11">
        <v>1100</v>
      </c>
      <c r="L364" s="353" t="s">
        <v>345</v>
      </c>
    </row>
    <row r="365" spans="1:12" hidden="1">
      <c r="A365" s="353" t="s">
        <v>13</v>
      </c>
      <c r="B365" s="7" t="s">
        <v>800</v>
      </c>
      <c r="C365" s="103" t="s">
        <v>801</v>
      </c>
      <c r="D365" s="57">
        <v>45808</v>
      </c>
      <c r="E365" s="57">
        <v>45869</v>
      </c>
      <c r="F365" s="353" t="s">
        <v>16</v>
      </c>
      <c r="G365" s="11">
        <v>844.92</v>
      </c>
      <c r="H365" s="353"/>
      <c r="I365" s="353" t="s">
        <v>83</v>
      </c>
      <c r="J365" s="57">
        <v>45960</v>
      </c>
      <c r="K365" s="11">
        <v>844.92</v>
      </c>
      <c r="L365" s="353" t="s">
        <v>246</v>
      </c>
    </row>
    <row r="366" spans="1:12" hidden="1">
      <c r="A366" s="353" t="s">
        <v>566</v>
      </c>
      <c r="B366" s="7" t="s">
        <v>800</v>
      </c>
      <c r="C366" s="103" t="s">
        <v>803</v>
      </c>
      <c r="D366" s="57">
        <v>45626</v>
      </c>
      <c r="E366" s="57">
        <v>45698</v>
      </c>
      <c r="F366" s="353" t="s">
        <v>16</v>
      </c>
      <c r="G366" s="11">
        <v>513.34</v>
      </c>
      <c r="H366" s="353"/>
      <c r="I366" s="353" t="s">
        <v>110</v>
      </c>
      <c r="J366" s="57">
        <v>45709</v>
      </c>
      <c r="K366" s="11">
        <v>513.34</v>
      </c>
      <c r="L366" s="353" t="s">
        <v>111</v>
      </c>
    </row>
    <row r="367" spans="1:12" hidden="1">
      <c r="A367" s="353" t="s">
        <v>13</v>
      </c>
      <c r="B367" s="7" t="s">
        <v>800</v>
      </c>
      <c r="C367" s="103" t="s">
        <v>805</v>
      </c>
      <c r="D367" s="57">
        <v>45899</v>
      </c>
      <c r="E367" s="57">
        <v>45899</v>
      </c>
      <c r="F367" s="353" t="s">
        <v>16</v>
      </c>
      <c r="G367" s="11">
        <v>331.46</v>
      </c>
      <c r="H367" s="353"/>
      <c r="I367" s="353" t="s">
        <v>110</v>
      </c>
      <c r="J367" s="57">
        <v>45960</v>
      </c>
      <c r="K367" s="11">
        <v>331.46</v>
      </c>
      <c r="L367" s="353" t="s">
        <v>19</v>
      </c>
    </row>
    <row r="368" spans="1:12" hidden="1">
      <c r="A368" s="353" t="s">
        <v>566</v>
      </c>
      <c r="B368" s="7" t="s">
        <v>807</v>
      </c>
      <c r="C368" s="103" t="s">
        <v>808</v>
      </c>
      <c r="D368" s="57">
        <v>45457</v>
      </c>
      <c r="E368" s="57">
        <v>45536</v>
      </c>
      <c r="F368" s="353" t="s">
        <v>16</v>
      </c>
      <c r="G368" s="11">
        <v>292.8</v>
      </c>
      <c r="H368" s="353" t="s">
        <v>69</v>
      </c>
      <c r="I368" s="353" t="s">
        <v>354</v>
      </c>
      <c r="J368" s="57">
        <v>45950</v>
      </c>
      <c r="K368" s="11"/>
      <c r="L368" s="353" t="s">
        <v>809</v>
      </c>
    </row>
    <row r="369" spans="1:12" hidden="1">
      <c r="A369" s="353" t="s">
        <v>566</v>
      </c>
      <c r="B369" s="7" t="s">
        <v>807</v>
      </c>
      <c r="C369" s="103" t="s">
        <v>810</v>
      </c>
      <c r="D369" s="57">
        <v>45433</v>
      </c>
      <c r="E369" s="57">
        <v>45514</v>
      </c>
      <c r="F369" s="353" t="s">
        <v>16</v>
      </c>
      <c r="G369" s="11">
        <v>474.96</v>
      </c>
      <c r="H369" s="353" t="s">
        <v>69</v>
      </c>
      <c r="I369" s="353" t="s">
        <v>354</v>
      </c>
      <c r="J369" s="57">
        <v>45950</v>
      </c>
      <c r="K369" s="11"/>
      <c r="L369" s="353" t="s">
        <v>809</v>
      </c>
    </row>
    <row r="370" spans="1:12" hidden="1">
      <c r="A370" s="353" t="s">
        <v>13</v>
      </c>
      <c r="B370" s="7" t="s">
        <v>811</v>
      </c>
      <c r="C370" s="103" t="s">
        <v>812</v>
      </c>
      <c r="D370" s="57">
        <v>45968</v>
      </c>
      <c r="E370" s="57">
        <v>45968</v>
      </c>
      <c r="F370" s="353" t="s">
        <v>16</v>
      </c>
      <c r="G370" s="11">
        <v>137.6</v>
      </c>
      <c r="H370" s="353" t="s">
        <v>813</v>
      </c>
      <c r="I370" s="353" t="s">
        <v>422</v>
      </c>
      <c r="J370" s="57">
        <v>45968</v>
      </c>
      <c r="K370" s="11">
        <v>137.6</v>
      </c>
      <c r="L370" s="353" t="s">
        <v>47</v>
      </c>
    </row>
    <row r="371" spans="1:12" hidden="1">
      <c r="A371" s="353" t="s">
        <v>13</v>
      </c>
      <c r="B371" s="7" t="s">
        <v>811</v>
      </c>
      <c r="C371" s="103" t="s">
        <v>814</v>
      </c>
      <c r="D371" s="57">
        <v>45982</v>
      </c>
      <c r="E371" s="57">
        <v>45982</v>
      </c>
      <c r="F371" s="353" t="s">
        <v>16</v>
      </c>
      <c r="G371" s="11">
        <v>53.7</v>
      </c>
      <c r="H371" s="353" t="s">
        <v>813</v>
      </c>
      <c r="I371" s="353" t="s">
        <v>422</v>
      </c>
      <c r="J371" s="57">
        <v>45982</v>
      </c>
      <c r="K371" s="11">
        <v>53.7</v>
      </c>
      <c r="L371" s="353" t="s">
        <v>47</v>
      </c>
    </row>
    <row r="372" spans="1:12" hidden="1">
      <c r="A372" s="353" t="s">
        <v>13</v>
      </c>
      <c r="B372" s="7" t="s">
        <v>811</v>
      </c>
      <c r="C372" s="103" t="s">
        <v>3323</v>
      </c>
      <c r="D372" s="57">
        <v>46014</v>
      </c>
      <c r="E372" s="57">
        <v>46014</v>
      </c>
      <c r="F372" s="353" t="s">
        <v>16</v>
      </c>
      <c r="G372" s="11">
        <v>55.2</v>
      </c>
      <c r="H372" s="353" t="s">
        <v>813</v>
      </c>
      <c r="I372" s="353" t="s">
        <v>47</v>
      </c>
      <c r="J372" s="57">
        <v>46014</v>
      </c>
      <c r="K372" s="11">
        <v>55.2</v>
      </c>
      <c r="L372" s="353" t="s">
        <v>47</v>
      </c>
    </row>
    <row r="373" spans="1:12" hidden="1">
      <c r="A373" s="353" t="s">
        <v>13</v>
      </c>
      <c r="B373" s="7" t="s">
        <v>811</v>
      </c>
      <c r="C373" s="103" t="s">
        <v>4132</v>
      </c>
      <c r="D373" s="57">
        <v>46038</v>
      </c>
      <c r="E373" s="57">
        <v>46038</v>
      </c>
      <c r="F373" s="353" t="s">
        <v>16</v>
      </c>
      <c r="G373" s="11">
        <v>56.7</v>
      </c>
      <c r="H373" s="353" t="s">
        <v>813</v>
      </c>
      <c r="I373" s="353" t="s">
        <v>47</v>
      </c>
      <c r="J373" s="57">
        <v>46038</v>
      </c>
      <c r="K373" s="11">
        <v>56.7</v>
      </c>
      <c r="L373" s="353" t="s">
        <v>47</v>
      </c>
    </row>
    <row r="374" spans="1:12" hidden="1">
      <c r="A374" s="353" t="s">
        <v>13</v>
      </c>
      <c r="B374" s="7" t="s">
        <v>815</v>
      </c>
      <c r="C374" s="103" t="s">
        <v>816</v>
      </c>
      <c r="D374" s="57">
        <v>45936</v>
      </c>
      <c r="E374" s="57">
        <v>45936</v>
      </c>
      <c r="F374" s="353" t="s">
        <v>16</v>
      </c>
      <c r="G374" s="11">
        <v>6000</v>
      </c>
      <c r="H374" s="353" t="s">
        <v>818</v>
      </c>
      <c r="I374" s="353" t="s">
        <v>56</v>
      </c>
      <c r="J374" s="57">
        <v>45945</v>
      </c>
      <c r="K374" s="11">
        <v>6000</v>
      </c>
      <c r="L374" s="353" t="s">
        <v>819</v>
      </c>
    </row>
    <row r="375" spans="1:12" hidden="1">
      <c r="A375" s="353" t="s">
        <v>13</v>
      </c>
      <c r="B375" s="7" t="s">
        <v>815</v>
      </c>
      <c r="C375" s="103" t="s">
        <v>816</v>
      </c>
      <c r="D375" s="57">
        <v>45936</v>
      </c>
      <c r="E375" s="57">
        <v>45936</v>
      </c>
      <c r="F375" s="353" t="s">
        <v>16</v>
      </c>
      <c r="G375" s="11">
        <v>4000</v>
      </c>
      <c r="H375" s="353"/>
      <c r="I375" s="353" t="s">
        <v>83</v>
      </c>
      <c r="J375" s="57">
        <v>45959</v>
      </c>
      <c r="K375" s="11">
        <v>4000</v>
      </c>
      <c r="L375" s="353" t="s">
        <v>313</v>
      </c>
    </row>
    <row r="376" spans="1:12" hidden="1">
      <c r="A376" s="353" t="s">
        <v>13</v>
      </c>
      <c r="B376" s="7" t="s">
        <v>815</v>
      </c>
      <c r="C376" s="103" t="s">
        <v>820</v>
      </c>
      <c r="D376" s="57">
        <v>45979</v>
      </c>
      <c r="E376" s="57">
        <v>45979</v>
      </c>
      <c r="F376" s="353" t="s">
        <v>16</v>
      </c>
      <c r="G376" s="11">
        <v>20000</v>
      </c>
      <c r="H376" s="353" t="s">
        <v>787</v>
      </c>
      <c r="I376" s="353" t="s">
        <v>83</v>
      </c>
      <c r="J376" s="57">
        <v>45989</v>
      </c>
      <c r="K376" s="11">
        <v>10000</v>
      </c>
      <c r="L376" s="353" t="s">
        <v>313</v>
      </c>
    </row>
    <row r="377" spans="1:12" hidden="1">
      <c r="A377" s="353" t="s">
        <v>13</v>
      </c>
      <c r="B377" s="7" t="s">
        <v>815</v>
      </c>
      <c r="C377" s="103" t="s">
        <v>820</v>
      </c>
      <c r="D377" s="57">
        <v>45979</v>
      </c>
      <c r="F377" s="353" t="s">
        <v>16</v>
      </c>
      <c r="G377" s="11">
        <v>10000</v>
      </c>
      <c r="H377" s="353" t="s">
        <v>821</v>
      </c>
      <c r="I377" s="353"/>
      <c r="J377" s="57"/>
      <c r="K377" s="11"/>
      <c r="L377" s="353"/>
    </row>
    <row r="378" spans="1:12" hidden="1">
      <c r="A378" s="353"/>
      <c r="B378" s="7" t="s">
        <v>815</v>
      </c>
      <c r="C378" s="103" t="s">
        <v>4181</v>
      </c>
      <c r="D378" s="57">
        <v>46055</v>
      </c>
      <c r="E378" s="57">
        <v>46055</v>
      </c>
      <c r="F378" s="353"/>
      <c r="G378" s="11">
        <v>3000</v>
      </c>
      <c r="H378" s="353" t="s">
        <v>787</v>
      </c>
      <c r="I378" s="353" t="s">
        <v>83</v>
      </c>
      <c r="J378" s="57"/>
      <c r="K378" s="11"/>
      <c r="L378" s="353"/>
    </row>
    <row r="379" spans="1:12" hidden="1">
      <c r="A379" s="353" t="s">
        <v>13</v>
      </c>
      <c r="B379" s="7" t="s">
        <v>822</v>
      </c>
      <c r="C379" s="103" t="s">
        <v>823</v>
      </c>
      <c r="D379" s="57">
        <v>45957</v>
      </c>
      <c r="E379" s="57">
        <v>45957</v>
      </c>
      <c r="F379" s="353" t="s">
        <v>16</v>
      </c>
      <c r="G379" s="11">
        <v>109.56</v>
      </c>
      <c r="H379" s="353" t="s">
        <v>824</v>
      </c>
      <c r="I379" s="353" t="s">
        <v>47</v>
      </c>
      <c r="J379" s="57" t="s">
        <v>28</v>
      </c>
      <c r="K379" s="11">
        <v>109.56</v>
      </c>
      <c r="L379" s="353" t="s">
        <v>825</v>
      </c>
    </row>
    <row r="380" spans="1:12" hidden="1">
      <c r="A380" s="353" t="s">
        <v>13</v>
      </c>
      <c r="B380" s="7" t="s">
        <v>826</v>
      </c>
      <c r="C380" s="103" t="s">
        <v>335</v>
      </c>
      <c r="D380" s="57">
        <v>45968</v>
      </c>
      <c r="E380" s="57">
        <v>45968</v>
      </c>
      <c r="F380" s="353" t="s">
        <v>16</v>
      </c>
      <c r="G380" s="11">
        <v>4500</v>
      </c>
      <c r="H380" s="353" t="s">
        <v>827</v>
      </c>
      <c r="I380" s="353" t="s">
        <v>83</v>
      </c>
      <c r="J380" s="57">
        <v>45972</v>
      </c>
      <c r="K380" s="11">
        <v>4500</v>
      </c>
      <c r="L380" s="353" t="s">
        <v>326</v>
      </c>
    </row>
    <row r="381" spans="1:12" hidden="1">
      <c r="A381" s="353" t="s">
        <v>13</v>
      </c>
      <c r="B381" s="7" t="s">
        <v>826</v>
      </c>
      <c r="C381" s="103" t="s">
        <v>335</v>
      </c>
      <c r="D381" s="57">
        <v>45968</v>
      </c>
      <c r="E381" s="57">
        <v>45968</v>
      </c>
      <c r="F381" s="353" t="s">
        <v>16</v>
      </c>
      <c r="G381" s="11">
        <v>4500</v>
      </c>
      <c r="H381" s="353" t="s">
        <v>828</v>
      </c>
      <c r="I381" s="353" t="s">
        <v>83</v>
      </c>
      <c r="J381" s="57">
        <v>45996</v>
      </c>
      <c r="K381" s="11">
        <v>4500</v>
      </c>
      <c r="L381" s="353" t="s">
        <v>19</v>
      </c>
    </row>
    <row r="382" spans="1:12" hidden="1">
      <c r="A382" s="353"/>
      <c r="B382" s="7" t="s">
        <v>4269</v>
      </c>
      <c r="C382" s="103" t="s">
        <v>4270</v>
      </c>
      <c r="D382" s="57">
        <v>46077</v>
      </c>
      <c r="E382" s="57">
        <v>46077</v>
      </c>
      <c r="F382" s="353" t="s">
        <v>16</v>
      </c>
      <c r="G382" s="11">
        <v>92.2</v>
      </c>
      <c r="H382" s="353" t="s">
        <v>4271</v>
      </c>
      <c r="I382" s="353" t="s">
        <v>422</v>
      </c>
      <c r="J382" s="57">
        <v>46077</v>
      </c>
      <c r="K382" s="11">
        <v>92.2</v>
      </c>
      <c r="L382" s="353" t="s">
        <v>689</v>
      </c>
    </row>
    <row r="383" spans="1:12" hidden="1">
      <c r="A383" s="353"/>
      <c r="B383" s="7" t="s">
        <v>829</v>
      </c>
      <c r="C383" s="103" t="s">
        <v>830</v>
      </c>
      <c r="D383" s="57">
        <v>45657</v>
      </c>
      <c r="E383" s="57">
        <v>45726</v>
      </c>
      <c r="F383" s="353"/>
      <c r="G383" s="11">
        <v>3575</v>
      </c>
      <c r="H383" s="353" t="s">
        <v>87</v>
      </c>
      <c r="I383" s="353" t="s">
        <v>110</v>
      </c>
      <c r="J383" s="57"/>
      <c r="K383" s="11"/>
      <c r="L383" s="353"/>
    </row>
    <row r="384" spans="1:12" hidden="1">
      <c r="A384" s="353"/>
      <c r="B384" s="7" t="s">
        <v>832</v>
      </c>
      <c r="C384" s="103" t="s">
        <v>833</v>
      </c>
      <c r="D384" s="57">
        <v>45715</v>
      </c>
      <c r="E384" s="57">
        <v>45709</v>
      </c>
      <c r="F384" s="353" t="s">
        <v>16</v>
      </c>
      <c r="G384" s="11">
        <v>10000</v>
      </c>
      <c r="H384" s="353" t="s">
        <v>55</v>
      </c>
      <c r="I384" s="353" t="s">
        <v>56</v>
      </c>
      <c r="J384" s="57">
        <v>45709</v>
      </c>
      <c r="K384" s="11">
        <v>10000</v>
      </c>
      <c r="L384" s="353" t="s">
        <v>111</v>
      </c>
    </row>
    <row r="385" spans="1:12" hidden="1">
      <c r="A385" s="353"/>
      <c r="B385" s="7" t="s">
        <v>832</v>
      </c>
      <c r="C385" s="103" t="s">
        <v>835</v>
      </c>
      <c r="D385" s="57">
        <v>45991</v>
      </c>
      <c r="E385" s="57">
        <v>45991</v>
      </c>
      <c r="F385" s="353" t="s">
        <v>16</v>
      </c>
      <c r="G385" s="11">
        <v>10000</v>
      </c>
      <c r="H385" s="353" t="s">
        <v>836</v>
      </c>
      <c r="I385" s="353" t="s">
        <v>56</v>
      </c>
      <c r="J385" s="57">
        <v>45989</v>
      </c>
      <c r="K385" s="11">
        <v>10000</v>
      </c>
      <c r="L385" s="353" t="s">
        <v>19</v>
      </c>
    </row>
    <row r="386" spans="1:12" hidden="1">
      <c r="A386" s="353"/>
      <c r="B386" s="7" t="s">
        <v>837</v>
      </c>
      <c r="C386" s="103" t="s">
        <v>838</v>
      </c>
      <c r="D386" s="57">
        <v>45667</v>
      </c>
      <c r="F386" s="353" t="s">
        <v>16</v>
      </c>
      <c r="G386" s="11">
        <v>3459.2</v>
      </c>
      <c r="H386" s="353" t="s">
        <v>840</v>
      </c>
      <c r="I386" s="353" t="s">
        <v>66</v>
      </c>
      <c r="J386" s="57">
        <v>45684</v>
      </c>
      <c r="K386" s="11">
        <v>3459.2</v>
      </c>
      <c r="L386" s="353" t="s">
        <v>111</v>
      </c>
    </row>
    <row r="387" spans="1:12" hidden="1">
      <c r="A387" s="353"/>
      <c r="B387" s="7" t="s">
        <v>837</v>
      </c>
      <c r="C387" s="103" t="s">
        <v>838</v>
      </c>
      <c r="D387" s="57">
        <v>45667</v>
      </c>
      <c r="E387" s="57">
        <v>45704</v>
      </c>
      <c r="F387" s="353" t="s">
        <v>16</v>
      </c>
      <c r="G387" s="11">
        <v>640</v>
      </c>
      <c r="H387" s="353" t="s">
        <v>840</v>
      </c>
      <c r="I387" s="353" t="s">
        <v>799</v>
      </c>
      <c r="J387" s="57"/>
      <c r="K387" s="11"/>
      <c r="L387" s="353"/>
    </row>
    <row r="388" spans="1:12" hidden="1">
      <c r="A388" s="353"/>
      <c r="B388" s="7" t="s">
        <v>841</v>
      </c>
      <c r="C388" s="103" t="s">
        <v>842</v>
      </c>
      <c r="D388" s="57">
        <v>45825</v>
      </c>
      <c r="F388" s="353" t="s">
        <v>16</v>
      </c>
      <c r="G388" s="11">
        <v>196.24</v>
      </c>
      <c r="H388" s="353" t="s">
        <v>844</v>
      </c>
      <c r="I388" s="353" t="s">
        <v>66</v>
      </c>
      <c r="J388" s="57">
        <v>45817</v>
      </c>
      <c r="K388" s="11">
        <v>196.24</v>
      </c>
      <c r="L388" s="353" t="s">
        <v>111</v>
      </c>
    </row>
    <row r="389" spans="1:12" hidden="1">
      <c r="A389" s="353"/>
      <c r="B389" s="7" t="s">
        <v>841</v>
      </c>
      <c r="C389" s="103" t="s">
        <v>842</v>
      </c>
      <c r="D389" s="57">
        <v>45825</v>
      </c>
      <c r="E389" s="57">
        <v>45854</v>
      </c>
      <c r="F389" s="353" t="s">
        <v>16</v>
      </c>
      <c r="G389" s="11">
        <v>36.72</v>
      </c>
      <c r="H389" s="353" t="s">
        <v>844</v>
      </c>
      <c r="I389" s="353" t="s">
        <v>799</v>
      </c>
      <c r="J389" s="57"/>
      <c r="K389" s="11"/>
      <c r="L389" s="353"/>
    </row>
    <row r="390" spans="1:12" hidden="1">
      <c r="A390" s="353"/>
      <c r="B390" s="7" t="s">
        <v>845</v>
      </c>
      <c r="C390" s="103" t="s">
        <v>314</v>
      </c>
      <c r="D390" s="57">
        <v>45684</v>
      </c>
      <c r="F390" s="353" t="s">
        <v>16</v>
      </c>
      <c r="G390" s="11">
        <v>1153.4000000000001</v>
      </c>
      <c r="H390" s="353" t="s">
        <v>847</v>
      </c>
      <c r="I390" s="353"/>
      <c r="J390" s="57">
        <v>45385</v>
      </c>
      <c r="K390" s="11"/>
      <c r="L390" s="353"/>
    </row>
    <row r="391" spans="1:12" hidden="1">
      <c r="A391" s="353"/>
      <c r="B391" s="7" t="s">
        <v>845</v>
      </c>
      <c r="C391" s="103" t="s">
        <v>848</v>
      </c>
      <c r="D391" s="57">
        <v>45716</v>
      </c>
      <c r="E391" s="57">
        <v>45747</v>
      </c>
      <c r="F391" s="353" t="s">
        <v>16</v>
      </c>
      <c r="G391" s="11">
        <v>1812.44</v>
      </c>
      <c r="H391" s="353" t="s">
        <v>847</v>
      </c>
      <c r="I391" s="353" t="s">
        <v>56</v>
      </c>
      <c r="J391" s="57"/>
      <c r="K391" s="11"/>
      <c r="L391" s="353"/>
    </row>
    <row r="392" spans="1:12" hidden="1">
      <c r="A392" s="353" t="s">
        <v>13</v>
      </c>
      <c r="B392" s="7" t="s">
        <v>845</v>
      </c>
      <c r="C392" s="103" t="s">
        <v>850</v>
      </c>
      <c r="D392" s="57">
        <v>45758</v>
      </c>
      <c r="E392" s="57">
        <v>45808</v>
      </c>
      <c r="F392" s="353" t="s">
        <v>16</v>
      </c>
      <c r="G392" s="11">
        <v>1162.73</v>
      </c>
      <c r="H392" s="353" t="s">
        <v>847</v>
      </c>
      <c r="I392" s="353" t="s">
        <v>110</v>
      </c>
      <c r="J392" s="57">
        <v>45945</v>
      </c>
      <c r="K392" s="11">
        <v>1162</v>
      </c>
      <c r="L392" s="353" t="s">
        <v>819</v>
      </c>
    </row>
    <row r="393" spans="1:12" hidden="1">
      <c r="A393" s="353"/>
      <c r="B393" s="7" t="s">
        <v>852</v>
      </c>
      <c r="C393" s="103" t="s">
        <v>853</v>
      </c>
      <c r="D393" s="57">
        <v>45897</v>
      </c>
      <c r="E393" s="57">
        <v>45897</v>
      </c>
      <c r="F393" s="353" t="s">
        <v>16</v>
      </c>
      <c r="G393" s="11">
        <v>310</v>
      </c>
      <c r="H393" s="353" t="s">
        <v>855</v>
      </c>
      <c r="I393" s="353"/>
      <c r="J393" s="57"/>
      <c r="K393" s="11"/>
      <c r="L393" s="353"/>
    </row>
    <row r="394" spans="1:12" hidden="1">
      <c r="A394" s="353"/>
      <c r="B394" s="7" t="s">
        <v>856</v>
      </c>
      <c r="C394" s="103" t="s">
        <v>857</v>
      </c>
      <c r="D394" s="57">
        <v>45742</v>
      </c>
      <c r="E394" s="57">
        <v>45742</v>
      </c>
      <c r="F394" s="353" t="s">
        <v>16</v>
      </c>
      <c r="G394" s="11">
        <v>11.61</v>
      </c>
      <c r="H394" s="353" t="s">
        <v>349</v>
      </c>
      <c r="I394" s="353" t="s">
        <v>215</v>
      </c>
      <c r="J394" s="57"/>
      <c r="K394" s="11"/>
      <c r="L394" s="353"/>
    </row>
    <row r="395" spans="1:12" hidden="1">
      <c r="A395" s="353"/>
      <c r="B395" s="7" t="s">
        <v>859</v>
      </c>
      <c r="C395" s="103" t="s">
        <v>860</v>
      </c>
      <c r="D395" s="57">
        <v>45835</v>
      </c>
      <c r="F395" s="353" t="s">
        <v>16</v>
      </c>
      <c r="G395" s="11">
        <v>42.6</v>
      </c>
      <c r="H395" s="353" t="s">
        <v>457</v>
      </c>
      <c r="I395" s="353" t="s">
        <v>794</v>
      </c>
      <c r="J395" s="57"/>
      <c r="K395" s="11"/>
      <c r="L395" s="353" t="s">
        <v>862</v>
      </c>
    </row>
    <row r="396" spans="1:12" hidden="1">
      <c r="A396" s="353"/>
      <c r="B396" s="7" t="s">
        <v>863</v>
      </c>
      <c r="C396" s="103" t="s">
        <v>864</v>
      </c>
      <c r="D396" s="57">
        <v>45699</v>
      </c>
      <c r="E396" s="57">
        <v>45699</v>
      </c>
      <c r="F396" s="353" t="s">
        <v>16</v>
      </c>
      <c r="G396" s="11">
        <v>488</v>
      </c>
      <c r="H396" s="353" t="s">
        <v>866</v>
      </c>
      <c r="I396" s="353" t="s">
        <v>66</v>
      </c>
      <c r="J396" s="57"/>
      <c r="K396" s="11"/>
      <c r="L396" s="353" t="s">
        <v>862</v>
      </c>
    </row>
    <row r="397" spans="1:12" hidden="1">
      <c r="A397" s="353"/>
      <c r="B397" s="7" t="s">
        <v>863</v>
      </c>
      <c r="C397" s="103" t="s">
        <v>867</v>
      </c>
      <c r="D397" s="57">
        <v>45700</v>
      </c>
      <c r="F397" s="353" t="s">
        <v>16</v>
      </c>
      <c r="G397" s="11">
        <v>488</v>
      </c>
      <c r="H397" s="353" t="s">
        <v>866</v>
      </c>
      <c r="I397" s="353" t="s">
        <v>66</v>
      </c>
      <c r="J397" s="57"/>
      <c r="K397" s="11"/>
      <c r="L397" s="353" t="s">
        <v>862</v>
      </c>
    </row>
    <row r="398" spans="1:12" hidden="1">
      <c r="A398" s="353"/>
      <c r="B398" s="7" t="s">
        <v>863</v>
      </c>
      <c r="C398" s="103" t="s">
        <v>869</v>
      </c>
      <c r="D398" s="57">
        <v>45762</v>
      </c>
      <c r="F398" s="353" t="s">
        <v>16</v>
      </c>
      <c r="G398" s="11">
        <v>-8000</v>
      </c>
      <c r="H398" s="353" t="s">
        <v>871</v>
      </c>
      <c r="I398" s="353" t="s">
        <v>66</v>
      </c>
      <c r="J398" s="57"/>
      <c r="K398" s="11"/>
      <c r="L398" s="353"/>
    </row>
    <row r="399" spans="1:12" hidden="1">
      <c r="A399" s="353"/>
      <c r="B399" s="7" t="s">
        <v>863</v>
      </c>
      <c r="C399" s="103" t="s">
        <v>872</v>
      </c>
      <c r="D399" s="57">
        <v>46007</v>
      </c>
      <c r="E399" s="57">
        <v>46007</v>
      </c>
      <c r="F399" s="353" t="s">
        <v>16</v>
      </c>
      <c r="G399" s="11">
        <v>1858.75</v>
      </c>
      <c r="H399" s="353" t="s">
        <v>873</v>
      </c>
      <c r="I399" s="353" t="s">
        <v>83</v>
      </c>
      <c r="J399" s="57">
        <v>46007</v>
      </c>
      <c r="K399" s="11">
        <v>1858.75</v>
      </c>
      <c r="L399" s="353" t="s">
        <v>313</v>
      </c>
    </row>
    <row r="400" spans="1:12" hidden="1">
      <c r="A400" s="353"/>
      <c r="B400" s="7" t="s">
        <v>874</v>
      </c>
      <c r="C400" s="103" t="s">
        <v>875</v>
      </c>
      <c r="D400" s="57">
        <v>45770</v>
      </c>
      <c r="F400" s="353" t="s">
        <v>16</v>
      </c>
      <c r="G400" s="11">
        <v>9.69</v>
      </c>
      <c r="H400" s="353"/>
      <c r="I400" s="353" t="s">
        <v>24</v>
      </c>
      <c r="J400" s="57"/>
      <c r="K400" s="11"/>
      <c r="L400" s="353"/>
    </row>
    <row r="401" spans="1:12" hidden="1">
      <c r="A401" s="353" t="s">
        <v>13</v>
      </c>
      <c r="B401" s="7" t="s">
        <v>877</v>
      </c>
      <c r="C401" s="103" t="s">
        <v>878</v>
      </c>
      <c r="D401" s="57">
        <v>45969</v>
      </c>
      <c r="E401" s="57">
        <v>45983</v>
      </c>
      <c r="F401" s="353" t="s">
        <v>16</v>
      </c>
      <c r="G401" s="11">
        <v>2837</v>
      </c>
      <c r="H401" s="353" t="s">
        <v>879</v>
      </c>
      <c r="I401" s="353" t="s">
        <v>354</v>
      </c>
      <c r="J401" s="57">
        <v>45989</v>
      </c>
      <c r="K401" s="11">
        <v>2837</v>
      </c>
      <c r="L401" s="353" t="s">
        <v>313</v>
      </c>
    </row>
    <row r="402" spans="1:12" hidden="1">
      <c r="A402" s="353" t="s">
        <v>13</v>
      </c>
      <c r="B402" s="7" t="s">
        <v>877</v>
      </c>
      <c r="C402" s="103" t="s">
        <v>880</v>
      </c>
      <c r="D402" s="57">
        <v>45996</v>
      </c>
      <c r="E402" s="57">
        <v>46010</v>
      </c>
      <c r="F402" s="353" t="s">
        <v>16</v>
      </c>
      <c r="G402" s="11">
        <v>410</v>
      </c>
      <c r="H402" s="353" t="s">
        <v>881</v>
      </c>
      <c r="I402" s="353" t="s">
        <v>83</v>
      </c>
      <c r="J402" s="57">
        <v>46041</v>
      </c>
      <c r="K402" s="11">
        <v>410</v>
      </c>
      <c r="L402" s="353" t="s">
        <v>19</v>
      </c>
    </row>
    <row r="403" spans="1:12" hidden="1">
      <c r="A403" s="353" t="s">
        <v>13</v>
      </c>
      <c r="B403" s="7" t="s">
        <v>882</v>
      </c>
      <c r="C403" s="103" t="s">
        <v>883</v>
      </c>
      <c r="D403" s="57">
        <v>45858</v>
      </c>
      <c r="F403" s="353" t="s">
        <v>16</v>
      </c>
      <c r="G403" s="11">
        <v>530.65</v>
      </c>
      <c r="H403" s="353" t="s">
        <v>885</v>
      </c>
      <c r="I403" s="353" t="s">
        <v>886</v>
      </c>
      <c r="J403" s="57"/>
      <c r="K403" s="11"/>
      <c r="L403" s="353"/>
    </row>
    <row r="404" spans="1:12" hidden="1">
      <c r="A404" s="353" t="s">
        <v>13</v>
      </c>
      <c r="B404" s="7" t="s">
        <v>882</v>
      </c>
      <c r="C404" s="103" t="s">
        <v>887</v>
      </c>
      <c r="D404" s="57">
        <v>45896</v>
      </c>
      <c r="F404" s="353" t="s">
        <v>16</v>
      </c>
      <c r="G404" s="11">
        <v>229.15</v>
      </c>
      <c r="H404" s="353" t="s">
        <v>889</v>
      </c>
      <c r="I404" s="353" t="s">
        <v>794</v>
      </c>
      <c r="J404" s="57"/>
      <c r="K404" s="11"/>
      <c r="L404" s="353"/>
    </row>
    <row r="405" spans="1:12" hidden="1">
      <c r="A405" s="353" t="s">
        <v>13</v>
      </c>
      <c r="B405" s="7" t="s">
        <v>882</v>
      </c>
      <c r="C405" s="103" t="s">
        <v>890</v>
      </c>
      <c r="D405" s="57">
        <v>45955</v>
      </c>
      <c r="F405" s="353" t="s">
        <v>16</v>
      </c>
      <c r="G405" s="11">
        <v>122.4</v>
      </c>
      <c r="H405" s="353" t="s">
        <v>891</v>
      </c>
      <c r="I405" s="353" t="s">
        <v>422</v>
      </c>
      <c r="J405" s="57"/>
      <c r="K405" s="11"/>
      <c r="L405" s="353"/>
    </row>
    <row r="406" spans="1:12" hidden="1">
      <c r="A406" s="353" t="s">
        <v>13</v>
      </c>
      <c r="B406" s="7" t="s">
        <v>882</v>
      </c>
      <c r="C406" s="103" t="s">
        <v>892</v>
      </c>
      <c r="D406" s="57">
        <v>45977</v>
      </c>
      <c r="E406" s="57">
        <v>45977</v>
      </c>
      <c r="F406" s="353" t="s">
        <v>16</v>
      </c>
      <c r="G406" s="11">
        <v>183.45</v>
      </c>
      <c r="H406" s="353" t="s">
        <v>889</v>
      </c>
      <c r="I406" s="353" t="s">
        <v>47</v>
      </c>
      <c r="J406" s="57"/>
      <c r="K406" s="11"/>
      <c r="L406" s="353"/>
    </row>
    <row r="407" spans="1:12" hidden="1">
      <c r="A407" s="353"/>
      <c r="B407" s="7" t="s">
        <v>882</v>
      </c>
      <c r="C407" s="103" t="s">
        <v>4272</v>
      </c>
      <c r="D407" s="57">
        <v>46058</v>
      </c>
      <c r="E407" s="57">
        <v>46058</v>
      </c>
      <c r="F407" s="353" t="s">
        <v>16</v>
      </c>
      <c r="G407" s="11">
        <v>557</v>
      </c>
      <c r="H407" s="353" t="s">
        <v>4273</v>
      </c>
      <c r="I407" s="353" t="s">
        <v>47</v>
      </c>
      <c r="J407" s="57">
        <v>46058</v>
      </c>
      <c r="K407" s="11">
        <v>557</v>
      </c>
      <c r="L407" s="353" t="s">
        <v>689</v>
      </c>
    </row>
    <row r="408" spans="1:12" hidden="1">
      <c r="A408" s="353"/>
      <c r="B408" s="7" t="s">
        <v>3299</v>
      </c>
      <c r="C408" s="103" t="s">
        <v>893</v>
      </c>
      <c r="D408" s="57">
        <v>45730</v>
      </c>
      <c r="E408" s="57">
        <v>45730</v>
      </c>
      <c r="F408" s="353" t="s">
        <v>16</v>
      </c>
      <c r="G408" s="11">
        <v>3000</v>
      </c>
      <c r="H408" s="353" t="s">
        <v>312</v>
      </c>
      <c r="I408" s="353" t="s">
        <v>66</v>
      </c>
      <c r="J408" s="57"/>
      <c r="K408" s="11"/>
      <c r="L408" s="353"/>
    </row>
    <row r="409" spans="1:12" hidden="1">
      <c r="A409" s="353"/>
      <c r="B409" s="7" t="s">
        <v>3299</v>
      </c>
      <c r="C409" s="103" t="s">
        <v>893</v>
      </c>
      <c r="D409" s="57">
        <v>45730</v>
      </c>
      <c r="E409" s="57">
        <v>45763</v>
      </c>
      <c r="F409" s="353" t="s">
        <v>16</v>
      </c>
      <c r="G409" s="11">
        <v>555.04</v>
      </c>
      <c r="H409" s="353" t="s">
        <v>312</v>
      </c>
      <c r="I409" s="353" t="s">
        <v>799</v>
      </c>
      <c r="J409" s="57"/>
      <c r="K409" s="11"/>
      <c r="L409" s="353"/>
    </row>
    <row r="410" spans="1:12" hidden="1">
      <c r="A410" s="353"/>
      <c r="B410" s="7" t="s">
        <v>3299</v>
      </c>
      <c r="C410" s="103" t="s">
        <v>895</v>
      </c>
      <c r="D410" s="57">
        <v>45940</v>
      </c>
      <c r="E410" s="57">
        <v>45940</v>
      </c>
      <c r="F410" s="353" t="s">
        <v>16</v>
      </c>
      <c r="G410" s="11">
        <v>3300</v>
      </c>
      <c r="H410" s="353" t="s">
        <v>787</v>
      </c>
      <c r="I410" s="353" t="s">
        <v>354</v>
      </c>
      <c r="J410" s="57">
        <v>45940</v>
      </c>
      <c r="K410" s="11">
        <v>3300</v>
      </c>
      <c r="L410" s="353" t="s">
        <v>19</v>
      </c>
    </row>
    <row r="411" spans="1:12" hidden="1">
      <c r="A411" s="353"/>
      <c r="B411" s="7" t="s">
        <v>3299</v>
      </c>
      <c r="C411" s="103" t="s">
        <v>895</v>
      </c>
      <c r="D411" s="57">
        <v>45940</v>
      </c>
      <c r="E411" s="57">
        <v>45977</v>
      </c>
      <c r="F411" s="353" t="s">
        <v>16</v>
      </c>
      <c r="G411" s="11">
        <v>597.59</v>
      </c>
      <c r="H411" s="353" t="s">
        <v>787</v>
      </c>
      <c r="I411" s="353" t="s">
        <v>354</v>
      </c>
      <c r="J411" s="57"/>
      <c r="K411" s="11"/>
      <c r="L411" s="353"/>
    </row>
    <row r="412" spans="1:12" hidden="1">
      <c r="A412" s="353"/>
      <c r="B412" s="7" t="s">
        <v>3299</v>
      </c>
      <c r="C412" s="103" t="s">
        <v>896</v>
      </c>
      <c r="D412" s="57">
        <v>45964</v>
      </c>
      <c r="E412" s="57">
        <v>45964</v>
      </c>
      <c r="F412" s="353" t="s">
        <v>16</v>
      </c>
      <c r="G412" s="11">
        <v>3000</v>
      </c>
      <c r="H412" s="353" t="s">
        <v>312</v>
      </c>
      <c r="I412" s="353" t="s">
        <v>66</v>
      </c>
      <c r="J412" s="57">
        <v>45960</v>
      </c>
      <c r="K412" s="11">
        <v>3000</v>
      </c>
      <c r="L412" s="353" t="s">
        <v>246</v>
      </c>
    </row>
    <row r="413" spans="1:12" hidden="1">
      <c r="A413" s="353"/>
      <c r="B413" s="7" t="s">
        <v>3299</v>
      </c>
      <c r="C413" s="103" t="s">
        <v>340</v>
      </c>
      <c r="D413" s="57">
        <v>46048</v>
      </c>
      <c r="E413" s="57">
        <v>46048</v>
      </c>
      <c r="F413" s="353" t="s">
        <v>16</v>
      </c>
      <c r="G413" s="11">
        <v>2162</v>
      </c>
      <c r="H413" s="353" t="s">
        <v>4238</v>
      </c>
      <c r="I413" s="353" t="s">
        <v>83</v>
      </c>
      <c r="J413" s="57">
        <v>46045</v>
      </c>
      <c r="K413" s="11">
        <v>2162</v>
      </c>
      <c r="L413" s="353" t="s">
        <v>345</v>
      </c>
    </row>
    <row r="414" spans="1:12" hidden="1">
      <c r="A414" s="353"/>
      <c r="B414" s="7" t="s">
        <v>3299</v>
      </c>
      <c r="C414" s="103" t="s">
        <v>3300</v>
      </c>
      <c r="E414" s="57">
        <v>45977</v>
      </c>
      <c r="F414" s="353"/>
      <c r="G414" s="11">
        <v>13700</v>
      </c>
      <c r="H414" s="353" t="s">
        <v>312</v>
      </c>
      <c r="I414" s="353" t="s">
        <v>799</v>
      </c>
      <c r="J414" s="57">
        <v>45977</v>
      </c>
      <c r="K414" s="11"/>
      <c r="L414" s="353"/>
    </row>
    <row r="415" spans="1:12" hidden="1">
      <c r="A415" s="353"/>
      <c r="B415" s="7" t="s">
        <v>898</v>
      </c>
      <c r="C415" s="103" t="s">
        <v>899</v>
      </c>
      <c r="D415" s="57">
        <v>45933</v>
      </c>
      <c r="E415" s="57">
        <v>45933</v>
      </c>
      <c r="F415" s="353" t="s">
        <v>16</v>
      </c>
      <c r="G415" s="11">
        <v>84.18</v>
      </c>
      <c r="H415" s="353"/>
      <c r="I415" s="353" t="s">
        <v>215</v>
      </c>
      <c r="J415" s="57"/>
      <c r="K415" s="11"/>
      <c r="L415" s="353"/>
    </row>
    <row r="416" spans="1:12" hidden="1">
      <c r="A416" s="353"/>
      <c r="B416" s="7" t="s">
        <v>901</v>
      </c>
      <c r="C416" s="103" t="s">
        <v>902</v>
      </c>
      <c r="D416" s="57">
        <v>45642</v>
      </c>
      <c r="E416" s="57">
        <v>45673</v>
      </c>
      <c r="F416" s="353"/>
      <c r="G416" s="11">
        <v>7000</v>
      </c>
      <c r="H416" s="353" t="s">
        <v>342</v>
      </c>
      <c r="I416" s="353" t="s">
        <v>56</v>
      </c>
      <c r="J416" s="57"/>
      <c r="K416" s="11"/>
      <c r="L416" s="353"/>
    </row>
    <row r="417" spans="1:12" hidden="1">
      <c r="A417" s="353"/>
      <c r="B417" s="7" t="s">
        <v>901</v>
      </c>
      <c r="C417" s="103" t="s">
        <v>1718</v>
      </c>
      <c r="D417" s="57">
        <v>46042</v>
      </c>
      <c r="E417" s="57">
        <v>46042</v>
      </c>
      <c r="F417" s="353"/>
      <c r="G417" s="11">
        <v>1500</v>
      </c>
      <c r="H417" s="353" t="s">
        <v>342</v>
      </c>
      <c r="I417" s="353" t="s">
        <v>56</v>
      </c>
      <c r="J417" s="57"/>
      <c r="K417" s="11"/>
      <c r="L417" s="353"/>
    </row>
    <row r="418" spans="1:12" hidden="1">
      <c r="A418" s="353" t="s">
        <v>13</v>
      </c>
      <c r="B418" s="7" t="s">
        <v>904</v>
      </c>
      <c r="C418" s="103" t="s">
        <v>905</v>
      </c>
      <c r="D418" s="57">
        <v>45672</v>
      </c>
      <c r="F418" s="353" t="s">
        <v>16</v>
      </c>
      <c r="G418" s="11">
        <v>36.6</v>
      </c>
      <c r="H418" s="353"/>
      <c r="I418" s="353"/>
      <c r="J418" s="57"/>
      <c r="K418" s="11"/>
      <c r="L418" s="353"/>
    </row>
    <row r="419" spans="1:12" hidden="1">
      <c r="A419" s="353" t="s">
        <v>13</v>
      </c>
      <c r="B419" s="7" t="s">
        <v>907</v>
      </c>
      <c r="C419" s="103" t="s">
        <v>908</v>
      </c>
      <c r="D419" s="57">
        <v>45762</v>
      </c>
      <c r="E419" s="57">
        <v>45792</v>
      </c>
      <c r="F419" s="353" t="s">
        <v>16</v>
      </c>
      <c r="G419" s="11">
        <v>54.9</v>
      </c>
      <c r="H419" s="353"/>
      <c r="I419" s="353" t="s">
        <v>150</v>
      </c>
      <c r="J419" s="57"/>
      <c r="K419" s="11"/>
      <c r="L419" s="353"/>
    </row>
    <row r="420" spans="1:12" hidden="1">
      <c r="A420" s="353" t="s">
        <v>13</v>
      </c>
      <c r="B420" s="7" t="s">
        <v>907</v>
      </c>
      <c r="C420" s="103" t="s">
        <v>910</v>
      </c>
      <c r="D420" s="57">
        <v>45853</v>
      </c>
      <c r="E420" s="57">
        <v>45883</v>
      </c>
      <c r="F420" s="353" t="s">
        <v>16</v>
      </c>
      <c r="G420" s="11">
        <v>54.9</v>
      </c>
      <c r="H420" s="353" t="s">
        <v>196</v>
      </c>
      <c r="I420" s="353" t="s">
        <v>150</v>
      </c>
      <c r="J420" s="57"/>
      <c r="K420" s="11"/>
      <c r="L420" s="353"/>
    </row>
    <row r="421" spans="1:12" hidden="1">
      <c r="A421" s="353" t="s">
        <v>13</v>
      </c>
      <c r="B421" s="7" t="s">
        <v>907</v>
      </c>
      <c r="C421" s="103" t="s">
        <v>4123</v>
      </c>
      <c r="D421" s="57">
        <v>46037</v>
      </c>
      <c r="E421" s="57">
        <v>46067</v>
      </c>
      <c r="F421" s="353"/>
      <c r="G421" s="11">
        <v>54.9</v>
      </c>
      <c r="H421" s="353" t="s">
        <v>4160</v>
      </c>
      <c r="I421" s="353" t="s">
        <v>150</v>
      </c>
      <c r="J421" s="57"/>
      <c r="K421" s="11"/>
      <c r="L421" s="353"/>
    </row>
    <row r="422" spans="1:12" hidden="1">
      <c r="A422" s="353" t="s">
        <v>13</v>
      </c>
      <c r="B422" s="7" t="s">
        <v>912</v>
      </c>
      <c r="C422" s="103" t="s">
        <v>913</v>
      </c>
      <c r="D422" s="57">
        <v>45895</v>
      </c>
      <c r="E422" s="57">
        <v>45895</v>
      </c>
      <c r="F422" s="353" t="s">
        <v>16</v>
      </c>
      <c r="G422" s="11">
        <v>1110</v>
      </c>
      <c r="H422" s="353" t="s">
        <v>214</v>
      </c>
      <c r="I422" s="353" t="s">
        <v>794</v>
      </c>
      <c r="J422" s="57"/>
      <c r="K422" s="11"/>
      <c r="L422" s="353"/>
    </row>
    <row r="423" spans="1:12" hidden="1">
      <c r="A423" s="353" t="s">
        <v>13</v>
      </c>
      <c r="B423" s="7" t="s">
        <v>912</v>
      </c>
      <c r="C423" s="103" t="s">
        <v>915</v>
      </c>
      <c r="D423" s="57">
        <v>45923</v>
      </c>
      <c r="F423" s="353" t="s">
        <v>16</v>
      </c>
      <c r="G423" s="11">
        <v>300</v>
      </c>
      <c r="H423" s="353" t="s">
        <v>214</v>
      </c>
      <c r="I423" s="353" t="s">
        <v>794</v>
      </c>
      <c r="J423" s="57"/>
      <c r="K423" s="11"/>
      <c r="L423" s="353"/>
    </row>
    <row r="424" spans="1:12" hidden="1">
      <c r="A424" s="353" t="s">
        <v>13</v>
      </c>
      <c r="B424" s="7" t="s">
        <v>912</v>
      </c>
      <c r="C424" s="103" t="s">
        <v>917</v>
      </c>
      <c r="D424" s="57">
        <v>45923</v>
      </c>
      <c r="F424" s="353" t="s">
        <v>16</v>
      </c>
      <c r="G424" s="11">
        <v>749.62</v>
      </c>
      <c r="H424" s="353" t="s">
        <v>214</v>
      </c>
      <c r="I424" s="353" t="s">
        <v>794</v>
      </c>
      <c r="J424" s="57"/>
      <c r="K424" s="11"/>
      <c r="L424" s="353"/>
    </row>
    <row r="425" spans="1:12" hidden="1">
      <c r="A425" s="353" t="s">
        <v>13</v>
      </c>
      <c r="B425" s="7" t="s">
        <v>912</v>
      </c>
      <c r="C425" s="103" t="s">
        <v>919</v>
      </c>
      <c r="D425" s="57">
        <v>45923</v>
      </c>
      <c r="F425" s="353" t="s">
        <v>16</v>
      </c>
      <c r="G425" s="11">
        <v>121</v>
      </c>
      <c r="H425" s="353" t="s">
        <v>214</v>
      </c>
      <c r="I425" s="353" t="s">
        <v>794</v>
      </c>
      <c r="J425" s="57"/>
      <c r="K425" s="11"/>
      <c r="L425" s="353"/>
    </row>
    <row r="426" spans="1:12" hidden="1">
      <c r="A426" s="353" t="s">
        <v>13</v>
      </c>
      <c r="B426" s="7" t="s">
        <v>912</v>
      </c>
      <c r="C426" s="103" t="s">
        <v>921</v>
      </c>
      <c r="D426" s="57">
        <v>45923</v>
      </c>
      <c r="F426" s="353" t="s">
        <v>16</v>
      </c>
      <c r="G426" s="11">
        <v>1606.93</v>
      </c>
      <c r="H426" s="353" t="s">
        <v>889</v>
      </c>
      <c r="I426" s="353" t="s">
        <v>794</v>
      </c>
      <c r="J426" s="57"/>
      <c r="K426" s="11"/>
      <c r="L426" s="353"/>
    </row>
    <row r="427" spans="1:12" hidden="1">
      <c r="A427" s="353" t="s">
        <v>13</v>
      </c>
      <c r="B427" s="7" t="s">
        <v>912</v>
      </c>
      <c r="C427" s="103" t="s">
        <v>923</v>
      </c>
      <c r="D427" s="57">
        <v>45923</v>
      </c>
      <c r="F427" s="353" t="s">
        <v>16</v>
      </c>
      <c r="G427" s="11">
        <v>221.78</v>
      </c>
      <c r="H427" s="353" t="s">
        <v>889</v>
      </c>
      <c r="I427" s="353" t="s">
        <v>794</v>
      </c>
      <c r="J427" s="57"/>
      <c r="K427" s="11"/>
      <c r="L427" s="353"/>
    </row>
    <row r="428" spans="1:12" hidden="1">
      <c r="A428" s="353" t="s">
        <v>13</v>
      </c>
      <c r="B428" s="7" t="s">
        <v>912</v>
      </c>
      <c r="C428" s="103" t="s">
        <v>925</v>
      </c>
      <c r="D428" s="57">
        <v>45955</v>
      </c>
      <c r="E428" s="57">
        <v>45955</v>
      </c>
      <c r="F428" s="353" t="s">
        <v>16</v>
      </c>
      <c r="G428" s="11">
        <v>498.96</v>
      </c>
      <c r="H428" s="353" t="s">
        <v>926</v>
      </c>
      <c r="I428" s="353" t="s">
        <v>47</v>
      </c>
      <c r="J428" s="57"/>
      <c r="K428" s="11"/>
      <c r="L428" s="353"/>
    </row>
    <row r="429" spans="1:12" hidden="1">
      <c r="A429" s="353" t="s">
        <v>13</v>
      </c>
      <c r="B429" s="7" t="s">
        <v>912</v>
      </c>
      <c r="C429" s="103" t="s">
        <v>4326</v>
      </c>
      <c r="D429" s="57">
        <v>46083</v>
      </c>
      <c r="E429" s="57">
        <v>46084</v>
      </c>
      <c r="F429" s="353" t="s">
        <v>16</v>
      </c>
      <c r="G429" s="11">
        <v>546.38</v>
      </c>
      <c r="H429" s="353" t="s">
        <v>4337</v>
      </c>
      <c r="I429" s="353" t="s">
        <v>47</v>
      </c>
      <c r="J429" s="57"/>
      <c r="K429" s="11"/>
      <c r="L429" s="353"/>
    </row>
    <row r="430" spans="1:12" hidden="1">
      <c r="A430" s="353" t="s">
        <v>13</v>
      </c>
      <c r="B430" s="7" t="s">
        <v>912</v>
      </c>
      <c r="C430" s="103" t="s">
        <v>4328</v>
      </c>
      <c r="D430" s="57">
        <v>46083</v>
      </c>
      <c r="E430" s="57">
        <v>46084</v>
      </c>
      <c r="F430" s="353" t="s">
        <v>16</v>
      </c>
      <c r="G430" s="11">
        <v>111.62</v>
      </c>
      <c r="H430" s="353" t="s">
        <v>4338</v>
      </c>
      <c r="I430" s="353" t="s">
        <v>47</v>
      </c>
      <c r="J430" s="57"/>
      <c r="K430" s="11"/>
      <c r="L430" s="353"/>
    </row>
    <row r="431" spans="1:12" hidden="1">
      <c r="A431" s="353" t="s">
        <v>13</v>
      </c>
      <c r="B431" s="7" t="s">
        <v>927</v>
      </c>
      <c r="C431" s="103" t="s">
        <v>928</v>
      </c>
      <c r="D431" s="57">
        <v>45958</v>
      </c>
      <c r="E431" s="57">
        <v>45958</v>
      </c>
      <c r="F431" s="353" t="s">
        <v>16</v>
      </c>
      <c r="G431" s="11">
        <v>215.54</v>
      </c>
      <c r="H431" s="353" t="s">
        <v>28</v>
      </c>
      <c r="I431" s="353" t="s">
        <v>47</v>
      </c>
      <c r="J431" s="57"/>
      <c r="K431" s="11">
        <v>215.54</v>
      </c>
      <c r="L431" s="353" t="s">
        <v>47</v>
      </c>
    </row>
    <row r="432" spans="1:12" hidden="1">
      <c r="A432" s="353" t="s">
        <v>13</v>
      </c>
      <c r="B432" s="7" t="s">
        <v>927</v>
      </c>
      <c r="C432" s="103" t="s">
        <v>3241</v>
      </c>
      <c r="D432" s="57">
        <v>45962</v>
      </c>
      <c r="E432" s="57">
        <v>45962</v>
      </c>
      <c r="F432" s="353" t="s">
        <v>16</v>
      </c>
      <c r="G432" s="11">
        <v>295.95</v>
      </c>
      <c r="H432" s="353" t="s">
        <v>34</v>
      </c>
      <c r="I432" s="353" t="s">
        <v>361</v>
      </c>
      <c r="J432" s="57"/>
      <c r="K432" s="11">
        <v>295.95</v>
      </c>
      <c r="L432" s="353" t="s">
        <v>47</v>
      </c>
    </row>
    <row r="433" spans="1:12" hidden="1">
      <c r="A433" s="353" t="s">
        <v>4274</v>
      </c>
      <c r="B433" s="7" t="s">
        <v>4275</v>
      </c>
      <c r="C433" s="103" t="s">
        <v>4276</v>
      </c>
      <c r="D433" s="57">
        <v>46065</v>
      </c>
      <c r="E433" s="57">
        <v>46065</v>
      </c>
      <c r="F433" s="353" t="s">
        <v>16</v>
      </c>
      <c r="G433" s="11">
        <v>34.99</v>
      </c>
      <c r="H433" s="353" t="s">
        <v>4277</v>
      </c>
      <c r="I433" s="353" t="s">
        <v>47</v>
      </c>
      <c r="J433" s="57"/>
      <c r="K433" s="11">
        <v>34.99</v>
      </c>
      <c r="L433" s="353" t="s">
        <v>47</v>
      </c>
    </row>
    <row r="434" spans="1:12" hidden="1">
      <c r="A434" s="353" t="s">
        <v>13</v>
      </c>
      <c r="B434" s="7" t="s">
        <v>930</v>
      </c>
      <c r="C434" s="103" t="s">
        <v>931</v>
      </c>
      <c r="D434" s="57">
        <v>45672</v>
      </c>
      <c r="F434" s="353" t="s">
        <v>16</v>
      </c>
      <c r="G434" s="11">
        <v>693.19</v>
      </c>
      <c r="H434" s="353" t="s">
        <v>933</v>
      </c>
      <c r="I434" s="353" t="s">
        <v>150</v>
      </c>
      <c r="J434" s="57"/>
      <c r="K434" s="11"/>
      <c r="L434" s="353"/>
    </row>
    <row r="435" spans="1:12" hidden="1">
      <c r="A435" s="353" t="s">
        <v>13</v>
      </c>
      <c r="B435" s="7" t="s">
        <v>930</v>
      </c>
      <c r="C435" s="103" t="s">
        <v>934</v>
      </c>
      <c r="D435" s="57">
        <v>45688</v>
      </c>
      <c r="E435" s="57">
        <v>45688</v>
      </c>
      <c r="F435" s="353" t="s">
        <v>16</v>
      </c>
      <c r="G435" s="11">
        <v>1206.6199999999999</v>
      </c>
      <c r="H435" s="353" t="s">
        <v>936</v>
      </c>
      <c r="I435" s="353" t="s">
        <v>154</v>
      </c>
      <c r="J435" s="57">
        <v>45736</v>
      </c>
      <c r="K435" s="11">
        <v>916.36</v>
      </c>
      <c r="L435" s="353" t="s">
        <v>111</v>
      </c>
    </row>
    <row r="436" spans="1:12" hidden="1">
      <c r="A436" s="353" t="s">
        <v>13</v>
      </c>
      <c r="B436" s="7" t="s">
        <v>930</v>
      </c>
      <c r="C436" s="103" t="s">
        <v>937</v>
      </c>
      <c r="D436" s="57">
        <v>45703</v>
      </c>
      <c r="E436" s="57">
        <v>45724</v>
      </c>
      <c r="F436" s="353" t="s">
        <v>16</v>
      </c>
      <c r="G436" s="11">
        <v>916.36</v>
      </c>
      <c r="H436" s="353" t="s">
        <v>939</v>
      </c>
      <c r="I436" s="353" t="s">
        <v>150</v>
      </c>
      <c r="J436" s="57">
        <v>45737</v>
      </c>
      <c r="K436" s="11"/>
      <c r="L436" s="353" t="s">
        <v>19</v>
      </c>
    </row>
    <row r="437" spans="1:12" hidden="1">
      <c r="A437" s="353" t="s">
        <v>13</v>
      </c>
      <c r="B437" s="7" t="s">
        <v>930</v>
      </c>
      <c r="C437" s="103" t="s">
        <v>940</v>
      </c>
      <c r="D437" s="57">
        <v>45716</v>
      </c>
      <c r="F437" s="353" t="s">
        <v>16</v>
      </c>
      <c r="G437" s="11">
        <v>749.5</v>
      </c>
      <c r="H437" s="353" t="s">
        <v>942</v>
      </c>
      <c r="I437" s="353" t="s">
        <v>150</v>
      </c>
      <c r="J437" s="57">
        <v>45763</v>
      </c>
      <c r="K437" s="11"/>
      <c r="L437" s="353" t="s">
        <v>19</v>
      </c>
    </row>
    <row r="438" spans="1:12" hidden="1">
      <c r="A438" s="353" t="s">
        <v>13</v>
      </c>
      <c r="B438" s="7" t="s">
        <v>930</v>
      </c>
      <c r="C438" s="103" t="s">
        <v>943</v>
      </c>
      <c r="D438" s="57">
        <v>45731</v>
      </c>
      <c r="F438" s="353" t="s">
        <v>16</v>
      </c>
      <c r="G438" s="11">
        <v>729.96</v>
      </c>
      <c r="H438" s="353" t="s">
        <v>945</v>
      </c>
      <c r="I438" s="353" t="s">
        <v>150</v>
      </c>
      <c r="J438" s="57">
        <v>45763</v>
      </c>
      <c r="K438" s="11"/>
      <c r="L438" s="353" t="s">
        <v>19</v>
      </c>
    </row>
    <row r="439" spans="1:12" hidden="1">
      <c r="A439" s="353" t="s">
        <v>13</v>
      </c>
      <c r="B439" s="7" t="s">
        <v>930</v>
      </c>
      <c r="C439" s="103" t="s">
        <v>946</v>
      </c>
      <c r="D439" s="57">
        <v>45747</v>
      </c>
      <c r="F439" s="353" t="s">
        <v>16</v>
      </c>
      <c r="G439" s="11">
        <v>828.84</v>
      </c>
      <c r="H439" s="353" t="s">
        <v>948</v>
      </c>
      <c r="I439" s="353" t="s">
        <v>150</v>
      </c>
      <c r="J439" s="57">
        <v>45783</v>
      </c>
      <c r="K439" s="11"/>
      <c r="L439" s="353" t="s">
        <v>19</v>
      </c>
    </row>
    <row r="440" spans="1:12" hidden="1">
      <c r="A440" s="353" t="s">
        <v>13</v>
      </c>
      <c r="B440" s="7" t="s">
        <v>930</v>
      </c>
      <c r="C440" s="103" t="s">
        <v>949</v>
      </c>
      <c r="D440" s="57">
        <v>45762</v>
      </c>
      <c r="F440" s="353" t="s">
        <v>16</v>
      </c>
      <c r="G440" s="11">
        <v>846.19</v>
      </c>
      <c r="H440" s="353" t="s">
        <v>951</v>
      </c>
      <c r="I440" s="353" t="s">
        <v>150</v>
      </c>
      <c r="J440" s="57">
        <v>45800</v>
      </c>
      <c r="K440" s="11"/>
      <c r="L440" s="353" t="s">
        <v>19</v>
      </c>
    </row>
    <row r="441" spans="1:12" hidden="1">
      <c r="A441" s="353" t="s">
        <v>13</v>
      </c>
      <c r="B441" s="7" t="s">
        <v>930</v>
      </c>
      <c r="C441" s="103" t="s">
        <v>952</v>
      </c>
      <c r="D441" s="57">
        <v>45777</v>
      </c>
      <c r="F441" s="353" t="s">
        <v>16</v>
      </c>
      <c r="G441" s="11">
        <v>615.79999999999995</v>
      </c>
      <c r="H441" s="353" t="s">
        <v>954</v>
      </c>
      <c r="I441" s="353" t="s">
        <v>150</v>
      </c>
      <c r="J441" s="57">
        <v>45824</v>
      </c>
      <c r="K441" s="11"/>
      <c r="L441" s="353" t="s">
        <v>19</v>
      </c>
    </row>
    <row r="442" spans="1:12" hidden="1">
      <c r="A442" s="353" t="s">
        <v>13</v>
      </c>
      <c r="B442" s="7" t="s">
        <v>930</v>
      </c>
      <c r="C442" s="103" t="s">
        <v>955</v>
      </c>
      <c r="D442" s="57">
        <v>45792</v>
      </c>
      <c r="F442" s="353" t="s">
        <v>16</v>
      </c>
      <c r="G442" s="11">
        <v>568.62</v>
      </c>
      <c r="H442" s="353" t="s">
        <v>957</v>
      </c>
      <c r="I442" s="353" t="s">
        <v>150</v>
      </c>
      <c r="J442" s="57">
        <v>45831</v>
      </c>
      <c r="K442" s="11"/>
      <c r="L442" s="353" t="s">
        <v>19</v>
      </c>
    </row>
    <row r="443" spans="1:12" hidden="1">
      <c r="A443" s="353" t="s">
        <v>13</v>
      </c>
      <c r="B443" s="7" t="s">
        <v>930</v>
      </c>
      <c r="C443" s="103" t="s">
        <v>958</v>
      </c>
      <c r="D443" s="57">
        <v>45808</v>
      </c>
      <c r="E443" s="57">
        <v>45829</v>
      </c>
      <c r="F443" s="353" t="s">
        <v>16</v>
      </c>
      <c r="G443" s="11">
        <v>942.34</v>
      </c>
      <c r="H443" s="353" t="s">
        <v>960</v>
      </c>
      <c r="I443" s="353" t="s">
        <v>150</v>
      </c>
      <c r="J443" s="57"/>
      <c r="K443" s="11"/>
      <c r="L443" s="353" t="s">
        <v>19</v>
      </c>
    </row>
    <row r="444" spans="1:12" hidden="1">
      <c r="A444" s="353" t="s">
        <v>13</v>
      </c>
      <c r="B444" s="7" t="s">
        <v>930</v>
      </c>
      <c r="C444" s="103" t="s">
        <v>961</v>
      </c>
      <c r="D444" s="57">
        <v>45823</v>
      </c>
      <c r="F444" s="353" t="s">
        <v>16</v>
      </c>
      <c r="G444" s="11">
        <v>579.76</v>
      </c>
      <c r="H444" s="353" t="s">
        <v>963</v>
      </c>
      <c r="I444" s="353" t="s">
        <v>964</v>
      </c>
      <c r="J444" s="57"/>
      <c r="K444" s="11"/>
      <c r="L444" s="353" t="s">
        <v>19</v>
      </c>
    </row>
    <row r="445" spans="1:12" hidden="1">
      <c r="A445" s="353" t="s">
        <v>13</v>
      </c>
      <c r="B445" s="7" t="s">
        <v>930</v>
      </c>
      <c r="C445" s="103" t="s">
        <v>965</v>
      </c>
      <c r="D445" s="57">
        <v>45838</v>
      </c>
      <c r="F445" s="353" t="s">
        <v>16</v>
      </c>
      <c r="G445" s="11">
        <v>738.19</v>
      </c>
      <c r="H445" s="353" t="s">
        <v>967</v>
      </c>
      <c r="I445" s="353" t="s">
        <v>968</v>
      </c>
      <c r="J445" s="57">
        <v>45858</v>
      </c>
      <c r="K445" s="11"/>
      <c r="L445" s="353" t="s">
        <v>19</v>
      </c>
    </row>
    <row r="446" spans="1:12" hidden="1">
      <c r="A446" s="353" t="s">
        <v>13</v>
      </c>
      <c r="B446" s="7" t="s">
        <v>930</v>
      </c>
      <c r="C446" s="103" t="s">
        <v>969</v>
      </c>
      <c r="D446" s="57">
        <v>45853</v>
      </c>
      <c r="F446" s="353" t="s">
        <v>16</v>
      </c>
      <c r="G446" s="11">
        <v>1247.81</v>
      </c>
      <c r="H446" s="353" t="s">
        <v>971</v>
      </c>
      <c r="I446" s="353" t="s">
        <v>150</v>
      </c>
      <c r="J446" s="57">
        <v>45874</v>
      </c>
      <c r="K446" s="11"/>
      <c r="L446" s="353" t="s">
        <v>19</v>
      </c>
    </row>
    <row r="447" spans="1:12" hidden="1">
      <c r="A447" s="353" t="s">
        <v>13</v>
      </c>
      <c r="B447" s="7" t="s">
        <v>930</v>
      </c>
      <c r="C447" s="103" t="s">
        <v>972</v>
      </c>
      <c r="D447" s="57">
        <v>45869</v>
      </c>
      <c r="F447" s="353" t="s">
        <v>16</v>
      </c>
      <c r="G447" s="11">
        <v>986.36</v>
      </c>
      <c r="H447" s="353" t="s">
        <v>974</v>
      </c>
      <c r="I447" s="353" t="s">
        <v>150</v>
      </c>
      <c r="J447" s="57">
        <v>45889</v>
      </c>
      <c r="K447" s="11"/>
      <c r="L447" s="353" t="s">
        <v>19</v>
      </c>
    </row>
    <row r="448" spans="1:12" hidden="1">
      <c r="A448" s="353" t="s">
        <v>13</v>
      </c>
      <c r="B448" s="7" t="s">
        <v>930</v>
      </c>
      <c r="C448" s="103" t="s">
        <v>975</v>
      </c>
      <c r="D448" s="57">
        <v>45884</v>
      </c>
      <c r="F448" s="353" t="s">
        <v>16</v>
      </c>
      <c r="G448" s="11">
        <v>1157.67</v>
      </c>
      <c r="H448" s="353" t="s">
        <v>977</v>
      </c>
      <c r="I448" s="353" t="s">
        <v>150</v>
      </c>
      <c r="J448" s="57">
        <v>45905</v>
      </c>
      <c r="K448" s="11"/>
      <c r="L448" s="353" t="s">
        <v>19</v>
      </c>
    </row>
    <row r="449" spans="1:12" hidden="1">
      <c r="A449" s="353" t="s">
        <v>13</v>
      </c>
      <c r="B449" s="7" t="s">
        <v>930</v>
      </c>
      <c r="C449" s="103" t="s">
        <v>978</v>
      </c>
      <c r="D449" s="57">
        <v>45900</v>
      </c>
      <c r="F449" s="353" t="s">
        <v>16</v>
      </c>
      <c r="G449" s="11">
        <v>748.7</v>
      </c>
      <c r="H449" s="353" t="s">
        <v>980</v>
      </c>
      <c r="I449" s="353" t="s">
        <v>154</v>
      </c>
      <c r="J449" s="57">
        <v>45920</v>
      </c>
      <c r="K449" s="11"/>
      <c r="L449" s="353" t="s">
        <v>19</v>
      </c>
    </row>
    <row r="450" spans="1:12" hidden="1">
      <c r="A450" s="353" t="s">
        <v>13</v>
      </c>
      <c r="B450" s="7" t="s">
        <v>930</v>
      </c>
      <c r="C450" s="103" t="s">
        <v>981</v>
      </c>
      <c r="D450" s="57">
        <v>45915</v>
      </c>
      <c r="F450" s="353" t="s">
        <v>16</v>
      </c>
      <c r="G450" s="11">
        <v>662.09</v>
      </c>
      <c r="H450" s="353" t="s">
        <v>983</v>
      </c>
      <c r="I450" s="353" t="s">
        <v>150</v>
      </c>
      <c r="J450" s="57">
        <v>45935</v>
      </c>
      <c r="K450" s="11"/>
      <c r="L450" s="353" t="s">
        <v>19</v>
      </c>
    </row>
    <row r="451" spans="1:12" hidden="1">
      <c r="A451" s="353" t="s">
        <v>13</v>
      </c>
      <c r="B451" s="7" t="s">
        <v>930</v>
      </c>
      <c r="C451" s="103" t="s">
        <v>984</v>
      </c>
      <c r="D451" s="57">
        <v>45930</v>
      </c>
      <c r="F451" s="353" t="s">
        <v>16</v>
      </c>
      <c r="G451" s="11">
        <v>620.88</v>
      </c>
      <c r="H451" s="353" t="s">
        <v>986</v>
      </c>
      <c r="I451" s="353" t="s">
        <v>154</v>
      </c>
      <c r="J451" s="57">
        <v>45950</v>
      </c>
      <c r="K451" s="11"/>
      <c r="L451" s="353" t="s">
        <v>19</v>
      </c>
    </row>
    <row r="452" spans="1:12" hidden="1">
      <c r="A452" s="353" t="s">
        <v>13</v>
      </c>
      <c r="B452" s="7" t="s">
        <v>930</v>
      </c>
      <c r="C452" s="103" t="s">
        <v>987</v>
      </c>
      <c r="D452" s="57">
        <v>45961</v>
      </c>
      <c r="E452" s="57">
        <v>45960</v>
      </c>
      <c r="F452" s="353" t="s">
        <v>16</v>
      </c>
      <c r="G452" s="11">
        <v>758.4</v>
      </c>
      <c r="H452" s="353" t="s">
        <v>988</v>
      </c>
      <c r="I452" s="353" t="s">
        <v>154</v>
      </c>
      <c r="J452" s="57"/>
      <c r="K452" s="11"/>
      <c r="L452" s="353" t="s">
        <v>19</v>
      </c>
    </row>
    <row r="453" spans="1:12" hidden="1">
      <c r="A453" s="353" t="s">
        <v>13</v>
      </c>
      <c r="B453" s="7" t="s">
        <v>930</v>
      </c>
      <c r="C453" s="103" t="s">
        <v>989</v>
      </c>
      <c r="D453" s="57">
        <v>45976</v>
      </c>
      <c r="E453" s="57">
        <v>45976</v>
      </c>
      <c r="F453" s="353" t="s">
        <v>16</v>
      </c>
      <c r="G453" s="11">
        <v>415.6</v>
      </c>
      <c r="H453" s="353" t="s">
        <v>990</v>
      </c>
      <c r="I453" s="353" t="s">
        <v>154</v>
      </c>
      <c r="J453" s="57"/>
      <c r="K453" s="11"/>
      <c r="L453" s="353" t="s">
        <v>19</v>
      </c>
    </row>
    <row r="454" spans="1:12" hidden="1">
      <c r="A454" s="353" t="s">
        <v>13</v>
      </c>
      <c r="B454" s="7" t="s">
        <v>930</v>
      </c>
      <c r="C454" s="103" t="s">
        <v>991</v>
      </c>
      <c r="D454" s="57">
        <v>45991</v>
      </c>
      <c r="E454" s="57">
        <v>45991</v>
      </c>
      <c r="F454" s="353" t="s">
        <v>16</v>
      </c>
      <c r="G454" s="11">
        <v>764.62</v>
      </c>
      <c r="H454" s="353"/>
      <c r="I454" s="353" t="s">
        <v>154</v>
      </c>
      <c r="J454" s="57"/>
      <c r="K454" s="11"/>
      <c r="L454" s="353" t="s">
        <v>19</v>
      </c>
    </row>
    <row r="455" spans="1:12" hidden="1">
      <c r="A455" s="353" t="s">
        <v>13</v>
      </c>
      <c r="B455" s="7" t="s">
        <v>930</v>
      </c>
      <c r="C455" s="103" t="s">
        <v>992</v>
      </c>
      <c r="D455" s="57">
        <v>46006</v>
      </c>
      <c r="E455" s="57">
        <v>46006</v>
      </c>
      <c r="F455" s="353" t="s">
        <v>16</v>
      </c>
      <c r="G455" s="11">
        <v>560.03</v>
      </c>
      <c r="H455" s="353" t="s">
        <v>3381</v>
      </c>
      <c r="I455" s="353" t="s">
        <v>154</v>
      </c>
      <c r="J455" s="57">
        <v>46006</v>
      </c>
      <c r="K455" s="11"/>
      <c r="L455" s="353" t="s">
        <v>19</v>
      </c>
    </row>
    <row r="456" spans="1:12" hidden="1">
      <c r="A456" s="353" t="s">
        <v>13</v>
      </c>
      <c r="B456" s="7" t="s">
        <v>930</v>
      </c>
      <c r="C456" s="103" t="s">
        <v>3327</v>
      </c>
      <c r="D456" s="57">
        <v>46022</v>
      </c>
      <c r="E456" s="57">
        <v>46022</v>
      </c>
      <c r="F456" s="353" t="s">
        <v>16</v>
      </c>
      <c r="G456" s="11">
        <v>741.56</v>
      </c>
      <c r="H456" s="353" t="s">
        <v>993</v>
      </c>
      <c r="I456" s="353" t="s">
        <v>154</v>
      </c>
      <c r="J456" s="57">
        <v>46022</v>
      </c>
      <c r="K456" s="11"/>
      <c r="L456" s="353" t="s">
        <v>19</v>
      </c>
    </row>
    <row r="457" spans="1:12" hidden="1">
      <c r="A457" s="353" t="s">
        <v>13</v>
      </c>
      <c r="B457" s="7" t="s">
        <v>930</v>
      </c>
      <c r="C457" s="103" t="s">
        <v>4121</v>
      </c>
      <c r="D457" s="57">
        <v>46037</v>
      </c>
      <c r="E457" s="57">
        <v>46037</v>
      </c>
      <c r="F457" s="353" t="s">
        <v>16</v>
      </c>
      <c r="G457" s="11">
        <v>672.99</v>
      </c>
      <c r="H457" s="353" t="s">
        <v>4161</v>
      </c>
      <c r="I457" s="353" t="s">
        <v>154</v>
      </c>
      <c r="J457" s="57">
        <v>46037</v>
      </c>
      <c r="K457" s="11"/>
      <c r="L457" s="353" t="s">
        <v>19</v>
      </c>
    </row>
    <row r="458" spans="1:12" hidden="1">
      <c r="A458" s="353" t="s">
        <v>13</v>
      </c>
      <c r="B458" s="7" t="s">
        <v>930</v>
      </c>
      <c r="C458" s="103" t="s">
        <v>4256</v>
      </c>
      <c r="D458" s="57">
        <v>46053</v>
      </c>
      <c r="E458" s="57">
        <v>46053</v>
      </c>
      <c r="F458" s="353" t="s">
        <v>16</v>
      </c>
      <c r="G458" s="11">
        <v>883.87</v>
      </c>
      <c r="H458" s="353" t="s">
        <v>4278</v>
      </c>
      <c r="I458" s="353" t="s">
        <v>154</v>
      </c>
      <c r="J458" s="57">
        <v>46053</v>
      </c>
      <c r="K458" s="11"/>
      <c r="L458" s="353" t="s">
        <v>19</v>
      </c>
    </row>
    <row r="459" spans="1:12" hidden="1">
      <c r="A459" s="353" t="s">
        <v>13</v>
      </c>
      <c r="B459" s="7" t="s">
        <v>930</v>
      </c>
      <c r="C459" s="103" t="s">
        <v>4279</v>
      </c>
      <c r="D459" s="57">
        <v>46068</v>
      </c>
      <c r="E459" s="57">
        <v>46068</v>
      </c>
      <c r="F459" s="353" t="s">
        <v>16</v>
      </c>
      <c r="G459" s="11">
        <v>561.80999999999995</v>
      </c>
      <c r="H459" s="353" t="s">
        <v>4280</v>
      </c>
      <c r="I459" s="353" t="s">
        <v>154</v>
      </c>
      <c r="J459" s="57"/>
      <c r="K459" s="11"/>
      <c r="L459" s="353" t="s">
        <v>19</v>
      </c>
    </row>
    <row r="460" spans="1:12" hidden="1">
      <c r="A460" s="353" t="s">
        <v>13</v>
      </c>
      <c r="B460" s="7" t="s">
        <v>930</v>
      </c>
      <c r="C460" s="103" t="s">
        <v>4330</v>
      </c>
      <c r="D460" s="57">
        <v>46081</v>
      </c>
      <c r="E460" s="57">
        <v>46081</v>
      </c>
      <c r="F460" s="353" t="s">
        <v>16</v>
      </c>
      <c r="G460" s="11">
        <v>550.69000000000005</v>
      </c>
      <c r="H460" s="353" t="s">
        <v>4339</v>
      </c>
      <c r="I460" s="353" t="s">
        <v>4340</v>
      </c>
      <c r="J460" s="57">
        <v>46081</v>
      </c>
      <c r="K460" s="11"/>
      <c r="L460" s="353" t="s">
        <v>19</v>
      </c>
    </row>
    <row r="461" spans="1:12" hidden="1">
      <c r="A461" s="353"/>
      <c r="B461" s="7" t="s">
        <v>994</v>
      </c>
      <c r="C461" s="103" t="s">
        <v>995</v>
      </c>
      <c r="D461" s="57">
        <v>45747</v>
      </c>
      <c r="E461" s="57">
        <v>45807</v>
      </c>
      <c r="F461" s="353"/>
      <c r="G461" s="11">
        <v>1660.42</v>
      </c>
      <c r="H461" s="353"/>
      <c r="I461" s="353"/>
      <c r="J461" s="57"/>
      <c r="K461" s="11"/>
      <c r="L461" s="353"/>
    </row>
    <row r="462" spans="1:12" hidden="1">
      <c r="A462" s="353"/>
      <c r="B462" s="7" t="s">
        <v>994</v>
      </c>
      <c r="C462" s="103" t="s">
        <v>997</v>
      </c>
      <c r="D462" s="57">
        <v>45777</v>
      </c>
      <c r="F462" s="353"/>
      <c r="G462" s="11">
        <v>180.56</v>
      </c>
      <c r="H462" s="353"/>
      <c r="I462" s="353"/>
      <c r="J462" s="57"/>
      <c r="K462" s="11"/>
      <c r="L462" s="353"/>
    </row>
    <row r="463" spans="1:12" hidden="1">
      <c r="A463" s="353"/>
      <c r="B463" s="7" t="s">
        <v>994</v>
      </c>
      <c r="C463" s="103" t="s">
        <v>999</v>
      </c>
      <c r="D463" s="57">
        <v>45808</v>
      </c>
      <c r="F463" s="353"/>
      <c r="G463" s="11">
        <v>890.6</v>
      </c>
      <c r="H463" s="353"/>
      <c r="I463" s="353"/>
      <c r="J463" s="57"/>
      <c r="K463" s="11"/>
      <c r="L463" s="353" t="s">
        <v>1001</v>
      </c>
    </row>
    <row r="464" spans="1:12" hidden="1">
      <c r="A464" s="353"/>
      <c r="B464" s="7" t="s">
        <v>1002</v>
      </c>
      <c r="C464" s="103" t="s">
        <v>526</v>
      </c>
      <c r="D464" s="57">
        <v>45832</v>
      </c>
      <c r="F464" s="353" t="s">
        <v>16</v>
      </c>
      <c r="G464" s="11">
        <v>405.01</v>
      </c>
      <c r="H464" s="353"/>
      <c r="I464" s="353"/>
      <c r="J464" s="57"/>
      <c r="K464" s="11"/>
      <c r="L464" s="353" t="s">
        <v>1001</v>
      </c>
    </row>
    <row r="465" spans="1:12" hidden="1">
      <c r="A465" s="353"/>
      <c r="B465" s="7" t="s">
        <v>1002</v>
      </c>
      <c r="C465" s="103" t="s">
        <v>1004</v>
      </c>
      <c r="D465" s="57">
        <v>45838</v>
      </c>
      <c r="F465" s="353" t="s">
        <v>16</v>
      </c>
      <c r="G465" s="11">
        <v>180</v>
      </c>
      <c r="H465" s="353"/>
      <c r="I465" s="353" t="s">
        <v>794</v>
      </c>
      <c r="J465" s="57"/>
      <c r="K465" s="11"/>
      <c r="L465" s="353"/>
    </row>
    <row r="466" spans="1:12" hidden="1">
      <c r="A466" s="353"/>
      <c r="B466" s="7" t="s">
        <v>1006</v>
      </c>
      <c r="C466" s="103" t="s">
        <v>1007</v>
      </c>
      <c r="D466" s="57">
        <v>45677</v>
      </c>
      <c r="F466" s="353" t="s">
        <v>16</v>
      </c>
      <c r="G466" s="11">
        <v>427</v>
      </c>
      <c r="H466" s="353"/>
      <c r="I466" s="353" t="s">
        <v>56</v>
      </c>
      <c r="J466" s="57"/>
      <c r="K466" s="11"/>
      <c r="L466" s="353"/>
    </row>
    <row r="467" spans="1:12" hidden="1">
      <c r="A467" s="353"/>
      <c r="B467" s="7" t="s">
        <v>1006</v>
      </c>
      <c r="C467" s="103" t="s">
        <v>1009</v>
      </c>
      <c r="D467" s="57">
        <v>45404</v>
      </c>
      <c r="F467" s="353" t="s">
        <v>16</v>
      </c>
      <c r="G467" s="11">
        <v>854</v>
      </c>
      <c r="H467" s="353" t="s">
        <v>1010</v>
      </c>
      <c r="I467" s="353"/>
      <c r="J467" s="57"/>
      <c r="K467" s="11"/>
      <c r="L467" s="353"/>
    </row>
    <row r="468" spans="1:12" hidden="1">
      <c r="A468" s="353"/>
      <c r="B468" s="7" t="s">
        <v>1006</v>
      </c>
      <c r="C468" s="103" t="s">
        <v>1011</v>
      </c>
      <c r="D468" s="57">
        <v>45412</v>
      </c>
      <c r="F468" s="353" t="s">
        <v>16</v>
      </c>
      <c r="G468" s="11">
        <v>329.4</v>
      </c>
      <c r="H468" s="353" t="s">
        <v>1013</v>
      </c>
      <c r="I468" s="353" t="s">
        <v>56</v>
      </c>
      <c r="J468" s="57"/>
      <c r="K468" s="11"/>
      <c r="L468" s="353"/>
    </row>
    <row r="469" spans="1:12" hidden="1">
      <c r="A469" s="353"/>
      <c r="B469" s="7" t="s">
        <v>1006</v>
      </c>
      <c r="C469" s="103" t="s">
        <v>1014</v>
      </c>
      <c r="D469" s="57">
        <v>45443</v>
      </c>
      <c r="F469" s="353" t="s">
        <v>16</v>
      </c>
      <c r="G469" s="11">
        <v>854</v>
      </c>
      <c r="H469" s="353" t="s">
        <v>1016</v>
      </c>
      <c r="I469" s="353" t="s">
        <v>56</v>
      </c>
      <c r="J469" s="57">
        <v>45709</v>
      </c>
      <c r="K469" s="11">
        <v>10000</v>
      </c>
      <c r="L469" s="353" t="s">
        <v>111</v>
      </c>
    </row>
    <row r="470" spans="1:12" hidden="1">
      <c r="A470" s="353"/>
      <c r="B470" s="7" t="s">
        <v>1006</v>
      </c>
      <c r="E470" s="57">
        <v>45606</v>
      </c>
      <c r="F470" s="353" t="s">
        <v>16</v>
      </c>
      <c r="G470" s="11">
        <v>5000</v>
      </c>
      <c r="H470" s="353"/>
      <c r="I470" s="353"/>
      <c r="J470" s="57">
        <v>45709</v>
      </c>
      <c r="K470" s="11">
        <v>10000</v>
      </c>
      <c r="L470" s="353" t="s">
        <v>111</v>
      </c>
    </row>
    <row r="471" spans="1:12" hidden="1">
      <c r="A471" s="353"/>
      <c r="B471" s="7" t="s">
        <v>1006</v>
      </c>
      <c r="E471" s="57">
        <v>45636</v>
      </c>
      <c r="F471" s="353" t="s">
        <v>16</v>
      </c>
      <c r="G471" s="11">
        <v>5000</v>
      </c>
      <c r="H471" s="353"/>
      <c r="I471" s="353"/>
      <c r="J471" s="57">
        <v>45826</v>
      </c>
      <c r="K471" s="11">
        <v>25000</v>
      </c>
      <c r="L471" s="353"/>
    </row>
    <row r="472" spans="1:12" hidden="1">
      <c r="A472" s="353"/>
      <c r="B472" s="7" t="s">
        <v>1006</v>
      </c>
      <c r="E472" s="57">
        <v>45682</v>
      </c>
      <c r="F472" s="353" t="s">
        <v>16</v>
      </c>
      <c r="G472" s="11">
        <v>77000</v>
      </c>
      <c r="H472" s="353"/>
      <c r="I472" s="353" t="s">
        <v>56</v>
      </c>
      <c r="J472" s="57"/>
      <c r="K472" s="11"/>
      <c r="L472" s="353"/>
    </row>
    <row r="473" spans="1:12" hidden="1">
      <c r="A473" s="353"/>
      <c r="B473" s="7" t="s">
        <v>1006</v>
      </c>
      <c r="C473" s="103" t="s">
        <v>1017</v>
      </c>
      <c r="D473" s="57">
        <v>45535</v>
      </c>
      <c r="E473" s="57">
        <v>45545</v>
      </c>
      <c r="F473" s="353" t="s">
        <v>16</v>
      </c>
      <c r="G473" s="11">
        <v>854</v>
      </c>
      <c r="H473" s="353" t="s">
        <v>1019</v>
      </c>
      <c r="I473" s="353" t="s">
        <v>56</v>
      </c>
      <c r="J473" s="57" t="s">
        <v>1020</v>
      </c>
      <c r="K473" s="11"/>
      <c r="L473" s="353"/>
    </row>
    <row r="474" spans="1:12" hidden="1">
      <c r="A474" s="353"/>
      <c r="B474" s="7" t="s">
        <v>1006</v>
      </c>
      <c r="C474" s="103" t="s">
        <v>1021</v>
      </c>
      <c r="D474" s="57">
        <v>45616</v>
      </c>
      <c r="E474" s="57">
        <v>45636</v>
      </c>
      <c r="F474" s="353" t="s">
        <v>16</v>
      </c>
      <c r="G474" s="11">
        <v>1281</v>
      </c>
      <c r="H474" s="353" t="s">
        <v>1023</v>
      </c>
      <c r="I474" s="353" t="s">
        <v>56</v>
      </c>
      <c r="J474" s="57"/>
      <c r="K474" s="11"/>
      <c r="L474" s="353"/>
    </row>
    <row r="475" spans="1:12" hidden="1">
      <c r="A475" s="353"/>
      <c r="B475" s="7" t="s">
        <v>1006</v>
      </c>
      <c r="C475" s="103" t="s">
        <v>1024</v>
      </c>
      <c r="D475" s="57">
        <v>45653</v>
      </c>
      <c r="E475" s="57">
        <v>45667</v>
      </c>
      <c r="F475" s="353" t="s">
        <v>16</v>
      </c>
      <c r="G475" s="11">
        <v>427</v>
      </c>
      <c r="H475" s="353"/>
      <c r="I475" s="353" t="s">
        <v>56</v>
      </c>
      <c r="J475" s="57"/>
      <c r="K475" s="11"/>
      <c r="L475" s="353"/>
    </row>
    <row r="476" spans="1:12" hidden="1">
      <c r="A476" s="353"/>
      <c r="B476" s="7" t="s">
        <v>1006</v>
      </c>
      <c r="C476" s="103" t="s">
        <v>1026</v>
      </c>
      <c r="D476" s="57">
        <v>45716</v>
      </c>
      <c r="E476" s="57">
        <v>45726</v>
      </c>
      <c r="F476" s="353" t="s">
        <v>16</v>
      </c>
      <c r="G476" s="11">
        <v>-328.18</v>
      </c>
      <c r="H476" s="353"/>
      <c r="I476" s="353" t="s">
        <v>56</v>
      </c>
      <c r="J476" s="57"/>
      <c r="K476" s="11"/>
      <c r="L476" s="353"/>
    </row>
    <row r="477" spans="1:12" hidden="1">
      <c r="A477" s="353"/>
      <c r="B477" s="7" t="s">
        <v>1006</v>
      </c>
      <c r="C477" s="103" t="s">
        <v>1028</v>
      </c>
      <c r="D477" s="57">
        <v>45869</v>
      </c>
      <c r="E477" s="57">
        <v>45879</v>
      </c>
      <c r="F477" s="353"/>
      <c r="G477" s="11">
        <v>2745</v>
      </c>
      <c r="H477" s="353" t="s">
        <v>1030</v>
      </c>
      <c r="I477" s="353" t="s">
        <v>56</v>
      </c>
      <c r="J477" s="57">
        <v>45685</v>
      </c>
      <c r="K477" s="11">
        <v>1742.19</v>
      </c>
      <c r="L477" s="353" t="s">
        <v>111</v>
      </c>
    </row>
    <row r="478" spans="1:12" hidden="1">
      <c r="A478" s="353"/>
      <c r="B478" s="7" t="s">
        <v>1006</v>
      </c>
      <c r="C478" s="103" t="s">
        <v>1031</v>
      </c>
      <c r="D478" s="57">
        <v>45900</v>
      </c>
      <c r="E478" s="57">
        <v>45910</v>
      </c>
      <c r="F478" s="353"/>
      <c r="G478" s="11">
        <v>427</v>
      </c>
      <c r="H478" s="353" t="s">
        <v>1033</v>
      </c>
      <c r="I478" s="353" t="s">
        <v>56</v>
      </c>
      <c r="J478" s="57"/>
      <c r="K478" s="11"/>
      <c r="L478" s="353"/>
    </row>
    <row r="479" spans="1:12" hidden="1">
      <c r="A479" s="353"/>
      <c r="B479" s="7" t="s">
        <v>1006</v>
      </c>
      <c r="C479" s="103" t="s">
        <v>1034</v>
      </c>
      <c r="D479" s="57">
        <v>45917</v>
      </c>
      <c r="E479" s="57">
        <v>45940</v>
      </c>
      <c r="F479" s="353" t="s">
        <v>16</v>
      </c>
      <c r="G479" s="11">
        <v>11598.83</v>
      </c>
      <c r="H479" s="353" t="s">
        <v>1036</v>
      </c>
      <c r="I479" s="353" t="s">
        <v>66</v>
      </c>
      <c r="J479" s="57"/>
      <c r="K479" s="11"/>
      <c r="L479" s="353"/>
    </row>
    <row r="480" spans="1:12" hidden="1">
      <c r="A480" s="353"/>
      <c r="B480" s="7" t="s">
        <v>1006</v>
      </c>
      <c r="C480" s="103" t="s">
        <v>1037</v>
      </c>
      <c r="D480" s="57">
        <v>45930</v>
      </c>
      <c r="E480" s="57">
        <v>45940</v>
      </c>
      <c r="F480" s="353"/>
      <c r="G480" s="11">
        <v>854</v>
      </c>
      <c r="H480" s="353" t="s">
        <v>692</v>
      </c>
      <c r="I480" s="353" t="s">
        <v>56</v>
      </c>
      <c r="J480" s="57"/>
      <c r="K480" s="11"/>
      <c r="L480" s="353"/>
    </row>
    <row r="481" spans="1:12" hidden="1">
      <c r="A481" s="353"/>
      <c r="B481" s="7" t="s">
        <v>1006</v>
      </c>
      <c r="C481" s="103" t="s">
        <v>1039</v>
      </c>
      <c r="D481" s="57">
        <v>45930</v>
      </c>
      <c r="E481" s="57">
        <v>46001</v>
      </c>
      <c r="F481" s="353"/>
      <c r="G481" s="11">
        <v>2598.6</v>
      </c>
      <c r="H481" s="353" t="s">
        <v>1041</v>
      </c>
      <c r="I481" s="353" t="s">
        <v>125</v>
      </c>
      <c r="J481" s="57"/>
      <c r="K481" s="11"/>
      <c r="L481" s="353"/>
    </row>
    <row r="482" spans="1:12" hidden="1">
      <c r="A482" s="353" t="s">
        <v>316</v>
      </c>
      <c r="B482" s="7" t="s">
        <v>1006</v>
      </c>
      <c r="C482" s="103" t="s">
        <v>1042</v>
      </c>
      <c r="D482" s="57">
        <v>45950</v>
      </c>
      <c r="E482" s="57">
        <v>45971</v>
      </c>
      <c r="F482" s="353"/>
      <c r="G482" s="11">
        <v>854</v>
      </c>
      <c r="H482" s="353" t="s">
        <v>1043</v>
      </c>
      <c r="I482" s="353" t="s">
        <v>1044</v>
      </c>
      <c r="J482" s="57">
        <v>45971</v>
      </c>
      <c r="K482" s="11">
        <v>854</v>
      </c>
      <c r="L482" s="353"/>
    </row>
    <row r="483" spans="1:12" hidden="1">
      <c r="A483" s="353" t="s">
        <v>13</v>
      </c>
      <c r="B483" s="7" t="s">
        <v>1006</v>
      </c>
      <c r="C483" s="103" t="s">
        <v>1045</v>
      </c>
      <c r="D483" s="57">
        <v>45991</v>
      </c>
      <c r="E483" s="57">
        <v>46001</v>
      </c>
      <c r="F483" s="353"/>
      <c r="G483" s="11">
        <v>427</v>
      </c>
      <c r="H483" s="353" t="s">
        <v>1046</v>
      </c>
      <c r="I483" s="353" t="s">
        <v>354</v>
      </c>
      <c r="J483" s="57">
        <v>46001</v>
      </c>
      <c r="K483" s="11">
        <v>427</v>
      </c>
      <c r="L483" s="353"/>
    </row>
    <row r="484" spans="1:12" hidden="1">
      <c r="A484" s="353" t="s">
        <v>13</v>
      </c>
      <c r="B484" s="7" t="s">
        <v>1006</v>
      </c>
      <c r="C484" s="103" t="s">
        <v>1712</v>
      </c>
      <c r="D484" s="57">
        <v>46042</v>
      </c>
      <c r="E484" s="57">
        <v>46063</v>
      </c>
      <c r="F484" s="353"/>
      <c r="G484" s="11">
        <v>427</v>
      </c>
      <c r="H484" s="353" t="s">
        <v>4281</v>
      </c>
      <c r="I484" s="353" t="s">
        <v>354</v>
      </c>
      <c r="J484" s="57">
        <v>46063</v>
      </c>
      <c r="K484" s="11">
        <v>427</v>
      </c>
      <c r="L484" s="353"/>
    </row>
    <row r="485" spans="1:12" hidden="1">
      <c r="A485" s="353" t="s">
        <v>566</v>
      </c>
      <c r="B485" s="7" t="s">
        <v>1047</v>
      </c>
      <c r="C485" s="103" t="s">
        <v>1048</v>
      </c>
      <c r="D485" s="57">
        <v>45793</v>
      </c>
      <c r="F485" s="353"/>
      <c r="G485" s="11">
        <v>3669.14</v>
      </c>
      <c r="H485" s="353" t="s">
        <v>1050</v>
      </c>
      <c r="I485" s="353" t="s">
        <v>56</v>
      </c>
      <c r="J485" s="57">
        <v>45685</v>
      </c>
      <c r="K485" s="11">
        <v>1742.19</v>
      </c>
      <c r="L485" s="353" t="s">
        <v>111</v>
      </c>
    </row>
    <row r="486" spans="1:12" hidden="1">
      <c r="A486" s="353" t="s">
        <v>566</v>
      </c>
      <c r="B486" s="7" t="s">
        <v>1047</v>
      </c>
      <c r="C486" s="103" t="s">
        <v>1051</v>
      </c>
      <c r="D486" s="57">
        <v>45866</v>
      </c>
      <c r="F486" s="353"/>
      <c r="G486" s="11">
        <v>4760.8599999999997</v>
      </c>
      <c r="H486" s="353" t="s">
        <v>1053</v>
      </c>
      <c r="I486" s="353" t="s">
        <v>66</v>
      </c>
      <c r="J486" s="57"/>
      <c r="K486" s="11"/>
      <c r="L486" s="353"/>
    </row>
    <row r="487" spans="1:12" hidden="1">
      <c r="A487" s="353" t="s">
        <v>13</v>
      </c>
      <c r="B487" s="7" t="s">
        <v>1047</v>
      </c>
      <c r="C487" s="103" t="s">
        <v>1054</v>
      </c>
      <c r="D487" s="57">
        <v>45947</v>
      </c>
      <c r="F487" s="353" t="s">
        <v>16</v>
      </c>
      <c r="G487" s="11">
        <v>4500</v>
      </c>
      <c r="H487" s="353" t="s">
        <v>1055</v>
      </c>
      <c r="I487" s="353"/>
      <c r="J487" s="57"/>
      <c r="K487" s="11"/>
      <c r="L487" s="353"/>
    </row>
    <row r="488" spans="1:12" hidden="1">
      <c r="A488" s="353" t="s">
        <v>13</v>
      </c>
      <c r="B488" s="7" t="s">
        <v>1047</v>
      </c>
      <c r="C488" s="103" t="s">
        <v>1056</v>
      </c>
      <c r="D488" s="57">
        <v>45964</v>
      </c>
      <c r="F488" s="353" t="s">
        <v>16</v>
      </c>
      <c r="G488" s="11">
        <v>2087.4899999999998</v>
      </c>
      <c r="H488" s="353" t="s">
        <v>1057</v>
      </c>
      <c r="I488" s="353"/>
      <c r="J488" s="57"/>
      <c r="K488" s="11"/>
      <c r="L488" s="353"/>
    </row>
    <row r="489" spans="1:12" hidden="1">
      <c r="A489" s="353" t="s">
        <v>13</v>
      </c>
      <c r="B489" s="7" t="s">
        <v>1047</v>
      </c>
      <c r="C489" s="103" t="s">
        <v>1058</v>
      </c>
      <c r="D489" s="57">
        <v>45964</v>
      </c>
      <c r="F489" s="353" t="s">
        <v>16</v>
      </c>
      <c r="G489" s="11">
        <v>2412.5100000000002</v>
      </c>
      <c r="H489" s="353" t="s">
        <v>1059</v>
      </c>
      <c r="I489" s="353"/>
      <c r="J489" s="57"/>
      <c r="K489" s="11"/>
      <c r="L489" s="353" t="s">
        <v>1060</v>
      </c>
    </row>
    <row r="490" spans="1:12" hidden="1">
      <c r="A490" s="353" t="s">
        <v>13</v>
      </c>
      <c r="B490" s="7" t="s">
        <v>1047</v>
      </c>
      <c r="C490" s="103" t="s">
        <v>3301</v>
      </c>
      <c r="F490" s="353"/>
      <c r="G490" s="11">
        <v>0</v>
      </c>
      <c r="H490" s="353" t="s">
        <v>1062</v>
      </c>
      <c r="I490" s="353"/>
      <c r="J490" s="57"/>
      <c r="K490" s="11"/>
      <c r="L490" s="353"/>
    </row>
    <row r="491" spans="1:12" hidden="1">
      <c r="A491" s="353" t="s">
        <v>13</v>
      </c>
      <c r="B491" s="7" t="s">
        <v>1047</v>
      </c>
      <c r="C491" s="103" t="s">
        <v>1063</v>
      </c>
      <c r="D491" s="57">
        <v>45686</v>
      </c>
      <c r="F491" s="353" t="s">
        <v>16</v>
      </c>
      <c r="G491" s="11">
        <v>5559.07</v>
      </c>
      <c r="H491" s="353" t="s">
        <v>1064</v>
      </c>
      <c r="I491" s="353" t="s">
        <v>83</v>
      </c>
      <c r="J491" s="57">
        <v>45946</v>
      </c>
      <c r="K491" s="11">
        <v>4500</v>
      </c>
      <c r="L491" s="353" t="s">
        <v>819</v>
      </c>
    </row>
    <row r="492" spans="1:12" hidden="1">
      <c r="A492" s="353" t="s">
        <v>13</v>
      </c>
      <c r="B492" s="7" t="s">
        <v>1047</v>
      </c>
      <c r="C492" s="103" t="s">
        <v>1065</v>
      </c>
      <c r="D492" s="57">
        <v>45686</v>
      </c>
      <c r="F492" s="353" t="s">
        <v>16</v>
      </c>
      <c r="G492" s="11">
        <v>5210.62</v>
      </c>
      <c r="H492" s="353" t="s">
        <v>1064</v>
      </c>
      <c r="I492" s="353" t="s">
        <v>83</v>
      </c>
      <c r="J492" s="57">
        <v>45961</v>
      </c>
      <c r="K492" s="11">
        <v>4500</v>
      </c>
      <c r="L492" s="353" t="s">
        <v>1066</v>
      </c>
    </row>
    <row r="493" spans="1:12" hidden="1">
      <c r="A493" s="353" t="s">
        <v>4282</v>
      </c>
      <c r="B493" s="7" t="s">
        <v>1047</v>
      </c>
      <c r="C493" s="103" t="s">
        <v>4283</v>
      </c>
      <c r="D493" s="57">
        <v>46073</v>
      </c>
      <c r="F493" s="353"/>
      <c r="G493" s="11">
        <v>5139.8599999999997</v>
      </c>
      <c r="H493" s="353" t="s">
        <v>4284</v>
      </c>
      <c r="I493" s="353" t="s">
        <v>83</v>
      </c>
      <c r="J493" s="57"/>
      <c r="K493" s="11">
        <v>5139</v>
      </c>
      <c r="L493" s="353"/>
    </row>
    <row r="494" spans="1:12" hidden="1">
      <c r="A494" s="353" t="s">
        <v>13</v>
      </c>
      <c r="B494" s="7" t="s">
        <v>1067</v>
      </c>
      <c r="C494" s="103" t="s">
        <v>1068</v>
      </c>
      <c r="D494" s="57">
        <v>45804</v>
      </c>
      <c r="F494" s="353" t="s">
        <v>16</v>
      </c>
      <c r="G494" s="11">
        <v>74</v>
      </c>
      <c r="H494" s="353" t="s">
        <v>457</v>
      </c>
      <c r="I494" s="353" t="s">
        <v>215</v>
      </c>
      <c r="J494" s="57"/>
      <c r="K494" s="11"/>
      <c r="L494" s="353"/>
    </row>
    <row r="495" spans="1:12" hidden="1">
      <c r="A495" s="353" t="s">
        <v>13</v>
      </c>
      <c r="B495" s="7" t="s">
        <v>1070</v>
      </c>
      <c r="C495" s="103" t="s">
        <v>1071</v>
      </c>
      <c r="D495" s="57">
        <v>45815</v>
      </c>
      <c r="E495" s="57">
        <v>45817</v>
      </c>
      <c r="F495" s="353" t="s">
        <v>16</v>
      </c>
      <c r="G495" s="11">
        <v>638.14</v>
      </c>
      <c r="H495" s="353" t="s">
        <v>889</v>
      </c>
      <c r="I495" s="353" t="s">
        <v>215</v>
      </c>
      <c r="J495" s="57"/>
      <c r="K495" s="11"/>
      <c r="L495" s="353"/>
    </row>
    <row r="496" spans="1:12" hidden="1">
      <c r="A496" s="353" t="s">
        <v>13</v>
      </c>
      <c r="B496" s="7" t="s">
        <v>1070</v>
      </c>
      <c r="C496" s="103" t="s">
        <v>1073</v>
      </c>
      <c r="D496" s="57">
        <v>45840</v>
      </c>
      <c r="F496" s="353" t="s">
        <v>16</v>
      </c>
      <c r="G496" s="11">
        <v>809.7</v>
      </c>
      <c r="H496" s="353" t="s">
        <v>885</v>
      </c>
      <c r="I496" s="353" t="s">
        <v>1001</v>
      </c>
      <c r="J496" s="57"/>
      <c r="K496" s="11"/>
      <c r="L496" s="353"/>
    </row>
    <row r="497" spans="1:12" hidden="1">
      <c r="A497" s="353" t="s">
        <v>13</v>
      </c>
      <c r="B497" s="7" t="s">
        <v>1070</v>
      </c>
      <c r="C497" s="103" t="s">
        <v>1075</v>
      </c>
      <c r="D497" s="57">
        <v>45854</v>
      </c>
      <c r="F497" s="353" t="s">
        <v>16</v>
      </c>
      <c r="G497" s="11">
        <v>1216.9000000000001</v>
      </c>
      <c r="H497" s="353" t="s">
        <v>885</v>
      </c>
      <c r="I497" s="353" t="s">
        <v>886</v>
      </c>
      <c r="J497" s="57"/>
      <c r="K497" s="11"/>
      <c r="L497" s="353"/>
    </row>
    <row r="498" spans="1:12" hidden="1">
      <c r="A498" s="353" t="s">
        <v>13</v>
      </c>
      <c r="B498" s="7" t="s">
        <v>1070</v>
      </c>
      <c r="C498" s="103" t="s">
        <v>1077</v>
      </c>
      <c r="D498" s="57">
        <v>45868</v>
      </c>
      <c r="F498" s="353" t="s">
        <v>16</v>
      </c>
      <c r="G498" s="11">
        <v>119.88</v>
      </c>
      <c r="H498" s="353" t="s">
        <v>218</v>
      </c>
      <c r="I498" s="353" t="s">
        <v>1001</v>
      </c>
      <c r="J498" s="57">
        <v>45853</v>
      </c>
      <c r="K498" s="11">
        <v>150.01</v>
      </c>
      <c r="L498" s="353"/>
    </row>
    <row r="499" spans="1:12" hidden="1">
      <c r="A499" s="353" t="s">
        <v>13</v>
      </c>
      <c r="B499" s="7" t="s">
        <v>1070</v>
      </c>
      <c r="C499" s="103" t="s">
        <v>1079</v>
      </c>
      <c r="D499" s="57">
        <v>45880</v>
      </c>
      <c r="F499" s="353" t="s">
        <v>16</v>
      </c>
      <c r="G499" s="11">
        <v>157.35</v>
      </c>
      <c r="H499" s="353" t="s">
        <v>349</v>
      </c>
      <c r="I499" s="353" t="s">
        <v>1001</v>
      </c>
      <c r="J499" s="57"/>
      <c r="K499" s="11"/>
      <c r="L499" s="353"/>
    </row>
    <row r="500" spans="1:12" hidden="1">
      <c r="A500" s="353" t="s">
        <v>13</v>
      </c>
      <c r="B500" s="7" t="s">
        <v>1070</v>
      </c>
      <c r="C500" s="103" t="s">
        <v>1081</v>
      </c>
      <c r="D500" s="57">
        <v>45966</v>
      </c>
      <c r="E500" s="57">
        <v>45966</v>
      </c>
      <c r="F500" s="353" t="s">
        <v>16</v>
      </c>
      <c r="G500" s="11">
        <v>65.95</v>
      </c>
      <c r="H500" s="353" t="s">
        <v>373</v>
      </c>
      <c r="I500" s="353" t="s">
        <v>1001</v>
      </c>
      <c r="J500" s="57"/>
      <c r="K500" s="11"/>
      <c r="L500" s="353"/>
    </row>
    <row r="501" spans="1:12" hidden="1">
      <c r="A501" s="353" t="s">
        <v>13</v>
      </c>
      <c r="B501" s="7" t="s">
        <v>1070</v>
      </c>
      <c r="C501" s="103" t="s">
        <v>1082</v>
      </c>
      <c r="D501" s="57">
        <v>45966</v>
      </c>
      <c r="E501" s="57">
        <v>45966</v>
      </c>
      <c r="F501" s="353" t="s">
        <v>16</v>
      </c>
      <c r="G501" s="11">
        <v>91</v>
      </c>
      <c r="H501" s="353" t="s">
        <v>373</v>
      </c>
      <c r="I501" s="353" t="s">
        <v>1001</v>
      </c>
      <c r="J501" s="57"/>
      <c r="K501" s="11"/>
      <c r="L501" s="353"/>
    </row>
    <row r="502" spans="1:12" hidden="1">
      <c r="A502" s="353" t="s">
        <v>13</v>
      </c>
      <c r="B502" s="7" t="s">
        <v>1070</v>
      </c>
      <c r="C502" s="103" t="s">
        <v>1083</v>
      </c>
      <c r="D502" s="57">
        <v>45982</v>
      </c>
      <c r="E502" s="57">
        <v>45982</v>
      </c>
      <c r="F502" s="353" t="s">
        <v>16</v>
      </c>
      <c r="G502" s="11">
        <v>121.53</v>
      </c>
      <c r="H502" s="353" t="s">
        <v>373</v>
      </c>
      <c r="I502" s="353" t="s">
        <v>1084</v>
      </c>
      <c r="J502" s="57">
        <v>45982</v>
      </c>
      <c r="K502" s="11">
        <v>121.53</v>
      </c>
      <c r="L502" s="353" t="s">
        <v>1085</v>
      </c>
    </row>
    <row r="503" spans="1:12" hidden="1">
      <c r="A503" s="353" t="s">
        <v>13</v>
      </c>
      <c r="B503" s="7" t="s">
        <v>1070</v>
      </c>
      <c r="C503" s="103" t="s">
        <v>1086</v>
      </c>
      <c r="D503" s="57">
        <v>45985</v>
      </c>
      <c r="E503" s="57">
        <v>45985</v>
      </c>
      <c r="F503" s="353" t="s">
        <v>16</v>
      </c>
      <c r="G503" s="11">
        <v>355.82</v>
      </c>
      <c r="H503" s="353" t="s">
        <v>373</v>
      </c>
      <c r="I503" s="353" t="s">
        <v>1084</v>
      </c>
      <c r="J503" s="57">
        <v>45985</v>
      </c>
      <c r="K503" s="11">
        <v>355.82</v>
      </c>
      <c r="L503" s="353" t="s">
        <v>1085</v>
      </c>
    </row>
    <row r="504" spans="1:12" hidden="1">
      <c r="A504" s="353" t="s">
        <v>13</v>
      </c>
      <c r="B504" s="7" t="s">
        <v>1070</v>
      </c>
      <c r="C504" s="103" t="s">
        <v>1087</v>
      </c>
      <c r="D504" s="57">
        <v>45995</v>
      </c>
      <c r="E504" s="57">
        <v>45995</v>
      </c>
      <c r="F504" s="353" t="s">
        <v>16</v>
      </c>
      <c r="G504" s="11">
        <v>39.89</v>
      </c>
      <c r="H504" s="353" t="s">
        <v>373</v>
      </c>
      <c r="I504" s="353" t="s">
        <v>47</v>
      </c>
      <c r="J504" s="57">
        <v>45995</v>
      </c>
      <c r="K504" s="11">
        <v>39.89</v>
      </c>
      <c r="L504" s="353" t="s">
        <v>1085</v>
      </c>
    </row>
    <row r="505" spans="1:12" hidden="1">
      <c r="A505" s="353" t="s">
        <v>1088</v>
      </c>
      <c r="B505" s="7" t="s">
        <v>1070</v>
      </c>
      <c r="C505" s="103" t="s">
        <v>1089</v>
      </c>
      <c r="D505" s="57">
        <v>46002</v>
      </c>
      <c r="E505" s="57">
        <v>46002</v>
      </c>
      <c r="F505" s="353" t="s">
        <v>16</v>
      </c>
      <c r="G505" s="11">
        <v>51.33</v>
      </c>
      <c r="H505" s="353" t="s">
        <v>1088</v>
      </c>
      <c r="I505" s="353"/>
      <c r="J505" s="57"/>
      <c r="K505" s="11"/>
      <c r="L505" s="353"/>
    </row>
    <row r="506" spans="1:12" hidden="1">
      <c r="A506" s="353"/>
      <c r="B506" s="7" t="s">
        <v>1090</v>
      </c>
      <c r="C506" s="103" t="s">
        <v>1091</v>
      </c>
      <c r="D506" s="57">
        <v>45672</v>
      </c>
      <c r="E506" s="57">
        <v>45732</v>
      </c>
      <c r="F506" s="353" t="s">
        <v>16</v>
      </c>
      <c r="G506" s="11">
        <v>150.01</v>
      </c>
      <c r="H506" s="353" t="s">
        <v>1093</v>
      </c>
      <c r="I506" s="353" t="s">
        <v>56</v>
      </c>
      <c r="J506" s="57"/>
      <c r="K506" s="11"/>
      <c r="L506" s="353"/>
    </row>
    <row r="507" spans="1:12" hidden="1">
      <c r="A507" s="353" t="s">
        <v>13</v>
      </c>
      <c r="B507" s="7" t="s">
        <v>1090</v>
      </c>
      <c r="C507" s="103" t="s">
        <v>1094</v>
      </c>
      <c r="D507" s="57">
        <v>45974</v>
      </c>
      <c r="F507" s="353" t="s">
        <v>16</v>
      </c>
      <c r="G507" s="11">
        <v>114.68</v>
      </c>
      <c r="H507" s="353" t="s">
        <v>46</v>
      </c>
      <c r="I507" s="353" t="s">
        <v>83</v>
      </c>
      <c r="J507" s="57"/>
      <c r="K507" s="11"/>
      <c r="L507" s="353"/>
    </row>
    <row r="508" spans="1:12" hidden="1">
      <c r="A508" s="353"/>
      <c r="B508" s="7" t="s">
        <v>1095</v>
      </c>
      <c r="C508" s="103" t="s">
        <v>1096</v>
      </c>
      <c r="D508" s="57">
        <v>45686</v>
      </c>
      <c r="F508" s="353" t="s">
        <v>16</v>
      </c>
      <c r="G508" s="11">
        <v>26.5</v>
      </c>
      <c r="H508" s="353" t="s">
        <v>519</v>
      </c>
      <c r="I508" s="353" t="s">
        <v>751</v>
      </c>
      <c r="J508" s="57"/>
      <c r="K508" s="11"/>
      <c r="L508" s="353"/>
    </row>
    <row r="509" spans="1:12" hidden="1">
      <c r="A509" s="353"/>
      <c r="B509" s="7" t="s">
        <v>1095</v>
      </c>
      <c r="C509" s="103" t="s">
        <v>1098</v>
      </c>
      <c r="D509" s="57">
        <v>45761</v>
      </c>
      <c r="F509" s="353" t="s">
        <v>16</v>
      </c>
      <c r="G509" s="11">
        <v>24.5</v>
      </c>
      <c r="H509" s="353" t="s">
        <v>457</v>
      </c>
      <c r="I509" s="353" t="s">
        <v>215</v>
      </c>
      <c r="J509" s="57"/>
      <c r="K509" s="11"/>
      <c r="L509" s="353"/>
    </row>
    <row r="510" spans="1:12" hidden="1">
      <c r="A510" s="353"/>
      <c r="B510" s="7" t="s">
        <v>1095</v>
      </c>
      <c r="C510" s="103" t="s">
        <v>1100</v>
      </c>
      <c r="D510" s="57">
        <v>45825</v>
      </c>
      <c r="F510" s="353" t="s">
        <v>16</v>
      </c>
      <c r="G510" s="11">
        <v>25.5</v>
      </c>
      <c r="H510" s="353" t="s">
        <v>457</v>
      </c>
      <c r="I510" s="353" t="s">
        <v>215</v>
      </c>
      <c r="J510" s="57"/>
      <c r="K510" s="11"/>
      <c r="L510" s="353"/>
    </row>
    <row r="511" spans="1:12" hidden="1">
      <c r="A511" s="353" t="s">
        <v>13</v>
      </c>
      <c r="B511" s="7" t="s">
        <v>1102</v>
      </c>
      <c r="C511" s="103" t="s">
        <v>1103</v>
      </c>
      <c r="D511" s="57">
        <v>45688</v>
      </c>
      <c r="E511" s="57">
        <v>45748</v>
      </c>
      <c r="F511" s="353" t="s">
        <v>16</v>
      </c>
      <c r="G511" s="11">
        <v>7210.99</v>
      </c>
      <c r="H511" s="353" t="s">
        <v>1105</v>
      </c>
      <c r="I511" s="353" t="s">
        <v>56</v>
      </c>
      <c r="J511" s="57">
        <v>45730</v>
      </c>
      <c r="K511" s="11">
        <v>5000</v>
      </c>
      <c r="L511" s="353" t="s">
        <v>111</v>
      </c>
    </row>
    <row r="512" spans="1:12" hidden="1">
      <c r="A512" s="353" t="s">
        <v>13</v>
      </c>
      <c r="B512" s="7" t="s">
        <v>1102</v>
      </c>
      <c r="C512" s="103" t="s">
        <v>1103</v>
      </c>
      <c r="D512" s="57">
        <v>45688</v>
      </c>
      <c r="E512" s="57">
        <v>45748</v>
      </c>
      <c r="F512" s="353" t="s">
        <v>16</v>
      </c>
      <c r="G512" s="11">
        <v>7210.99</v>
      </c>
      <c r="H512" s="353" t="s">
        <v>1106</v>
      </c>
      <c r="I512" s="353" t="s">
        <v>56</v>
      </c>
      <c r="J512" s="57">
        <v>45945</v>
      </c>
      <c r="K512" s="11">
        <v>2210</v>
      </c>
      <c r="L512" s="353" t="s">
        <v>1107</v>
      </c>
    </row>
    <row r="513" spans="1:12" hidden="1">
      <c r="A513" s="353" t="s">
        <v>13</v>
      </c>
      <c r="B513" s="7" t="s">
        <v>1102</v>
      </c>
      <c r="C513" s="103" t="s">
        <v>1108</v>
      </c>
      <c r="D513" s="57">
        <v>45716</v>
      </c>
      <c r="F513" s="353" t="s">
        <v>16</v>
      </c>
      <c r="G513" s="11">
        <v>1837.86</v>
      </c>
      <c r="H513" s="353" t="s">
        <v>1110</v>
      </c>
      <c r="I513" s="353" t="s">
        <v>56</v>
      </c>
      <c r="J513" s="57">
        <v>45960</v>
      </c>
      <c r="K513" s="11">
        <v>2024</v>
      </c>
      <c r="L513" s="353" t="s">
        <v>1111</v>
      </c>
    </row>
    <row r="514" spans="1:12" hidden="1">
      <c r="A514" s="353" t="s">
        <v>13</v>
      </c>
      <c r="B514" s="7" t="s">
        <v>1102</v>
      </c>
      <c r="C514" s="103" t="s">
        <v>1112</v>
      </c>
      <c r="D514" s="57">
        <v>45747</v>
      </c>
      <c r="F514" s="353" t="s">
        <v>16</v>
      </c>
      <c r="G514" s="11">
        <v>3010.07</v>
      </c>
      <c r="H514" s="353" t="s">
        <v>436</v>
      </c>
      <c r="I514" s="353" t="s">
        <v>56</v>
      </c>
      <c r="J514" s="57">
        <v>45960</v>
      </c>
      <c r="K514" s="11"/>
      <c r="L514" s="353"/>
    </row>
    <row r="515" spans="1:12" hidden="1">
      <c r="A515" s="353" t="s">
        <v>13</v>
      </c>
      <c r="B515" s="7" t="s">
        <v>1102</v>
      </c>
      <c r="C515" s="103" t="s">
        <v>1114</v>
      </c>
      <c r="D515" s="57">
        <v>45924</v>
      </c>
      <c r="E515" s="57">
        <v>45924</v>
      </c>
      <c r="F515" s="353" t="s">
        <v>16</v>
      </c>
      <c r="G515" s="11">
        <v>865.96</v>
      </c>
      <c r="H515" s="353" t="s">
        <v>1116</v>
      </c>
      <c r="I515" s="353" t="s">
        <v>56</v>
      </c>
      <c r="J515" s="57"/>
      <c r="K515" s="11">
        <v>186.1400000000001</v>
      </c>
      <c r="L515" s="353"/>
    </row>
    <row r="516" spans="1:12" hidden="1">
      <c r="A516" s="353" t="s">
        <v>13</v>
      </c>
      <c r="B516" s="7" t="s">
        <v>1102</v>
      </c>
      <c r="C516" s="103" t="s">
        <v>1114</v>
      </c>
      <c r="D516" s="57">
        <v>45924</v>
      </c>
      <c r="E516" s="57">
        <v>45924</v>
      </c>
      <c r="F516" s="353" t="s">
        <v>16</v>
      </c>
      <c r="G516" s="11">
        <v>679.82</v>
      </c>
      <c r="H516" s="353" t="s">
        <v>1116</v>
      </c>
      <c r="I516" s="353" t="s">
        <v>75</v>
      </c>
      <c r="J516" s="57">
        <v>46045</v>
      </c>
      <c r="K516" s="11">
        <v>679.82</v>
      </c>
      <c r="L516" s="353" t="s">
        <v>394</v>
      </c>
    </row>
    <row r="517" spans="1:12" hidden="1">
      <c r="A517" s="353" t="s">
        <v>13</v>
      </c>
      <c r="B517" s="7" t="s">
        <v>1102</v>
      </c>
      <c r="C517" s="103" t="s">
        <v>1117</v>
      </c>
      <c r="D517" s="57">
        <v>45930</v>
      </c>
      <c r="E517" s="57">
        <v>45930</v>
      </c>
      <c r="F517" s="353" t="s">
        <v>16</v>
      </c>
      <c r="G517" s="11">
        <v>-3010.07</v>
      </c>
      <c r="H517" s="353" t="s">
        <v>1119</v>
      </c>
      <c r="I517" s="353" t="s">
        <v>66</v>
      </c>
      <c r="J517" s="57"/>
      <c r="K517" s="11"/>
      <c r="L517" s="353"/>
    </row>
    <row r="518" spans="1:12" hidden="1">
      <c r="A518" s="353" t="s">
        <v>566</v>
      </c>
      <c r="B518" s="7" t="s">
        <v>1120</v>
      </c>
      <c r="C518" s="103" t="s">
        <v>1121</v>
      </c>
      <c r="D518" s="57">
        <v>45649</v>
      </c>
      <c r="E518" s="57">
        <v>45716</v>
      </c>
      <c r="F518" s="353" t="s">
        <v>16</v>
      </c>
      <c r="G518" s="11">
        <v>1236.1199999999999</v>
      </c>
      <c r="H518" s="353" t="s">
        <v>1123</v>
      </c>
      <c r="I518" s="353" t="s">
        <v>56</v>
      </c>
      <c r="J518" s="57">
        <v>45730</v>
      </c>
      <c r="K518" s="11">
        <v>1236.1199999999999</v>
      </c>
      <c r="L518" s="353" t="s">
        <v>627</v>
      </c>
    </row>
    <row r="519" spans="1:12" hidden="1">
      <c r="A519" s="353" t="s">
        <v>634</v>
      </c>
      <c r="B519" s="7" t="s">
        <v>1120</v>
      </c>
      <c r="C519" s="103" t="s">
        <v>1124</v>
      </c>
      <c r="D519" s="57">
        <v>45716</v>
      </c>
      <c r="E519" s="57">
        <v>45777</v>
      </c>
      <c r="F519" s="353" t="s">
        <v>16</v>
      </c>
      <c r="G519" s="11">
        <v>563.63</v>
      </c>
      <c r="H519" s="353" t="s">
        <v>1126</v>
      </c>
      <c r="I519" s="353" t="s">
        <v>66</v>
      </c>
      <c r="J519" s="57">
        <v>45868</v>
      </c>
      <c r="K519" s="11">
        <v>563.63</v>
      </c>
      <c r="L519" s="353" t="s">
        <v>394</v>
      </c>
    </row>
    <row r="520" spans="1:12" hidden="1">
      <c r="A520" s="353" t="s">
        <v>634</v>
      </c>
      <c r="B520" s="7" t="s">
        <v>1120</v>
      </c>
      <c r="C520" s="103" t="s">
        <v>1127</v>
      </c>
      <c r="D520" s="57">
        <v>45747</v>
      </c>
      <c r="E520" s="57">
        <v>45807</v>
      </c>
      <c r="F520" s="353" t="s">
        <v>16</v>
      </c>
      <c r="G520" s="11">
        <v>2300.9</v>
      </c>
      <c r="H520" s="353" t="s">
        <v>1129</v>
      </c>
      <c r="I520" s="353" t="s">
        <v>56</v>
      </c>
      <c r="J520" s="57">
        <v>45868</v>
      </c>
      <c r="K520" s="11">
        <v>2300.9</v>
      </c>
      <c r="L520" s="353" t="s">
        <v>394</v>
      </c>
    </row>
    <row r="521" spans="1:12" hidden="1">
      <c r="A521" s="353" t="s">
        <v>634</v>
      </c>
      <c r="B521" s="7" t="s">
        <v>1120</v>
      </c>
      <c r="C521" s="103" t="s">
        <v>1130</v>
      </c>
      <c r="D521" s="57">
        <v>45859</v>
      </c>
      <c r="E521" s="57">
        <v>45930</v>
      </c>
      <c r="F521" s="353" t="s">
        <v>16</v>
      </c>
      <c r="G521" s="11">
        <v>2409.5500000000002</v>
      </c>
      <c r="H521" s="353" t="s">
        <v>1132</v>
      </c>
      <c r="I521" s="353" t="s">
        <v>56</v>
      </c>
      <c r="J521" s="57">
        <v>45950</v>
      </c>
      <c r="K521" s="11">
        <v>2409.5500000000002</v>
      </c>
      <c r="L521" s="353" t="s">
        <v>246</v>
      </c>
    </row>
    <row r="522" spans="1:12" hidden="1">
      <c r="A522" s="353"/>
      <c r="B522" s="7" t="s">
        <v>1120</v>
      </c>
      <c r="C522" s="103" t="s">
        <v>3329</v>
      </c>
      <c r="D522" s="57">
        <v>46014</v>
      </c>
      <c r="E522" s="57">
        <v>46014</v>
      </c>
      <c r="F522" s="353"/>
      <c r="G522" s="11">
        <v>10027.799999999999</v>
      </c>
      <c r="H522" s="353" t="s">
        <v>1132</v>
      </c>
      <c r="I522" s="353" t="s">
        <v>83</v>
      </c>
      <c r="J522" s="57"/>
      <c r="K522" s="11"/>
      <c r="L522" s="353"/>
    </row>
    <row r="523" spans="1:12" hidden="1">
      <c r="A523" s="353" t="s">
        <v>13</v>
      </c>
      <c r="B523" s="7" t="s">
        <v>1133</v>
      </c>
      <c r="C523" s="103" t="s">
        <v>1134</v>
      </c>
      <c r="D523" s="57">
        <v>45965</v>
      </c>
      <c r="E523" s="57">
        <v>45965</v>
      </c>
      <c r="F523" s="353" t="s">
        <v>16</v>
      </c>
      <c r="G523" s="11">
        <v>110</v>
      </c>
      <c r="H523" s="353" t="s">
        <v>1135</v>
      </c>
      <c r="I523" s="353" t="s">
        <v>425</v>
      </c>
      <c r="J523" s="57">
        <v>45965</v>
      </c>
      <c r="K523" s="11">
        <v>110</v>
      </c>
      <c r="L523" s="353" t="s">
        <v>425</v>
      </c>
    </row>
    <row r="524" spans="1:12" hidden="1">
      <c r="A524" s="353" t="s">
        <v>13</v>
      </c>
      <c r="B524" s="7" t="s">
        <v>1136</v>
      </c>
      <c r="C524" s="103" t="s">
        <v>1137</v>
      </c>
      <c r="D524" s="57">
        <v>45815</v>
      </c>
      <c r="E524" s="57">
        <v>45815</v>
      </c>
      <c r="F524" s="353" t="s">
        <v>16</v>
      </c>
      <c r="G524" s="11">
        <v>48.5</v>
      </c>
      <c r="H524" s="353" t="s">
        <v>42</v>
      </c>
      <c r="I524" s="353" t="s">
        <v>56</v>
      </c>
      <c r="J524" s="57">
        <v>45733</v>
      </c>
      <c r="K524" s="11"/>
      <c r="L524" s="353"/>
    </row>
    <row r="525" spans="1:12" hidden="1">
      <c r="A525" s="353" t="s">
        <v>13</v>
      </c>
      <c r="B525" s="7" t="s">
        <v>1136</v>
      </c>
      <c r="C525" s="103" t="s">
        <v>1139</v>
      </c>
      <c r="D525" s="57">
        <v>45988</v>
      </c>
      <c r="E525" s="57">
        <v>45988</v>
      </c>
      <c r="F525" s="353" t="s">
        <v>16</v>
      </c>
      <c r="G525" s="11">
        <v>59</v>
      </c>
      <c r="H525" s="353" t="s">
        <v>1140</v>
      </c>
      <c r="I525" s="353" t="s">
        <v>1141</v>
      </c>
      <c r="J525" s="57">
        <v>45988</v>
      </c>
      <c r="K525" s="11">
        <v>59</v>
      </c>
      <c r="L525" s="353" t="s">
        <v>1085</v>
      </c>
    </row>
    <row r="526" spans="1:12" hidden="1">
      <c r="A526" s="353" t="s">
        <v>13</v>
      </c>
      <c r="B526" s="7" t="s">
        <v>1142</v>
      </c>
      <c r="C526" s="103" t="s">
        <v>1143</v>
      </c>
      <c r="D526" s="57">
        <v>45952</v>
      </c>
      <c r="E526" s="57">
        <v>45952</v>
      </c>
      <c r="F526" s="353" t="s">
        <v>16</v>
      </c>
      <c r="G526" s="11">
        <v>2500</v>
      </c>
      <c r="H526" s="353" t="s">
        <v>1144</v>
      </c>
      <c r="I526" s="353" t="s">
        <v>354</v>
      </c>
      <c r="J526" s="57">
        <v>45951</v>
      </c>
      <c r="K526" s="11">
        <v>2500</v>
      </c>
      <c r="L526" s="353" t="s">
        <v>394</v>
      </c>
    </row>
    <row r="527" spans="1:12" hidden="1">
      <c r="A527" s="353" t="s">
        <v>90</v>
      </c>
      <c r="B527" s="7" t="s">
        <v>4162</v>
      </c>
      <c r="C527" s="103" t="s">
        <v>4163</v>
      </c>
      <c r="D527" s="57">
        <v>46006</v>
      </c>
      <c r="E527" s="57">
        <v>46010</v>
      </c>
      <c r="F527" s="353"/>
      <c r="G527" s="11">
        <v>6145.6</v>
      </c>
      <c r="H527" s="353" t="s">
        <v>4164</v>
      </c>
      <c r="I527" s="353" t="s">
        <v>83</v>
      </c>
      <c r="J527" s="57"/>
      <c r="K527" s="11">
        <v>6145.6</v>
      </c>
      <c r="L527" s="353"/>
    </row>
    <row r="528" spans="1:12" hidden="1">
      <c r="A528" s="353" t="s">
        <v>634</v>
      </c>
      <c r="B528" s="7" t="s">
        <v>1145</v>
      </c>
      <c r="C528" s="103" t="s">
        <v>1146</v>
      </c>
      <c r="D528" s="57">
        <v>45930</v>
      </c>
      <c r="E528" s="57">
        <v>45991</v>
      </c>
      <c r="F528" s="353" t="s">
        <v>16</v>
      </c>
      <c r="G528" s="11">
        <v>187.31</v>
      </c>
      <c r="H528" s="353" t="s">
        <v>1148</v>
      </c>
      <c r="I528" s="353" t="s">
        <v>110</v>
      </c>
      <c r="J528" s="57">
        <v>45988</v>
      </c>
      <c r="K528" s="11">
        <v>187.31</v>
      </c>
      <c r="L528" s="353" t="s">
        <v>394</v>
      </c>
    </row>
    <row r="529" spans="1:12" hidden="1">
      <c r="A529" s="353"/>
      <c r="B529" s="7" t="s">
        <v>1149</v>
      </c>
      <c r="C529" s="103" t="s">
        <v>338</v>
      </c>
      <c r="D529" s="57">
        <v>45670</v>
      </c>
      <c r="E529" s="57">
        <v>45747</v>
      </c>
      <c r="F529" s="353" t="s">
        <v>16</v>
      </c>
      <c r="G529" s="11">
        <v>3770.8</v>
      </c>
      <c r="H529" s="353" t="s">
        <v>312</v>
      </c>
      <c r="I529" s="353" t="s">
        <v>56</v>
      </c>
      <c r="J529" s="57">
        <v>45815</v>
      </c>
      <c r="K529" s="11" t="s">
        <v>111</v>
      </c>
      <c r="L529" s="353"/>
    </row>
    <row r="530" spans="1:12" hidden="1">
      <c r="A530" s="353"/>
      <c r="B530" s="7" t="s">
        <v>1149</v>
      </c>
      <c r="C530" s="103" t="s">
        <v>719</v>
      </c>
      <c r="D530" s="57">
        <v>45705</v>
      </c>
      <c r="E530" s="57">
        <v>45765</v>
      </c>
      <c r="F530" s="353" t="s">
        <v>16</v>
      </c>
      <c r="G530" s="11">
        <v>1734</v>
      </c>
      <c r="H530" s="353" t="s">
        <v>312</v>
      </c>
      <c r="I530" s="353" t="s">
        <v>56</v>
      </c>
      <c r="J530" s="57"/>
      <c r="K530" s="11"/>
      <c r="L530" s="353"/>
    </row>
    <row r="531" spans="1:12" hidden="1">
      <c r="A531" s="353"/>
      <c r="B531" s="7" t="s">
        <v>1152</v>
      </c>
      <c r="C531" s="103" t="s">
        <v>1153</v>
      </c>
      <c r="D531" s="57">
        <v>45841</v>
      </c>
      <c r="F531" s="353" t="s">
        <v>16</v>
      </c>
      <c r="G531" s="11">
        <v>204.48</v>
      </c>
      <c r="H531" s="353" t="s">
        <v>1155</v>
      </c>
      <c r="I531" s="353" t="s">
        <v>1001</v>
      </c>
      <c r="J531" s="57"/>
      <c r="K531" s="11"/>
      <c r="L531" s="353"/>
    </row>
    <row r="532" spans="1:12" hidden="1">
      <c r="A532" s="353"/>
      <c r="B532" s="7" t="s">
        <v>1156</v>
      </c>
      <c r="C532" s="103" t="s">
        <v>1157</v>
      </c>
      <c r="D532" s="57">
        <v>45847</v>
      </c>
      <c r="E532" s="57">
        <v>45847</v>
      </c>
      <c r="F532" s="353" t="s">
        <v>16</v>
      </c>
      <c r="G532" s="11">
        <v>39.99</v>
      </c>
      <c r="H532" s="353" t="s">
        <v>1001</v>
      </c>
      <c r="I532" s="353" t="s">
        <v>350</v>
      </c>
      <c r="J532" s="57"/>
      <c r="K532" s="11"/>
      <c r="L532" s="353"/>
    </row>
    <row r="533" spans="1:12" hidden="1">
      <c r="A533" s="353"/>
      <c r="B533" s="7" t="s">
        <v>1156</v>
      </c>
      <c r="C533" s="103" t="s">
        <v>1159</v>
      </c>
      <c r="D533" s="57">
        <v>45847</v>
      </c>
      <c r="E533" s="57">
        <v>45847</v>
      </c>
      <c r="F533" s="353" t="s">
        <v>16</v>
      </c>
      <c r="G533" s="11">
        <v>304.98</v>
      </c>
      <c r="H533" s="353" t="s">
        <v>1001</v>
      </c>
      <c r="I533" s="353" t="s">
        <v>215</v>
      </c>
      <c r="J533" s="57"/>
      <c r="K533" s="11"/>
      <c r="L533" s="353"/>
    </row>
    <row r="534" spans="1:12" hidden="1">
      <c r="A534" s="353"/>
      <c r="B534" s="7" t="s">
        <v>1161</v>
      </c>
      <c r="C534" s="103" t="s">
        <v>1162</v>
      </c>
      <c r="D534" s="57">
        <v>45761</v>
      </c>
      <c r="F534" s="353" t="s">
        <v>16</v>
      </c>
      <c r="G534" s="11">
        <v>52</v>
      </c>
      <c r="H534" s="353" t="s">
        <v>42</v>
      </c>
      <c r="I534" s="353" t="s">
        <v>794</v>
      </c>
      <c r="J534" s="57"/>
      <c r="K534" s="11"/>
      <c r="L534" s="353"/>
    </row>
    <row r="535" spans="1:12" hidden="1">
      <c r="A535" s="353"/>
      <c r="B535" s="7" t="s">
        <v>1161</v>
      </c>
      <c r="C535" s="103" t="s">
        <v>1164</v>
      </c>
      <c r="D535" s="57">
        <v>45789</v>
      </c>
      <c r="F535" s="353" t="s">
        <v>16</v>
      </c>
      <c r="G535" s="11">
        <v>26</v>
      </c>
      <c r="H535" s="353" t="s">
        <v>457</v>
      </c>
      <c r="I535" s="353" t="s">
        <v>794</v>
      </c>
      <c r="J535" s="57"/>
      <c r="K535" s="11"/>
      <c r="L535" s="353"/>
    </row>
    <row r="536" spans="1:12" hidden="1">
      <c r="A536" s="353"/>
      <c r="B536" s="7" t="s">
        <v>1166</v>
      </c>
      <c r="C536" s="103" t="s">
        <v>1167</v>
      </c>
      <c r="D536" s="57">
        <v>45673</v>
      </c>
      <c r="E536" s="57">
        <v>45688</v>
      </c>
      <c r="F536" s="353" t="s">
        <v>16</v>
      </c>
      <c r="G536" s="11">
        <v>1176.4100000000001</v>
      </c>
      <c r="H536" s="353" t="s">
        <v>1093</v>
      </c>
      <c r="I536" s="353" t="s">
        <v>150</v>
      </c>
      <c r="J536" s="57"/>
      <c r="K536" s="11"/>
      <c r="L536" s="353"/>
    </row>
    <row r="537" spans="1:12" hidden="1">
      <c r="A537" s="353"/>
      <c r="B537" s="7" t="s">
        <v>1166</v>
      </c>
      <c r="C537" s="103" t="s">
        <v>1169</v>
      </c>
      <c r="D537" s="57">
        <v>45705</v>
      </c>
      <c r="E537" s="57">
        <v>45750</v>
      </c>
      <c r="F537" s="353" t="s">
        <v>16</v>
      </c>
      <c r="G537" s="11">
        <v>1270</v>
      </c>
      <c r="H537" s="353" t="s">
        <v>1093</v>
      </c>
      <c r="I537" s="353" t="s">
        <v>150</v>
      </c>
      <c r="J537" s="57">
        <v>45758</v>
      </c>
      <c r="K537" s="11">
        <v>1270</v>
      </c>
      <c r="L537" s="353"/>
    </row>
    <row r="538" spans="1:12" hidden="1">
      <c r="A538" s="353"/>
      <c r="B538" s="7" t="s">
        <v>1166</v>
      </c>
      <c r="C538" s="103" t="s">
        <v>1171</v>
      </c>
      <c r="D538" s="57">
        <v>45730</v>
      </c>
      <c r="E538" s="57">
        <v>45747</v>
      </c>
      <c r="F538" s="353"/>
      <c r="G538" s="11">
        <v>1163.22</v>
      </c>
      <c r="H538" s="353" t="s">
        <v>279</v>
      </c>
      <c r="I538" s="353" t="s">
        <v>150</v>
      </c>
      <c r="J538" s="57"/>
      <c r="K538" s="11"/>
      <c r="L538" s="353" t="s">
        <v>1173</v>
      </c>
    </row>
    <row r="539" spans="1:12" hidden="1">
      <c r="A539" s="353"/>
      <c r="B539" s="7" t="s">
        <v>1166</v>
      </c>
      <c r="C539" s="103" t="s">
        <v>1174</v>
      </c>
      <c r="D539" s="57">
        <v>45762</v>
      </c>
      <c r="E539" s="57">
        <v>45777</v>
      </c>
      <c r="F539" s="353" t="s">
        <v>16</v>
      </c>
      <c r="G539" s="11">
        <v>705.49</v>
      </c>
      <c r="H539" s="353" t="s">
        <v>279</v>
      </c>
      <c r="I539" s="353" t="s">
        <v>150</v>
      </c>
      <c r="J539" s="57">
        <v>45777</v>
      </c>
      <c r="K539" s="11"/>
      <c r="L539" s="353"/>
    </row>
    <row r="540" spans="1:12" hidden="1">
      <c r="A540" s="353"/>
      <c r="B540" s="7" t="s">
        <v>1176</v>
      </c>
      <c r="C540" s="103" t="s">
        <v>1177</v>
      </c>
      <c r="D540" s="57">
        <v>45724</v>
      </c>
      <c r="F540" s="353" t="s">
        <v>16</v>
      </c>
      <c r="G540" s="11">
        <v>182.27</v>
      </c>
      <c r="H540" s="353" t="s">
        <v>349</v>
      </c>
      <c r="I540" s="353" t="s">
        <v>751</v>
      </c>
      <c r="J540" s="57"/>
      <c r="K540" s="11"/>
      <c r="L540" s="353"/>
    </row>
    <row r="541" spans="1:12" hidden="1">
      <c r="A541" s="353"/>
      <c r="B541" s="7" t="s">
        <v>1176</v>
      </c>
      <c r="C541" s="103" t="s">
        <v>1179</v>
      </c>
      <c r="D541" s="57">
        <v>45822</v>
      </c>
      <c r="F541" s="353" t="s">
        <v>16</v>
      </c>
      <c r="G541" s="11">
        <v>233.5</v>
      </c>
      <c r="H541" s="353" t="s">
        <v>349</v>
      </c>
      <c r="I541" s="353"/>
      <c r="J541" s="57"/>
      <c r="K541" s="11"/>
      <c r="L541" s="353"/>
    </row>
    <row r="542" spans="1:12" hidden="1">
      <c r="A542" s="353"/>
      <c r="B542" s="7" t="s">
        <v>1176</v>
      </c>
      <c r="C542" s="103" t="s">
        <v>1181</v>
      </c>
      <c r="D542" s="57">
        <v>45860</v>
      </c>
      <c r="F542" s="353" t="s">
        <v>16</v>
      </c>
      <c r="G542" s="11">
        <v>16.64</v>
      </c>
      <c r="H542" s="353" t="s">
        <v>349</v>
      </c>
      <c r="I542" s="353" t="s">
        <v>794</v>
      </c>
      <c r="J542" s="57"/>
      <c r="K542" s="11"/>
      <c r="L542" s="353"/>
    </row>
    <row r="543" spans="1:12" hidden="1">
      <c r="A543" s="353" t="s">
        <v>316</v>
      </c>
      <c r="B543" s="7" t="s">
        <v>1183</v>
      </c>
      <c r="C543" s="103" t="s">
        <v>1184</v>
      </c>
      <c r="D543" s="57">
        <v>45987</v>
      </c>
      <c r="E543" s="57">
        <v>46017</v>
      </c>
      <c r="F543" s="353" t="s">
        <v>16</v>
      </c>
      <c r="G543" s="11">
        <v>870</v>
      </c>
      <c r="H543" s="353" t="s">
        <v>1185</v>
      </c>
      <c r="I543" s="353" t="s">
        <v>176</v>
      </c>
      <c r="J543" s="57">
        <v>45987</v>
      </c>
      <c r="K543" s="11">
        <v>870</v>
      </c>
      <c r="L543" s="353" t="s">
        <v>71</v>
      </c>
    </row>
    <row r="544" spans="1:12" hidden="1">
      <c r="A544" s="353"/>
      <c r="B544" s="7" t="s">
        <v>1186</v>
      </c>
      <c r="C544" s="103" t="s">
        <v>1187</v>
      </c>
      <c r="D544" s="57">
        <v>45257</v>
      </c>
      <c r="F544" s="353" t="s">
        <v>16</v>
      </c>
      <c r="G544" s="11">
        <v>73.5</v>
      </c>
      <c r="H544" s="353" t="s">
        <v>1188</v>
      </c>
      <c r="I544" s="353" t="s">
        <v>185</v>
      </c>
      <c r="J544" s="57"/>
      <c r="K544" s="11"/>
      <c r="L544" s="353"/>
    </row>
    <row r="545" spans="1:12" hidden="1">
      <c r="A545" s="353"/>
      <c r="B545" s="7" t="s">
        <v>1186</v>
      </c>
      <c r="C545" s="103" t="s">
        <v>1189</v>
      </c>
      <c r="D545" s="57">
        <v>45282</v>
      </c>
      <c r="F545" s="353" t="s">
        <v>16</v>
      </c>
      <c r="G545" s="11">
        <v>110</v>
      </c>
      <c r="H545" s="353" t="s">
        <v>1190</v>
      </c>
      <c r="I545" s="353" t="s">
        <v>185</v>
      </c>
      <c r="J545" s="57"/>
      <c r="K545" s="11"/>
      <c r="L545" s="353"/>
    </row>
    <row r="546" spans="1:12" hidden="1">
      <c r="A546" s="353"/>
      <c r="B546" s="7" t="s">
        <v>1186</v>
      </c>
      <c r="C546" s="103" t="s">
        <v>1191</v>
      </c>
      <c r="D546" s="57">
        <v>45412</v>
      </c>
      <c r="F546" s="353" t="s">
        <v>16</v>
      </c>
      <c r="G546" s="11">
        <v>73.599999999999994</v>
      </c>
      <c r="H546" s="353" t="s">
        <v>1192</v>
      </c>
      <c r="I546" s="353" t="s">
        <v>185</v>
      </c>
      <c r="J546" s="57"/>
      <c r="K546" s="11"/>
      <c r="L546" s="353"/>
    </row>
    <row r="547" spans="1:12" hidden="1">
      <c r="A547" s="353"/>
      <c r="B547" s="7" t="s">
        <v>1186</v>
      </c>
      <c r="C547" s="103" t="s">
        <v>1193</v>
      </c>
      <c r="D547" s="57">
        <v>45643</v>
      </c>
      <c r="F547" s="353" t="s">
        <v>16</v>
      </c>
      <c r="G547" s="11">
        <v>142.4</v>
      </c>
      <c r="H547" s="353" t="s">
        <v>1194</v>
      </c>
      <c r="I547" s="353" t="s">
        <v>185</v>
      </c>
      <c r="J547" s="57"/>
      <c r="K547" s="11"/>
      <c r="L547" s="353"/>
    </row>
    <row r="548" spans="1:12" hidden="1">
      <c r="A548" s="353"/>
      <c r="B548" s="7" t="s">
        <v>1186</v>
      </c>
      <c r="C548" s="103" t="s">
        <v>1195</v>
      </c>
      <c r="D548" s="57">
        <v>45792</v>
      </c>
      <c r="F548" s="353" t="s">
        <v>16</v>
      </c>
      <c r="G548" s="11">
        <v>165.5</v>
      </c>
      <c r="H548" s="353" t="s">
        <v>1197</v>
      </c>
      <c r="I548" s="353" t="s">
        <v>56</v>
      </c>
      <c r="J548" s="57"/>
      <c r="K548" s="11"/>
      <c r="L548" s="353"/>
    </row>
    <row r="549" spans="1:12" hidden="1">
      <c r="A549" s="353"/>
      <c r="B549" s="7" t="s">
        <v>1186</v>
      </c>
      <c r="C549" s="103" t="s">
        <v>1195</v>
      </c>
      <c r="D549" s="57">
        <v>45792</v>
      </c>
      <c r="E549" s="57">
        <v>45824</v>
      </c>
      <c r="F549" s="353" t="s">
        <v>16</v>
      </c>
      <c r="G549" s="11">
        <v>40.799999999999997</v>
      </c>
      <c r="H549" s="353" t="s">
        <v>1197</v>
      </c>
      <c r="I549" s="353" t="s">
        <v>1198</v>
      </c>
      <c r="J549" s="57"/>
      <c r="K549" s="11"/>
      <c r="L549" s="353"/>
    </row>
    <row r="550" spans="1:12" hidden="1">
      <c r="A550" s="353"/>
      <c r="B550" s="7" t="s">
        <v>1186</v>
      </c>
      <c r="C550" s="103" t="s">
        <v>1199</v>
      </c>
      <c r="D550" s="57">
        <v>46002</v>
      </c>
      <c r="E550" s="57">
        <v>46053</v>
      </c>
      <c r="F550" s="353"/>
      <c r="G550" s="11">
        <v>448.4</v>
      </c>
      <c r="H550" s="353" t="s">
        <v>1200</v>
      </c>
      <c r="I550" s="353" t="s">
        <v>83</v>
      </c>
      <c r="J550" s="57"/>
      <c r="K550" s="11"/>
      <c r="L550" s="353"/>
    </row>
    <row r="551" spans="1:12" hidden="1">
      <c r="A551" s="353"/>
      <c r="B551" s="7" t="s">
        <v>1186</v>
      </c>
      <c r="C551" s="103" t="s">
        <v>3331</v>
      </c>
      <c r="D551" s="57">
        <v>46020</v>
      </c>
      <c r="E551" s="57">
        <v>46053</v>
      </c>
      <c r="F551" s="353"/>
      <c r="G551" s="11">
        <v>101.2</v>
      </c>
      <c r="H551" s="353" t="s">
        <v>3382</v>
      </c>
      <c r="I551" s="353" t="s">
        <v>83</v>
      </c>
      <c r="J551" s="57"/>
      <c r="K551" s="11"/>
      <c r="L551" s="353"/>
    </row>
    <row r="552" spans="1:12" hidden="1">
      <c r="A552" s="353"/>
      <c r="B552" s="7" t="s">
        <v>1201</v>
      </c>
      <c r="C552" s="103" t="s">
        <v>1202</v>
      </c>
      <c r="D552" s="57">
        <v>45725</v>
      </c>
      <c r="F552" s="353" t="s">
        <v>16</v>
      </c>
      <c r="G552" s="11">
        <v>203.7</v>
      </c>
      <c r="H552" s="353" t="s">
        <v>42</v>
      </c>
      <c r="I552" s="353" t="s">
        <v>751</v>
      </c>
      <c r="J552" s="57"/>
      <c r="K552" s="11"/>
      <c r="L552" s="353"/>
    </row>
    <row r="553" spans="1:12" hidden="1">
      <c r="A553" s="353"/>
      <c r="B553" s="7" t="s">
        <v>1204</v>
      </c>
      <c r="C553" s="103" t="s">
        <v>1205</v>
      </c>
      <c r="D553" s="57">
        <v>45687</v>
      </c>
      <c r="E553" s="57">
        <v>45716</v>
      </c>
      <c r="F553" s="353" t="s">
        <v>16</v>
      </c>
      <c r="G553" s="11">
        <v>419.99</v>
      </c>
      <c r="H553" s="353" t="s">
        <v>1207</v>
      </c>
      <c r="I553" s="353" t="s">
        <v>110</v>
      </c>
      <c r="J553" s="57"/>
      <c r="K553" s="11"/>
      <c r="L553" s="353"/>
    </row>
    <row r="554" spans="1:12" hidden="1">
      <c r="A554" s="353"/>
      <c r="B554" s="7" t="s">
        <v>1204</v>
      </c>
      <c r="C554" s="103" t="s">
        <v>1208</v>
      </c>
      <c r="D554" s="57">
        <v>45716</v>
      </c>
      <c r="E554" s="57">
        <v>45747</v>
      </c>
      <c r="F554" s="353" t="s">
        <v>16</v>
      </c>
      <c r="G554" s="11">
        <v>98.26</v>
      </c>
      <c r="H554" s="353" t="s">
        <v>1207</v>
      </c>
      <c r="I554" s="353" t="s">
        <v>110</v>
      </c>
      <c r="J554" s="57"/>
      <c r="K554" s="11"/>
      <c r="L554" s="353"/>
    </row>
    <row r="555" spans="1:12" hidden="1">
      <c r="A555" s="353"/>
      <c r="B555" s="7" t="s">
        <v>1204</v>
      </c>
      <c r="C555" s="103" t="s">
        <v>1210</v>
      </c>
      <c r="D555" s="57">
        <v>45838</v>
      </c>
      <c r="E555" s="57">
        <v>45869</v>
      </c>
      <c r="F555" s="353" t="s">
        <v>16</v>
      </c>
      <c r="G555" s="11">
        <v>139.68</v>
      </c>
      <c r="H555" s="353" t="s">
        <v>1207</v>
      </c>
      <c r="I555" s="353" t="s">
        <v>110</v>
      </c>
      <c r="J555" s="57"/>
      <c r="K555" s="11"/>
      <c r="L555" s="353"/>
    </row>
    <row r="556" spans="1:12" hidden="1">
      <c r="A556" s="353"/>
      <c r="B556" s="7" t="s">
        <v>1204</v>
      </c>
      <c r="C556" s="103" t="s">
        <v>1213</v>
      </c>
      <c r="D556" s="57">
        <v>45991</v>
      </c>
      <c r="E556" s="57">
        <v>46022</v>
      </c>
      <c r="F556" s="353" t="s">
        <v>16</v>
      </c>
      <c r="G556" s="11">
        <v>227.51</v>
      </c>
      <c r="H556" s="353" t="s">
        <v>1207</v>
      </c>
      <c r="I556" s="353" t="s">
        <v>110</v>
      </c>
      <c r="J556" s="57"/>
      <c r="K556" s="11">
        <v>227.51</v>
      </c>
      <c r="L556" s="353"/>
    </row>
    <row r="557" spans="1:12" hidden="1">
      <c r="A557" s="353"/>
      <c r="B557" s="7" t="s">
        <v>1204</v>
      </c>
      <c r="C557" s="103" t="s">
        <v>4324</v>
      </c>
      <c r="D557" s="57">
        <v>46081</v>
      </c>
      <c r="E557" s="57">
        <v>46112</v>
      </c>
      <c r="F557" s="353"/>
      <c r="G557" s="11">
        <v>153.54</v>
      </c>
      <c r="H557" s="353" t="s">
        <v>1207</v>
      </c>
      <c r="I557" s="353" t="s">
        <v>374</v>
      </c>
      <c r="J557" s="57"/>
      <c r="K557" s="11">
        <v>153.54</v>
      </c>
      <c r="L557" s="353"/>
    </row>
    <row r="558" spans="1:12" hidden="1">
      <c r="A558" s="353"/>
      <c r="B558" s="7" t="s">
        <v>1214</v>
      </c>
      <c r="C558" s="103" t="s">
        <v>1215</v>
      </c>
      <c r="D558" s="57">
        <v>45736</v>
      </c>
      <c r="F558" s="353" t="s">
        <v>16</v>
      </c>
      <c r="G558" s="11">
        <v>222.4</v>
      </c>
      <c r="H558" s="353" t="s">
        <v>42</v>
      </c>
      <c r="I558" s="353" t="s">
        <v>794</v>
      </c>
      <c r="J558" s="57"/>
      <c r="K558" s="11"/>
      <c r="L558" s="353"/>
    </row>
    <row r="559" spans="1:12" hidden="1">
      <c r="A559" s="353"/>
      <c r="B559" s="7" t="s">
        <v>1214</v>
      </c>
      <c r="C559" s="103" t="s">
        <v>1217</v>
      </c>
      <c r="D559" s="57">
        <v>45933</v>
      </c>
      <c r="F559" s="353" t="s">
        <v>16</v>
      </c>
      <c r="G559" s="11">
        <v>149.6</v>
      </c>
      <c r="H559" s="353" t="s">
        <v>42</v>
      </c>
      <c r="I559" s="353" t="s">
        <v>215</v>
      </c>
      <c r="J559" s="57"/>
      <c r="K559" s="11"/>
      <c r="L559" s="353"/>
    </row>
    <row r="560" spans="1:12" hidden="1">
      <c r="A560" s="353"/>
      <c r="B560" s="7" t="s">
        <v>1219</v>
      </c>
      <c r="C560" s="103" t="s">
        <v>1220</v>
      </c>
      <c r="D560" s="57">
        <v>45730</v>
      </c>
      <c r="F560" s="353" t="s">
        <v>16</v>
      </c>
      <c r="G560" s="11">
        <v>89</v>
      </c>
      <c r="H560" s="353" t="s">
        <v>1222</v>
      </c>
      <c r="I560" s="353" t="s">
        <v>794</v>
      </c>
      <c r="J560" s="57"/>
      <c r="K560" s="11"/>
      <c r="L560" s="353"/>
    </row>
    <row r="561" spans="1:12" hidden="1">
      <c r="A561" s="353"/>
      <c r="B561" s="7" t="s">
        <v>1219</v>
      </c>
      <c r="C561" s="103" t="s">
        <v>1223</v>
      </c>
      <c r="D561" s="57">
        <v>45938</v>
      </c>
      <c r="F561" s="353" t="s">
        <v>16</v>
      </c>
      <c r="G561" s="11">
        <v>239</v>
      </c>
      <c r="H561" s="353" t="s">
        <v>1225</v>
      </c>
      <c r="I561" s="353" t="s">
        <v>794</v>
      </c>
      <c r="J561" s="57"/>
      <c r="K561" s="11"/>
      <c r="L561" s="353"/>
    </row>
    <row r="562" spans="1:12" hidden="1">
      <c r="A562" s="353"/>
      <c r="B562" s="7" t="s">
        <v>1226</v>
      </c>
      <c r="C562" s="103" t="s">
        <v>1227</v>
      </c>
      <c r="D562" s="57">
        <v>45612</v>
      </c>
      <c r="E562" s="57">
        <v>45673</v>
      </c>
      <c r="F562" s="353" t="s">
        <v>16</v>
      </c>
      <c r="G562" s="11">
        <v>4980</v>
      </c>
      <c r="H562" s="353" t="s">
        <v>1229</v>
      </c>
      <c r="I562" s="353" t="s">
        <v>66</v>
      </c>
      <c r="J562" s="57">
        <v>45729</v>
      </c>
      <c r="K562" s="11">
        <v>7247</v>
      </c>
      <c r="L562" s="353" t="s">
        <v>111</v>
      </c>
    </row>
    <row r="563" spans="1:12" hidden="1">
      <c r="A563" s="353"/>
      <c r="B563" s="7" t="s">
        <v>1226</v>
      </c>
      <c r="C563" s="103" t="s">
        <v>560</v>
      </c>
      <c r="D563" s="57">
        <v>45644</v>
      </c>
      <c r="E563" s="57">
        <v>45674</v>
      </c>
      <c r="F563" s="353" t="s">
        <v>16</v>
      </c>
      <c r="G563" s="11">
        <v>2267</v>
      </c>
      <c r="H563" s="353" t="s">
        <v>1231</v>
      </c>
      <c r="I563" s="353" t="s">
        <v>56</v>
      </c>
      <c r="J563" s="57">
        <v>45729</v>
      </c>
      <c r="K563" s="11">
        <v>7247</v>
      </c>
      <c r="L563" s="353" t="s">
        <v>111</v>
      </c>
    </row>
    <row r="564" spans="1:12" hidden="1">
      <c r="A564" s="353"/>
      <c r="B564" s="7" t="s">
        <v>1226</v>
      </c>
      <c r="C564" s="103" t="s">
        <v>335</v>
      </c>
      <c r="D564" s="57">
        <v>46062</v>
      </c>
      <c r="F564" s="353"/>
      <c r="G564" s="11">
        <v>900</v>
      </c>
      <c r="H564" s="353" t="s">
        <v>1116</v>
      </c>
      <c r="I564" s="353" t="s">
        <v>83</v>
      </c>
      <c r="J564" s="57"/>
      <c r="K564" s="11">
        <v>900</v>
      </c>
      <c r="L564" s="353" t="s">
        <v>111</v>
      </c>
    </row>
    <row r="565" spans="1:12" hidden="1">
      <c r="A565" s="353"/>
      <c r="B565" s="7" t="s">
        <v>1232</v>
      </c>
      <c r="C565" s="103" t="s">
        <v>1233</v>
      </c>
      <c r="D565" s="57">
        <v>45930</v>
      </c>
      <c r="E565" s="57">
        <v>45961</v>
      </c>
      <c r="F565" s="353" t="s">
        <v>16</v>
      </c>
      <c r="G565" s="11">
        <v>1067.5</v>
      </c>
      <c r="H565" s="353"/>
      <c r="I565" s="353" t="s">
        <v>56</v>
      </c>
      <c r="J565" s="57"/>
      <c r="K565" s="11"/>
      <c r="L565" s="353"/>
    </row>
    <row r="566" spans="1:12" hidden="1">
      <c r="A566" s="353" t="s">
        <v>13</v>
      </c>
      <c r="B566" s="7" t="s">
        <v>3356</v>
      </c>
      <c r="C566" s="103" t="s">
        <v>3333</v>
      </c>
      <c r="D566" s="57">
        <v>46014</v>
      </c>
      <c r="E566" s="57">
        <v>46014</v>
      </c>
      <c r="F566" s="353" t="s">
        <v>16</v>
      </c>
      <c r="G566" s="11">
        <v>668.56</v>
      </c>
      <c r="H566" s="353" t="s">
        <v>705</v>
      </c>
      <c r="I566" s="353" t="s">
        <v>142</v>
      </c>
      <c r="J566" s="57">
        <v>46014</v>
      </c>
      <c r="K566" s="11">
        <v>665.56</v>
      </c>
      <c r="L566" s="353" t="s">
        <v>3383</v>
      </c>
    </row>
    <row r="567" spans="1:12" hidden="1">
      <c r="A567" s="353" t="s">
        <v>13</v>
      </c>
      <c r="B567" s="7" t="s">
        <v>1235</v>
      </c>
      <c r="C567" s="103" t="s">
        <v>1236</v>
      </c>
      <c r="D567" s="57">
        <v>45670</v>
      </c>
      <c r="F567" s="353" t="s">
        <v>16</v>
      </c>
      <c r="G567" s="11">
        <v>123.33</v>
      </c>
      <c r="H567" s="353" t="s">
        <v>1238</v>
      </c>
      <c r="I567" s="353" t="s">
        <v>150</v>
      </c>
      <c r="J567" s="57">
        <v>45715</v>
      </c>
      <c r="K567" s="11"/>
      <c r="L567" s="353"/>
    </row>
    <row r="568" spans="1:12" hidden="1">
      <c r="A568" s="353" t="s">
        <v>13</v>
      </c>
      <c r="B568" s="7" t="s">
        <v>1235</v>
      </c>
      <c r="C568" s="103" t="s">
        <v>1239</v>
      </c>
      <c r="D568" s="57">
        <v>45695</v>
      </c>
      <c r="F568" s="353" t="s">
        <v>16</v>
      </c>
      <c r="G568" s="11">
        <v>127.55</v>
      </c>
      <c r="H568" s="353" t="s">
        <v>1238</v>
      </c>
      <c r="I568" s="353" t="s">
        <v>150</v>
      </c>
      <c r="J568" s="57">
        <v>45715</v>
      </c>
      <c r="K568" s="11"/>
      <c r="L568" s="353"/>
    </row>
    <row r="569" spans="1:12" hidden="1">
      <c r="A569" s="353" t="s">
        <v>13</v>
      </c>
      <c r="B569" s="7" t="s">
        <v>1235</v>
      </c>
      <c r="C569" s="103" t="s">
        <v>1241</v>
      </c>
      <c r="D569" s="57">
        <v>45727</v>
      </c>
      <c r="F569" s="353" t="s">
        <v>16</v>
      </c>
      <c r="G569" s="11">
        <v>64.180000000000007</v>
      </c>
      <c r="H569" s="353" t="s">
        <v>1243</v>
      </c>
      <c r="I569" s="353" t="s">
        <v>150</v>
      </c>
      <c r="J569" s="57">
        <v>45776</v>
      </c>
      <c r="K569" s="11"/>
      <c r="L569" s="353"/>
    </row>
    <row r="570" spans="1:12" hidden="1">
      <c r="A570" s="353" t="s">
        <v>13</v>
      </c>
      <c r="B570" s="7" t="s">
        <v>1235</v>
      </c>
      <c r="C570" s="103" t="s">
        <v>1244</v>
      </c>
      <c r="D570" s="57">
        <v>45756</v>
      </c>
      <c r="F570" s="353" t="s">
        <v>16</v>
      </c>
      <c r="G570" s="11">
        <v>62.38</v>
      </c>
      <c r="H570" s="353" t="s">
        <v>1243</v>
      </c>
      <c r="I570" s="353" t="s">
        <v>150</v>
      </c>
      <c r="J570" s="57"/>
      <c r="K570" s="11"/>
      <c r="L570" s="353"/>
    </row>
    <row r="571" spans="1:12" hidden="1">
      <c r="A571" s="353" t="s">
        <v>13</v>
      </c>
      <c r="B571" s="7" t="s">
        <v>1235</v>
      </c>
      <c r="C571" s="103" t="s">
        <v>1246</v>
      </c>
      <c r="D571" s="57">
        <v>45789</v>
      </c>
      <c r="E571" s="57">
        <v>45811</v>
      </c>
      <c r="F571" s="353" t="s">
        <v>16</v>
      </c>
      <c r="G571" s="11">
        <v>285.48</v>
      </c>
      <c r="H571" s="353" t="s">
        <v>1238</v>
      </c>
      <c r="I571" s="353" t="s">
        <v>150</v>
      </c>
      <c r="J571" s="57"/>
      <c r="K571" s="11"/>
      <c r="L571" s="353"/>
    </row>
    <row r="572" spans="1:12" hidden="1">
      <c r="A572" s="353" t="s">
        <v>13</v>
      </c>
      <c r="B572" s="7" t="s">
        <v>1235</v>
      </c>
      <c r="C572" s="103" t="s">
        <v>1248</v>
      </c>
      <c r="D572" s="57">
        <v>45789</v>
      </c>
      <c r="E572" s="57">
        <v>45811</v>
      </c>
      <c r="F572" s="353" t="s">
        <v>16</v>
      </c>
      <c r="G572" s="11">
        <v>60.46</v>
      </c>
      <c r="H572" s="353" t="s">
        <v>1250</v>
      </c>
      <c r="I572" s="353" t="s">
        <v>150</v>
      </c>
      <c r="J572" s="57" t="s">
        <v>1251</v>
      </c>
      <c r="K572" s="11"/>
      <c r="L572" s="353"/>
    </row>
    <row r="573" spans="1:12" hidden="1">
      <c r="A573" s="353" t="s">
        <v>13</v>
      </c>
      <c r="B573" s="7" t="s">
        <v>1235</v>
      </c>
      <c r="C573" s="103" t="s">
        <v>1252</v>
      </c>
      <c r="D573" s="57">
        <v>45817</v>
      </c>
      <c r="F573" s="353" t="s">
        <v>16</v>
      </c>
      <c r="G573" s="11">
        <v>141.63999999999999</v>
      </c>
      <c r="H573" s="353" t="s">
        <v>1238</v>
      </c>
      <c r="I573" s="353" t="s">
        <v>150</v>
      </c>
      <c r="J573" s="57" t="s">
        <v>1251</v>
      </c>
      <c r="K573" s="11"/>
      <c r="L573" s="353"/>
    </row>
    <row r="574" spans="1:12" hidden="1">
      <c r="A574" s="353" t="s">
        <v>13</v>
      </c>
      <c r="B574" s="7" t="s">
        <v>1235</v>
      </c>
      <c r="C574" s="103" t="s">
        <v>1254</v>
      </c>
      <c r="D574" s="57">
        <v>45817</v>
      </c>
      <c r="F574" s="353" t="s">
        <v>16</v>
      </c>
      <c r="G574" s="11">
        <v>60.74</v>
      </c>
      <c r="H574" s="353" t="s">
        <v>1250</v>
      </c>
      <c r="I574" s="353" t="s">
        <v>150</v>
      </c>
      <c r="J574" s="57"/>
      <c r="K574" s="11"/>
      <c r="L574" s="353"/>
    </row>
    <row r="575" spans="1:12" hidden="1">
      <c r="A575" s="353" t="s">
        <v>13</v>
      </c>
      <c r="B575" s="7" t="s">
        <v>1235</v>
      </c>
      <c r="C575" s="103" t="s">
        <v>1256</v>
      </c>
      <c r="D575" s="57">
        <v>45848</v>
      </c>
      <c r="F575" s="353" t="s">
        <v>16</v>
      </c>
      <c r="G575" s="11">
        <v>195.83</v>
      </c>
      <c r="H575" s="353" t="s">
        <v>1238</v>
      </c>
      <c r="I575" s="353" t="s">
        <v>150</v>
      </c>
      <c r="J575" s="57"/>
      <c r="K575" s="11"/>
      <c r="L575" s="353"/>
    </row>
    <row r="576" spans="1:12" hidden="1">
      <c r="A576" s="353" t="s">
        <v>13</v>
      </c>
      <c r="B576" s="7" t="s">
        <v>1235</v>
      </c>
      <c r="C576" s="103" t="s">
        <v>1258</v>
      </c>
      <c r="D576" s="57">
        <v>45848</v>
      </c>
      <c r="F576" s="353" t="s">
        <v>16</v>
      </c>
      <c r="G576" s="11">
        <v>61.67</v>
      </c>
      <c r="H576" s="353" t="s">
        <v>1250</v>
      </c>
      <c r="I576" s="353" t="s">
        <v>150</v>
      </c>
      <c r="J576" s="57"/>
      <c r="K576" s="11"/>
      <c r="L576" s="353"/>
    </row>
    <row r="577" spans="1:12" hidden="1">
      <c r="A577" s="353" t="s">
        <v>13</v>
      </c>
      <c r="B577" s="7" t="s">
        <v>1235</v>
      </c>
      <c r="C577" s="103" t="s">
        <v>1260</v>
      </c>
      <c r="D577" s="57">
        <v>45876</v>
      </c>
      <c r="F577" s="353" t="s">
        <v>16</v>
      </c>
      <c r="G577" s="11">
        <v>204.87</v>
      </c>
      <c r="H577" s="353" t="s">
        <v>1238</v>
      </c>
      <c r="I577" s="353" t="s">
        <v>150</v>
      </c>
      <c r="J577" s="57"/>
      <c r="K577" s="11"/>
      <c r="L577" s="353"/>
    </row>
    <row r="578" spans="1:12" hidden="1">
      <c r="A578" s="353" t="s">
        <v>13</v>
      </c>
      <c r="B578" s="7" t="s">
        <v>1235</v>
      </c>
      <c r="C578" s="103" t="s">
        <v>1262</v>
      </c>
      <c r="D578" s="57">
        <v>45876</v>
      </c>
      <c r="F578" s="353" t="s">
        <v>16</v>
      </c>
      <c r="G578" s="11">
        <v>62.13</v>
      </c>
      <c r="H578" s="353" t="s">
        <v>1243</v>
      </c>
      <c r="I578" s="353" t="s">
        <v>150</v>
      </c>
      <c r="J578" s="57"/>
      <c r="K578" s="11"/>
      <c r="L578" s="353"/>
    </row>
    <row r="579" spans="1:12" hidden="1">
      <c r="A579" s="353" t="s">
        <v>13</v>
      </c>
      <c r="B579" s="7" t="s">
        <v>1235</v>
      </c>
      <c r="C579" s="103" t="s">
        <v>1264</v>
      </c>
      <c r="D579" s="57">
        <v>45909</v>
      </c>
      <c r="F579" s="353" t="s">
        <v>16</v>
      </c>
      <c r="G579" s="11">
        <v>153.02000000000001</v>
      </c>
      <c r="H579" s="353" t="s">
        <v>1238</v>
      </c>
      <c r="I579" s="353" t="s">
        <v>150</v>
      </c>
      <c r="J579" s="57"/>
      <c r="K579" s="11"/>
      <c r="L579" s="353"/>
    </row>
    <row r="580" spans="1:12" hidden="1">
      <c r="A580" s="353" t="s">
        <v>13</v>
      </c>
      <c r="B580" s="7" t="s">
        <v>1235</v>
      </c>
      <c r="C580" s="103" t="s">
        <v>1266</v>
      </c>
      <c r="D580" s="57">
        <v>45909</v>
      </c>
      <c r="F580" s="353" t="s">
        <v>16</v>
      </c>
      <c r="G580" s="11">
        <v>67.14</v>
      </c>
      <c r="H580" s="353" t="s">
        <v>1250</v>
      </c>
      <c r="I580" s="353" t="s">
        <v>150</v>
      </c>
      <c r="J580" s="57"/>
      <c r="K580" s="11"/>
      <c r="L580" s="353"/>
    </row>
    <row r="581" spans="1:12" hidden="1">
      <c r="A581" s="353" t="s">
        <v>13</v>
      </c>
      <c r="B581" s="7" t="s">
        <v>1235</v>
      </c>
      <c r="C581" s="103" t="s">
        <v>1268</v>
      </c>
      <c r="D581" s="57">
        <v>45938</v>
      </c>
      <c r="E581" s="57">
        <v>45958</v>
      </c>
      <c r="F581" s="353" t="s">
        <v>16</v>
      </c>
      <c r="G581" s="11">
        <v>149.27000000000001</v>
      </c>
      <c r="H581" s="353" t="s">
        <v>1238</v>
      </c>
      <c r="I581" s="353" t="s">
        <v>150</v>
      </c>
      <c r="J581" s="57">
        <v>45958</v>
      </c>
      <c r="K581" s="11">
        <v>210.49</v>
      </c>
      <c r="L581" s="353" t="s">
        <v>71</v>
      </c>
    </row>
    <row r="582" spans="1:12" hidden="1">
      <c r="A582" s="353" t="s">
        <v>13</v>
      </c>
      <c r="B582" s="7" t="s">
        <v>1235</v>
      </c>
      <c r="C582" s="103" t="s">
        <v>1270</v>
      </c>
      <c r="D582" s="57">
        <v>45938</v>
      </c>
      <c r="E582" s="57">
        <v>45958</v>
      </c>
      <c r="F582" s="353" t="s">
        <v>16</v>
      </c>
      <c r="G582" s="11">
        <v>61.22</v>
      </c>
      <c r="H582" s="353" t="s">
        <v>1250</v>
      </c>
      <c r="I582" s="353" t="s">
        <v>150</v>
      </c>
      <c r="J582" s="57">
        <v>45958</v>
      </c>
      <c r="K582" s="11">
        <v>210.49</v>
      </c>
      <c r="L582" s="353" t="s">
        <v>71</v>
      </c>
    </row>
    <row r="583" spans="1:12" hidden="1">
      <c r="A583" s="353" t="s">
        <v>13</v>
      </c>
      <c r="B583" s="7" t="s">
        <v>1235</v>
      </c>
      <c r="C583" s="103" t="s">
        <v>1272</v>
      </c>
      <c r="D583" s="57">
        <v>45968</v>
      </c>
      <c r="E583" s="57">
        <v>45989</v>
      </c>
      <c r="F583" s="353" t="s">
        <v>16</v>
      </c>
      <c r="G583" s="11">
        <v>62.11</v>
      </c>
      <c r="H583" s="353" t="s">
        <v>1273</v>
      </c>
      <c r="I583" s="353" t="s">
        <v>150</v>
      </c>
      <c r="J583" s="57">
        <v>45989</v>
      </c>
      <c r="K583" s="11">
        <v>62.11</v>
      </c>
      <c r="L583" s="353" t="s">
        <v>71</v>
      </c>
    </row>
    <row r="584" spans="1:12" hidden="1">
      <c r="A584" s="353" t="s">
        <v>13</v>
      </c>
      <c r="B584" s="7" t="s">
        <v>1235</v>
      </c>
      <c r="C584" s="103" t="s">
        <v>1274</v>
      </c>
      <c r="D584" s="57">
        <v>45968</v>
      </c>
      <c r="E584" s="57">
        <v>45989</v>
      </c>
      <c r="F584" s="353" t="s">
        <v>16</v>
      </c>
      <c r="G584" s="11">
        <v>315.44</v>
      </c>
      <c r="H584" s="353" t="s">
        <v>1275</v>
      </c>
      <c r="I584" s="353" t="s">
        <v>1276</v>
      </c>
      <c r="J584" s="57">
        <v>45989</v>
      </c>
      <c r="K584" s="11">
        <v>315.44</v>
      </c>
      <c r="L584" s="353" t="s">
        <v>71</v>
      </c>
    </row>
    <row r="585" spans="1:12" hidden="1">
      <c r="A585" s="353" t="s">
        <v>13</v>
      </c>
      <c r="B585" s="7" t="s">
        <v>1235</v>
      </c>
      <c r="C585" s="103" t="s">
        <v>1277</v>
      </c>
      <c r="D585" s="57">
        <v>46001</v>
      </c>
      <c r="E585" s="57">
        <v>46021</v>
      </c>
      <c r="F585" s="353" t="s">
        <v>16</v>
      </c>
      <c r="G585" s="11">
        <v>60.99</v>
      </c>
      <c r="H585" s="353" t="s">
        <v>1278</v>
      </c>
      <c r="I585" s="353" t="s">
        <v>1276</v>
      </c>
      <c r="J585" s="57">
        <v>46021</v>
      </c>
      <c r="K585" s="11">
        <v>60.99</v>
      </c>
      <c r="L585" s="353" t="s">
        <v>71</v>
      </c>
    </row>
    <row r="586" spans="1:12" hidden="1">
      <c r="A586" s="353" t="s">
        <v>13</v>
      </c>
      <c r="B586" s="7" t="s">
        <v>1235</v>
      </c>
      <c r="C586" s="103" t="s">
        <v>1279</v>
      </c>
      <c r="D586" s="57">
        <v>46001</v>
      </c>
      <c r="E586" s="57">
        <v>46021</v>
      </c>
      <c r="F586" s="353" t="s">
        <v>16</v>
      </c>
      <c r="G586" s="11">
        <v>754.95</v>
      </c>
      <c r="H586" s="353" t="s">
        <v>1280</v>
      </c>
      <c r="I586" s="353" t="s">
        <v>1276</v>
      </c>
      <c r="J586" s="57">
        <v>46021</v>
      </c>
      <c r="K586" s="11">
        <v>754.95</v>
      </c>
      <c r="L586" s="353" t="s">
        <v>71</v>
      </c>
    </row>
    <row r="587" spans="1:12" hidden="1">
      <c r="A587" s="353" t="s">
        <v>13</v>
      </c>
      <c r="B587" s="7" t="s">
        <v>1235</v>
      </c>
      <c r="C587" s="103" t="s">
        <v>4117</v>
      </c>
      <c r="D587" s="57">
        <v>45669</v>
      </c>
      <c r="E587" s="57">
        <v>46055</v>
      </c>
      <c r="F587" s="353" t="s">
        <v>16</v>
      </c>
      <c r="G587" s="11">
        <v>887.49</v>
      </c>
      <c r="H587" s="353" t="s">
        <v>4165</v>
      </c>
      <c r="I587" s="353" t="s">
        <v>1276</v>
      </c>
      <c r="J587" s="57">
        <v>46055</v>
      </c>
      <c r="K587" s="11">
        <v>887.49</v>
      </c>
      <c r="L587" s="353" t="s">
        <v>345</v>
      </c>
    </row>
    <row r="588" spans="1:12" hidden="1">
      <c r="A588" s="353" t="s">
        <v>13</v>
      </c>
      <c r="B588" s="7" t="s">
        <v>1235</v>
      </c>
      <c r="C588" s="103" t="s">
        <v>4115</v>
      </c>
      <c r="D588" s="57">
        <v>46034</v>
      </c>
      <c r="E588" s="57">
        <v>46055</v>
      </c>
      <c r="F588" s="353" t="s">
        <v>16</v>
      </c>
      <c r="G588" s="11">
        <v>67.38</v>
      </c>
      <c r="H588" s="353" t="s">
        <v>4166</v>
      </c>
      <c r="I588" s="353" t="s">
        <v>1276</v>
      </c>
      <c r="J588" s="57">
        <v>46055</v>
      </c>
      <c r="K588" s="11">
        <v>67.38</v>
      </c>
      <c r="L588" s="353" t="s">
        <v>345</v>
      </c>
    </row>
    <row r="589" spans="1:12" hidden="1">
      <c r="A589" s="353" t="s">
        <v>4285</v>
      </c>
      <c r="B589" s="7" t="s">
        <v>1235</v>
      </c>
      <c r="C589" s="103" t="s">
        <v>4243</v>
      </c>
      <c r="D589" s="57">
        <v>46063</v>
      </c>
      <c r="E589" s="57" t="s">
        <v>4286</v>
      </c>
      <c r="F589" s="353"/>
      <c r="G589" s="11">
        <v>1139.02</v>
      </c>
      <c r="H589" s="353" t="s">
        <v>4287</v>
      </c>
      <c r="I589" s="353" t="s">
        <v>1276</v>
      </c>
      <c r="J589" s="57">
        <v>46083</v>
      </c>
      <c r="K589" s="11">
        <v>1139.02</v>
      </c>
      <c r="L589" s="353" t="s">
        <v>394</v>
      </c>
    </row>
    <row r="590" spans="1:12" hidden="1">
      <c r="A590" s="353" t="s">
        <v>4285</v>
      </c>
      <c r="B590" s="7" t="s">
        <v>1235</v>
      </c>
      <c r="C590" s="103" t="s">
        <v>4242</v>
      </c>
      <c r="D590" s="57">
        <v>46063</v>
      </c>
      <c r="E590" s="57">
        <v>46083</v>
      </c>
      <c r="F590" s="353"/>
      <c r="G590" s="11">
        <v>124.06</v>
      </c>
      <c r="H590" s="353"/>
      <c r="I590" s="353"/>
      <c r="J590" s="57"/>
      <c r="K590" s="11"/>
      <c r="L590" s="353"/>
    </row>
    <row r="591" spans="1:12" hidden="1">
      <c r="A591" s="353"/>
      <c r="B591" s="7" t="s">
        <v>1281</v>
      </c>
      <c r="C591" s="103" t="s">
        <v>495</v>
      </c>
      <c r="D591" s="57">
        <v>45702</v>
      </c>
      <c r="F591" s="353" t="s">
        <v>16</v>
      </c>
      <c r="G591" s="11">
        <v>106.32</v>
      </c>
      <c r="H591" s="353"/>
      <c r="I591" s="353"/>
      <c r="J591" s="57"/>
      <c r="K591" s="11"/>
      <c r="L591" s="353"/>
    </row>
    <row r="592" spans="1:12" hidden="1">
      <c r="A592" s="353"/>
      <c r="B592" s="7" t="s">
        <v>1283</v>
      </c>
      <c r="C592" s="103" t="s">
        <v>590</v>
      </c>
      <c r="D592" s="57">
        <v>45762</v>
      </c>
      <c r="F592" s="353" t="s">
        <v>16</v>
      </c>
      <c r="G592" s="11">
        <v>9</v>
      </c>
      <c r="H592" s="353" t="s">
        <v>457</v>
      </c>
      <c r="I592" s="353" t="s">
        <v>215</v>
      </c>
      <c r="J592" s="57"/>
      <c r="K592" s="11"/>
      <c r="L592" s="353"/>
    </row>
    <row r="593" spans="1:12" hidden="1">
      <c r="A593" s="353"/>
      <c r="B593" s="7" t="s">
        <v>1283</v>
      </c>
      <c r="C593" s="103" t="s">
        <v>1285</v>
      </c>
      <c r="D593" s="57">
        <v>45826</v>
      </c>
      <c r="F593" s="353" t="s">
        <v>16</v>
      </c>
      <c r="G593" s="11">
        <v>17</v>
      </c>
      <c r="H593" s="353" t="s">
        <v>457</v>
      </c>
      <c r="I593" s="353" t="s">
        <v>215</v>
      </c>
      <c r="J593" s="57"/>
      <c r="K593" s="11"/>
      <c r="L593" s="353"/>
    </row>
    <row r="594" spans="1:12" hidden="1">
      <c r="A594" s="353"/>
      <c r="B594" s="7" t="s">
        <v>1287</v>
      </c>
      <c r="C594" s="103" t="s">
        <v>1288</v>
      </c>
      <c r="D594" s="57">
        <v>45912</v>
      </c>
      <c r="F594" s="353" t="s">
        <v>16</v>
      </c>
      <c r="G594" s="11">
        <v>107</v>
      </c>
      <c r="H594" s="353"/>
      <c r="I594" s="353" t="s">
        <v>215</v>
      </c>
      <c r="J594" s="57"/>
      <c r="K594" s="11"/>
      <c r="L594" s="353"/>
    </row>
    <row r="595" spans="1:12" hidden="1">
      <c r="A595" s="353"/>
      <c r="B595" s="7" t="s">
        <v>1290</v>
      </c>
      <c r="C595" s="103" t="s">
        <v>1291</v>
      </c>
      <c r="D595" s="57">
        <v>45687</v>
      </c>
      <c r="E595" s="57">
        <v>45687</v>
      </c>
      <c r="F595" s="353" t="s">
        <v>16</v>
      </c>
      <c r="G595" s="11">
        <v>3.3</v>
      </c>
      <c r="H595" s="353" t="s">
        <v>565</v>
      </c>
      <c r="I595" s="353" t="s">
        <v>150</v>
      </c>
      <c r="J595" s="57"/>
      <c r="K595" s="11"/>
      <c r="L595" s="353" t="s">
        <v>1293</v>
      </c>
    </row>
    <row r="596" spans="1:12" hidden="1">
      <c r="A596" s="353"/>
      <c r="B596" s="7" t="s">
        <v>1290</v>
      </c>
      <c r="C596" s="103" t="s">
        <v>1294</v>
      </c>
      <c r="D596" s="57">
        <v>45687</v>
      </c>
      <c r="E596" s="57">
        <v>45687</v>
      </c>
      <c r="F596" s="353" t="s">
        <v>16</v>
      </c>
      <c r="G596" s="11">
        <v>2.2000000000000002</v>
      </c>
      <c r="H596" s="353" t="s">
        <v>565</v>
      </c>
      <c r="I596" s="353" t="s">
        <v>150</v>
      </c>
      <c r="J596" s="57"/>
      <c r="K596" s="11"/>
      <c r="L596" s="353" t="s">
        <v>1293</v>
      </c>
    </row>
    <row r="597" spans="1:12" hidden="1">
      <c r="A597" s="353"/>
      <c r="B597" s="7" t="s">
        <v>1290</v>
      </c>
      <c r="C597" s="103" t="s">
        <v>1296</v>
      </c>
      <c r="D597" s="57">
        <v>45687</v>
      </c>
      <c r="E597" s="57">
        <v>45687</v>
      </c>
      <c r="F597" s="353" t="s">
        <v>16</v>
      </c>
      <c r="G597" s="11">
        <v>10.5</v>
      </c>
      <c r="H597" s="353" t="s">
        <v>565</v>
      </c>
      <c r="I597" s="353" t="s">
        <v>150</v>
      </c>
      <c r="J597" s="57"/>
      <c r="K597" s="11"/>
      <c r="L597" s="353" t="s">
        <v>1293</v>
      </c>
    </row>
    <row r="598" spans="1:12" hidden="1">
      <c r="A598" s="353"/>
      <c r="B598" s="7" t="s">
        <v>1290</v>
      </c>
      <c r="C598" s="103" t="s">
        <v>1298</v>
      </c>
      <c r="D598" s="57">
        <v>45687</v>
      </c>
      <c r="E598" s="57">
        <v>45687</v>
      </c>
      <c r="F598" s="353" t="s">
        <v>16</v>
      </c>
      <c r="G598" s="11">
        <v>17.600000000000001</v>
      </c>
      <c r="H598" s="353" t="s">
        <v>565</v>
      </c>
      <c r="I598" s="353" t="s">
        <v>150</v>
      </c>
      <c r="J598" s="57"/>
      <c r="K598" s="11"/>
      <c r="L598" s="353" t="s">
        <v>1293</v>
      </c>
    </row>
    <row r="599" spans="1:12" hidden="1">
      <c r="A599" s="353"/>
      <c r="B599" s="7" t="s">
        <v>1290</v>
      </c>
      <c r="C599" s="103" t="s">
        <v>1300</v>
      </c>
      <c r="D599" s="57">
        <v>45716</v>
      </c>
      <c r="F599" s="353" t="s">
        <v>16</v>
      </c>
      <c r="G599" s="11">
        <v>47.6</v>
      </c>
      <c r="H599" s="353" t="s">
        <v>1302</v>
      </c>
      <c r="I599" s="353" t="s">
        <v>150</v>
      </c>
      <c r="J599" s="57"/>
      <c r="K599" s="11"/>
      <c r="L599" s="353" t="s">
        <v>1293</v>
      </c>
    </row>
    <row r="600" spans="1:12" hidden="1">
      <c r="A600" s="353"/>
      <c r="B600" s="7" t="s">
        <v>1290</v>
      </c>
      <c r="C600" s="103" t="s">
        <v>1303</v>
      </c>
      <c r="D600" s="57">
        <v>45746</v>
      </c>
      <c r="F600" s="353" t="s">
        <v>16</v>
      </c>
      <c r="G600" s="11">
        <v>6.6</v>
      </c>
      <c r="H600" s="353" t="s">
        <v>565</v>
      </c>
      <c r="I600" s="353" t="s">
        <v>150</v>
      </c>
      <c r="J600" s="57"/>
      <c r="K600" s="11"/>
      <c r="L600" s="353" t="s">
        <v>1293</v>
      </c>
    </row>
    <row r="601" spans="1:12" hidden="1">
      <c r="A601" s="353"/>
      <c r="B601" s="7" t="s">
        <v>1290</v>
      </c>
      <c r="C601" s="103" t="s">
        <v>1305</v>
      </c>
      <c r="D601" s="57">
        <v>45746</v>
      </c>
      <c r="F601" s="353" t="s">
        <v>16</v>
      </c>
      <c r="G601" s="11">
        <v>2.2000000000000002</v>
      </c>
      <c r="H601" s="353" t="s">
        <v>1302</v>
      </c>
      <c r="I601" s="353" t="s">
        <v>154</v>
      </c>
      <c r="J601" s="57"/>
      <c r="K601" s="11"/>
      <c r="L601" s="353" t="s">
        <v>1293</v>
      </c>
    </row>
    <row r="602" spans="1:12" hidden="1">
      <c r="A602" s="353"/>
      <c r="B602" s="7" t="s">
        <v>1290</v>
      </c>
      <c r="C602" s="103" t="s">
        <v>1307</v>
      </c>
      <c r="D602" s="57">
        <v>45746</v>
      </c>
      <c r="F602" s="353" t="s">
        <v>16</v>
      </c>
      <c r="G602" s="11">
        <v>103.2</v>
      </c>
      <c r="H602" s="353" t="s">
        <v>1309</v>
      </c>
      <c r="I602" s="353" t="s">
        <v>150</v>
      </c>
      <c r="J602" s="57"/>
      <c r="K602" s="11"/>
      <c r="L602" s="353" t="s">
        <v>1293</v>
      </c>
    </row>
    <row r="603" spans="1:12" hidden="1">
      <c r="A603" s="353"/>
      <c r="B603" s="7" t="s">
        <v>1290</v>
      </c>
      <c r="C603" s="103" t="s">
        <v>1310</v>
      </c>
      <c r="D603" s="57">
        <v>45777</v>
      </c>
      <c r="F603" s="353" t="s">
        <v>16</v>
      </c>
      <c r="G603" s="11">
        <v>60.4</v>
      </c>
      <c r="H603" s="353" t="s">
        <v>565</v>
      </c>
      <c r="I603" s="353" t="s">
        <v>150</v>
      </c>
      <c r="J603" s="57" t="s">
        <v>1251</v>
      </c>
      <c r="K603" s="11"/>
      <c r="L603" s="353" t="s">
        <v>1293</v>
      </c>
    </row>
    <row r="604" spans="1:12" hidden="1">
      <c r="A604" s="353"/>
      <c r="B604" s="7" t="s">
        <v>1290</v>
      </c>
      <c r="C604" s="103" t="s">
        <v>1312</v>
      </c>
      <c r="D604" s="57">
        <v>45807</v>
      </c>
      <c r="F604" s="353" t="s">
        <v>16</v>
      </c>
      <c r="G604" s="11">
        <v>90.8</v>
      </c>
      <c r="H604" s="353" t="s">
        <v>565</v>
      </c>
      <c r="I604" s="353" t="s">
        <v>150</v>
      </c>
      <c r="J604" s="57" t="s">
        <v>1251</v>
      </c>
      <c r="K604" s="11"/>
      <c r="L604" s="353" t="s">
        <v>1293</v>
      </c>
    </row>
    <row r="605" spans="1:12" hidden="1">
      <c r="A605" s="353"/>
      <c r="B605" s="7" t="s">
        <v>1290</v>
      </c>
      <c r="C605" s="103" t="s">
        <v>1314</v>
      </c>
      <c r="D605" s="57">
        <v>45838</v>
      </c>
      <c r="F605" s="353" t="s">
        <v>16</v>
      </c>
      <c r="G605" s="11">
        <v>2.2000000000000002</v>
      </c>
      <c r="H605" s="353" t="s">
        <v>1309</v>
      </c>
      <c r="I605" s="353" t="s">
        <v>150</v>
      </c>
      <c r="J605" s="57" t="s">
        <v>1251</v>
      </c>
      <c r="K605" s="11"/>
      <c r="L605" s="353" t="s">
        <v>1293</v>
      </c>
    </row>
    <row r="606" spans="1:12" hidden="1">
      <c r="A606" s="353"/>
      <c r="B606" s="7" t="s">
        <v>1290</v>
      </c>
      <c r="C606" s="103" t="s">
        <v>1316</v>
      </c>
      <c r="D606" s="57">
        <v>45838</v>
      </c>
      <c r="F606" s="353" t="s">
        <v>16</v>
      </c>
      <c r="G606" s="11">
        <v>37.6</v>
      </c>
      <c r="H606" s="353" t="s">
        <v>1309</v>
      </c>
      <c r="I606" s="353" t="s">
        <v>150</v>
      </c>
      <c r="J606" s="57"/>
      <c r="K606" s="11"/>
      <c r="L606" s="353" t="s">
        <v>1293</v>
      </c>
    </row>
    <row r="607" spans="1:12" hidden="1">
      <c r="A607" s="353"/>
      <c r="B607" s="7" t="s">
        <v>1290</v>
      </c>
      <c r="C607" s="103" t="s">
        <v>1318</v>
      </c>
      <c r="D607" s="57">
        <v>45868</v>
      </c>
      <c r="F607" s="353" t="s">
        <v>16</v>
      </c>
      <c r="G607" s="11">
        <v>18.600000000000001</v>
      </c>
      <c r="H607" s="353" t="s">
        <v>1309</v>
      </c>
      <c r="I607" s="353" t="s">
        <v>150</v>
      </c>
      <c r="J607" s="57"/>
      <c r="K607" s="11"/>
      <c r="L607" s="353" t="s">
        <v>1293</v>
      </c>
    </row>
    <row r="608" spans="1:12" hidden="1">
      <c r="A608" s="353"/>
      <c r="B608" s="7" t="s">
        <v>1290</v>
      </c>
      <c r="C608" s="103" t="s">
        <v>1320</v>
      </c>
      <c r="D608" s="57">
        <v>45899</v>
      </c>
      <c r="F608" s="353" t="s">
        <v>16</v>
      </c>
      <c r="G608" s="11">
        <v>6.6</v>
      </c>
      <c r="H608" s="353" t="s">
        <v>1309</v>
      </c>
      <c r="I608" s="353" t="s">
        <v>150</v>
      </c>
      <c r="J608" s="57"/>
      <c r="K608" s="11"/>
      <c r="L608" s="353" t="s">
        <v>1293</v>
      </c>
    </row>
    <row r="609" spans="1:12" hidden="1">
      <c r="A609" s="353"/>
      <c r="B609" s="7" t="s">
        <v>1290</v>
      </c>
      <c r="C609" s="103" t="s">
        <v>1322</v>
      </c>
      <c r="D609" s="57">
        <v>45899</v>
      </c>
      <c r="F609" s="353" t="s">
        <v>16</v>
      </c>
      <c r="G609" s="11">
        <v>30.4</v>
      </c>
      <c r="H609" s="353" t="s">
        <v>1309</v>
      </c>
      <c r="I609" s="353" t="s">
        <v>150</v>
      </c>
      <c r="J609" s="57"/>
      <c r="K609" s="11"/>
      <c r="L609" s="353" t="s">
        <v>1293</v>
      </c>
    </row>
    <row r="610" spans="1:12" hidden="1">
      <c r="A610" s="353"/>
      <c r="B610" s="7" t="s">
        <v>1290</v>
      </c>
      <c r="C610" s="103" t="s">
        <v>1324</v>
      </c>
      <c r="D610" s="57">
        <v>45930</v>
      </c>
      <c r="F610" s="353" t="s">
        <v>16</v>
      </c>
      <c r="G610" s="11">
        <v>2.2000000000000002</v>
      </c>
      <c r="H610" s="353" t="s">
        <v>1309</v>
      </c>
      <c r="I610" s="353" t="s">
        <v>150</v>
      </c>
      <c r="J610" s="57"/>
      <c r="K610" s="11"/>
      <c r="L610" s="353" t="s">
        <v>1293</v>
      </c>
    </row>
    <row r="611" spans="1:12" hidden="1">
      <c r="A611" s="353"/>
      <c r="B611" s="7" t="s">
        <v>1290</v>
      </c>
      <c r="C611" s="103" t="s">
        <v>1326</v>
      </c>
      <c r="D611" s="57">
        <v>45930</v>
      </c>
      <c r="F611" s="353" t="s">
        <v>16</v>
      </c>
      <c r="G611" s="11">
        <v>13.2</v>
      </c>
      <c r="H611" s="353" t="s">
        <v>1309</v>
      </c>
      <c r="I611" s="353" t="s">
        <v>150</v>
      </c>
      <c r="J611" s="57"/>
      <c r="K611" s="11"/>
      <c r="L611" s="353" t="s">
        <v>1293</v>
      </c>
    </row>
    <row r="612" spans="1:12" hidden="1">
      <c r="A612" s="353"/>
      <c r="B612" s="7" t="s">
        <v>1290</v>
      </c>
      <c r="C612" s="103" t="s">
        <v>1328</v>
      </c>
      <c r="D612" s="57">
        <v>45960</v>
      </c>
      <c r="F612" s="353" t="s">
        <v>16</v>
      </c>
      <c r="G612" s="11">
        <v>24.2</v>
      </c>
      <c r="H612" s="353" t="s">
        <v>1309</v>
      </c>
      <c r="I612" s="353" t="s">
        <v>150</v>
      </c>
      <c r="J612" s="57"/>
      <c r="K612" s="11"/>
      <c r="L612" s="353" t="s">
        <v>1293</v>
      </c>
    </row>
    <row r="613" spans="1:12" hidden="1">
      <c r="A613" s="353"/>
      <c r="B613" s="7" t="s">
        <v>1290</v>
      </c>
      <c r="C613" s="103" t="s">
        <v>1329</v>
      </c>
      <c r="D613" s="57">
        <v>45991</v>
      </c>
      <c r="F613" s="353" t="s">
        <v>16</v>
      </c>
      <c r="G613" s="11">
        <v>25</v>
      </c>
      <c r="H613" s="353" t="s">
        <v>1309</v>
      </c>
      <c r="I613" s="353" t="s">
        <v>150</v>
      </c>
      <c r="J613" s="57"/>
      <c r="K613" s="11"/>
      <c r="L613" s="353" t="s">
        <v>1293</v>
      </c>
    </row>
    <row r="614" spans="1:12" hidden="1">
      <c r="A614" s="353"/>
      <c r="B614" s="7" t="s">
        <v>1290</v>
      </c>
      <c r="C614" s="103" t="s">
        <v>3384</v>
      </c>
      <c r="D614" s="57">
        <v>46021</v>
      </c>
      <c r="E614" s="57">
        <v>46021</v>
      </c>
      <c r="F614" s="353" t="s">
        <v>16</v>
      </c>
      <c r="G614" s="11">
        <v>5.2</v>
      </c>
      <c r="H614" s="353" t="s">
        <v>1309</v>
      </c>
      <c r="I614" s="353" t="s">
        <v>150</v>
      </c>
      <c r="J614" s="57">
        <v>46021</v>
      </c>
      <c r="K614" s="11">
        <v>5.2</v>
      </c>
      <c r="L614" s="353" t="s">
        <v>1293</v>
      </c>
    </row>
    <row r="615" spans="1:12" hidden="1">
      <c r="A615" s="353"/>
      <c r="B615" s="7" t="s">
        <v>1290</v>
      </c>
      <c r="C615" s="103" t="s">
        <v>3385</v>
      </c>
      <c r="D615" s="57">
        <v>46021</v>
      </c>
      <c r="E615" s="57">
        <v>46021</v>
      </c>
      <c r="F615" s="353" t="s">
        <v>16</v>
      </c>
      <c r="G615" s="11">
        <v>6.6</v>
      </c>
      <c r="H615" s="353" t="s">
        <v>1309</v>
      </c>
      <c r="I615" s="353" t="s">
        <v>150</v>
      </c>
      <c r="J615" s="57">
        <v>46021</v>
      </c>
      <c r="K615" s="11">
        <v>6.6</v>
      </c>
      <c r="L615" s="353" t="s">
        <v>1293</v>
      </c>
    </row>
    <row r="616" spans="1:12" hidden="1">
      <c r="A616" s="353"/>
      <c r="B616" s="7" t="s">
        <v>1290</v>
      </c>
      <c r="C616" s="103" t="s">
        <v>3386</v>
      </c>
      <c r="D616" s="57">
        <v>46021</v>
      </c>
      <c r="E616" s="57">
        <v>46021</v>
      </c>
      <c r="F616" s="353" t="s">
        <v>16</v>
      </c>
      <c r="G616" s="11">
        <v>11</v>
      </c>
      <c r="H616" s="353" t="s">
        <v>1309</v>
      </c>
      <c r="I616" s="353" t="s">
        <v>150</v>
      </c>
      <c r="J616" s="57">
        <v>46021</v>
      </c>
      <c r="K616" s="11">
        <v>11</v>
      </c>
      <c r="L616" s="353" t="s">
        <v>1293</v>
      </c>
    </row>
    <row r="617" spans="1:12" hidden="1">
      <c r="A617" s="353"/>
      <c r="B617" s="7" t="s">
        <v>1290</v>
      </c>
      <c r="C617" s="103" t="s">
        <v>4288</v>
      </c>
      <c r="D617" s="57">
        <v>46052</v>
      </c>
      <c r="E617" s="57">
        <v>46052</v>
      </c>
      <c r="F617" s="353" t="s">
        <v>16</v>
      </c>
      <c r="G617" s="11">
        <v>2.2000000000000002</v>
      </c>
      <c r="H617" s="353" t="s">
        <v>1309</v>
      </c>
      <c r="I617" s="353" t="s">
        <v>150</v>
      </c>
      <c r="J617" s="57">
        <v>46052</v>
      </c>
      <c r="K617" s="11">
        <v>2.2000000000000002</v>
      </c>
      <c r="L617" s="353" t="s">
        <v>246</v>
      </c>
    </row>
    <row r="618" spans="1:12" hidden="1">
      <c r="A618" s="353"/>
      <c r="B618" s="7" t="s">
        <v>1290</v>
      </c>
      <c r="C618" s="103" t="s">
        <v>4341</v>
      </c>
      <c r="D618" s="57">
        <v>46081</v>
      </c>
      <c r="E618" s="57">
        <v>46081</v>
      </c>
      <c r="F618" s="353" t="s">
        <v>16</v>
      </c>
      <c r="G618" s="11">
        <v>18.7</v>
      </c>
      <c r="H618" s="353" t="s">
        <v>1309</v>
      </c>
      <c r="I618" s="353" t="s">
        <v>150</v>
      </c>
      <c r="J618" s="57">
        <v>46081</v>
      </c>
      <c r="K618" s="11">
        <v>18.7</v>
      </c>
      <c r="L618" s="353" t="s">
        <v>246</v>
      </c>
    </row>
    <row r="619" spans="1:12">
      <c r="A619" s="353"/>
      <c r="B619" s="7" t="s">
        <v>1330</v>
      </c>
      <c r="C619" s="103" t="s">
        <v>1331</v>
      </c>
      <c r="D619" s="57">
        <v>45747</v>
      </c>
      <c r="F619" s="353"/>
      <c r="G619" s="11">
        <v>57.2</v>
      </c>
      <c r="H619" s="353" t="s">
        <v>279</v>
      </c>
      <c r="I619" s="353" t="s">
        <v>56</v>
      </c>
      <c r="J619" s="57"/>
      <c r="K619" s="11"/>
      <c r="L619" s="353"/>
    </row>
    <row r="620" spans="1:12" hidden="1">
      <c r="A620" s="353"/>
      <c r="B620" s="7" t="s">
        <v>1333</v>
      </c>
      <c r="C620" s="103" t="s">
        <v>1334</v>
      </c>
      <c r="D620" s="57">
        <v>45933</v>
      </c>
      <c r="E620" s="57">
        <v>45991</v>
      </c>
      <c r="F620" s="353" t="s">
        <v>16</v>
      </c>
      <c r="G620" s="11">
        <v>112.07</v>
      </c>
      <c r="H620" s="353" t="s">
        <v>87</v>
      </c>
      <c r="I620" s="353" t="s">
        <v>56</v>
      </c>
      <c r="J620" s="57"/>
      <c r="K620" s="11">
        <v>112.07</v>
      </c>
      <c r="L620" s="353"/>
    </row>
    <row r="621" spans="1:12" hidden="1">
      <c r="A621" s="353"/>
      <c r="B621" s="7" t="s">
        <v>1333</v>
      </c>
      <c r="C621" s="103" t="s">
        <v>1336</v>
      </c>
      <c r="D621" s="57">
        <v>46003</v>
      </c>
      <c r="E621" s="57">
        <v>45688</v>
      </c>
      <c r="F621" s="353"/>
      <c r="G621" s="11">
        <v>361.17</v>
      </c>
      <c r="H621" s="353" t="s">
        <v>1337</v>
      </c>
      <c r="I621" s="353" t="s">
        <v>83</v>
      </c>
      <c r="J621" s="57"/>
      <c r="K621" s="11">
        <v>361.07</v>
      </c>
      <c r="L621" s="353"/>
    </row>
    <row r="622" spans="1:12" hidden="1">
      <c r="A622" s="353" t="s">
        <v>13</v>
      </c>
      <c r="B622" s="7" t="s">
        <v>1338</v>
      </c>
      <c r="C622" s="103" t="s">
        <v>1339</v>
      </c>
      <c r="D622" s="57">
        <v>45684</v>
      </c>
      <c r="E622" s="57">
        <v>45726</v>
      </c>
      <c r="F622" s="353" t="s">
        <v>16</v>
      </c>
      <c r="G622" s="11">
        <v>13000</v>
      </c>
      <c r="H622" s="353" t="s">
        <v>55</v>
      </c>
      <c r="I622" s="353" t="s">
        <v>1341</v>
      </c>
      <c r="J622" s="57"/>
      <c r="K622" s="11">
        <v>-13000</v>
      </c>
      <c r="L622" s="353" t="s">
        <v>1342</v>
      </c>
    </row>
    <row r="623" spans="1:12" hidden="1">
      <c r="A623" s="353" t="s">
        <v>13</v>
      </c>
      <c r="B623" s="7" t="s">
        <v>1338</v>
      </c>
      <c r="C623" s="103" t="s">
        <v>1339</v>
      </c>
      <c r="D623" s="57">
        <v>45684</v>
      </c>
      <c r="E623" s="57">
        <v>45726</v>
      </c>
      <c r="F623" s="353" t="s">
        <v>16</v>
      </c>
      <c r="G623" s="11">
        <v>13000</v>
      </c>
      <c r="H623" s="353" t="s">
        <v>55</v>
      </c>
      <c r="I623" s="353" t="s">
        <v>1341</v>
      </c>
      <c r="J623" s="57"/>
      <c r="K623" s="11">
        <v>13000</v>
      </c>
      <c r="L623" s="353" t="s">
        <v>1343</v>
      </c>
    </row>
    <row r="624" spans="1:12" hidden="1">
      <c r="A624" s="353" t="s">
        <v>13</v>
      </c>
      <c r="B624" s="7" t="s">
        <v>1338</v>
      </c>
      <c r="C624" s="103" t="s">
        <v>1339</v>
      </c>
      <c r="D624" s="57">
        <v>45684</v>
      </c>
      <c r="E624" s="57">
        <v>45726</v>
      </c>
      <c r="F624" s="353"/>
      <c r="G624" s="11">
        <v>27090</v>
      </c>
      <c r="H624" s="353" t="s">
        <v>1344</v>
      </c>
      <c r="I624" s="353" t="s">
        <v>83</v>
      </c>
      <c r="J624" s="57">
        <v>45945</v>
      </c>
      <c r="K624" s="11">
        <v>13000</v>
      </c>
      <c r="L624" s="353" t="s">
        <v>394</v>
      </c>
    </row>
    <row r="625" spans="1:12" hidden="1">
      <c r="A625" s="353" t="s">
        <v>13</v>
      </c>
      <c r="B625" s="7" t="s">
        <v>1338</v>
      </c>
      <c r="C625" s="103" t="s">
        <v>1339</v>
      </c>
      <c r="D625" s="57">
        <v>45684</v>
      </c>
      <c r="E625" s="57">
        <v>45757</v>
      </c>
      <c r="F625" s="353"/>
      <c r="G625" s="11">
        <v>53090</v>
      </c>
      <c r="H625" s="353" t="s">
        <v>1344</v>
      </c>
      <c r="I625" s="353" t="s">
        <v>83</v>
      </c>
      <c r="J625" s="57">
        <v>45968</v>
      </c>
      <c r="K625" s="11">
        <v>13000</v>
      </c>
      <c r="L625" s="353" t="s">
        <v>394</v>
      </c>
    </row>
    <row r="626" spans="1:12" hidden="1">
      <c r="A626" s="353" t="s">
        <v>13</v>
      </c>
      <c r="B626" s="7" t="s">
        <v>712</v>
      </c>
      <c r="C626" s="103" t="s">
        <v>3260</v>
      </c>
      <c r="D626" s="57">
        <v>45181</v>
      </c>
      <c r="E626" s="57">
        <v>45240</v>
      </c>
      <c r="F626" s="353" t="s">
        <v>16</v>
      </c>
      <c r="G626" s="11">
        <v>10000</v>
      </c>
      <c r="H626" s="353" t="s">
        <v>1345</v>
      </c>
      <c r="I626" s="353" t="s">
        <v>56</v>
      </c>
      <c r="J626" s="57"/>
      <c r="K626" s="11"/>
      <c r="L626" s="353"/>
    </row>
    <row r="627" spans="1:12" hidden="1">
      <c r="A627" s="353" t="s">
        <v>13</v>
      </c>
      <c r="B627" s="7" t="s">
        <v>1346</v>
      </c>
      <c r="C627" s="103" t="s">
        <v>1347</v>
      </c>
      <c r="D627" s="57">
        <v>45972</v>
      </c>
      <c r="E627" s="57">
        <v>45972</v>
      </c>
      <c r="F627" s="353" t="s">
        <v>16</v>
      </c>
      <c r="G627" s="11">
        <v>4200</v>
      </c>
      <c r="H627" s="353" t="s">
        <v>1348</v>
      </c>
      <c r="I627" s="353" t="s">
        <v>83</v>
      </c>
      <c r="J627" s="57">
        <v>45957</v>
      </c>
      <c r="K627" s="11">
        <v>4200</v>
      </c>
      <c r="L627" s="353" t="s">
        <v>246</v>
      </c>
    </row>
    <row r="628" spans="1:12" hidden="1">
      <c r="A628" s="353" t="s">
        <v>1349</v>
      </c>
      <c r="B628" s="7" t="s">
        <v>1346</v>
      </c>
      <c r="C628" s="103" t="s">
        <v>1350</v>
      </c>
      <c r="D628" s="57">
        <v>45972</v>
      </c>
      <c r="E628" s="57">
        <v>45972</v>
      </c>
      <c r="F628" s="353" t="s">
        <v>16</v>
      </c>
      <c r="G628" s="11">
        <v>410</v>
      </c>
      <c r="H628" s="353" t="s">
        <v>1351</v>
      </c>
      <c r="I628" s="353" t="s">
        <v>83</v>
      </c>
      <c r="J628" s="57"/>
      <c r="K628" s="11"/>
      <c r="L628" s="353"/>
    </row>
    <row r="629" spans="1:12" hidden="1">
      <c r="A629" s="353" t="s">
        <v>13</v>
      </c>
      <c r="B629" s="7" t="s">
        <v>1352</v>
      </c>
      <c r="C629" s="103" t="s">
        <v>1353</v>
      </c>
      <c r="D629" s="57">
        <v>45870</v>
      </c>
      <c r="F629" s="353" t="s">
        <v>16</v>
      </c>
      <c r="G629" s="11">
        <v>689</v>
      </c>
      <c r="H629" s="353" t="s">
        <v>1355</v>
      </c>
      <c r="I629" s="353" t="s">
        <v>56</v>
      </c>
      <c r="J629" s="57"/>
      <c r="K629" s="11"/>
      <c r="L629" s="353"/>
    </row>
    <row r="630" spans="1:12" hidden="1">
      <c r="A630" s="353" t="s">
        <v>13</v>
      </c>
      <c r="B630" s="7" t="s">
        <v>1352</v>
      </c>
      <c r="C630" s="103" t="s">
        <v>1356</v>
      </c>
      <c r="D630" s="57">
        <v>45901</v>
      </c>
      <c r="F630" s="353" t="s">
        <v>16</v>
      </c>
      <c r="G630" s="11">
        <v>416</v>
      </c>
      <c r="H630" s="353" t="s">
        <v>1355</v>
      </c>
      <c r="I630" s="353" t="s">
        <v>215</v>
      </c>
      <c r="J630" s="57"/>
      <c r="K630" s="11"/>
      <c r="L630" s="353"/>
    </row>
    <row r="631" spans="1:12" hidden="1">
      <c r="A631" s="353" t="s">
        <v>13</v>
      </c>
      <c r="B631" s="7" t="s">
        <v>1352</v>
      </c>
      <c r="C631" s="103" t="s">
        <v>1358</v>
      </c>
      <c r="D631" s="57">
        <v>45930</v>
      </c>
      <c r="F631" s="353" t="s">
        <v>16</v>
      </c>
      <c r="G631" s="11">
        <v>1066</v>
      </c>
      <c r="H631" s="353" t="s">
        <v>1360</v>
      </c>
      <c r="I631" s="353" t="s">
        <v>215</v>
      </c>
      <c r="J631" s="57"/>
      <c r="K631" s="11"/>
      <c r="L631" s="353"/>
    </row>
    <row r="632" spans="1:12" hidden="1">
      <c r="A632" s="353" t="s">
        <v>13</v>
      </c>
      <c r="B632" s="7" t="s">
        <v>1352</v>
      </c>
      <c r="C632" s="103" t="s">
        <v>1361</v>
      </c>
      <c r="D632" s="57">
        <v>45965</v>
      </c>
      <c r="E632" s="57">
        <v>45965</v>
      </c>
      <c r="F632" s="353" t="s">
        <v>16</v>
      </c>
      <c r="G632" s="11">
        <v>611</v>
      </c>
      <c r="H632" s="353" t="s">
        <v>1363</v>
      </c>
      <c r="I632" s="353" t="s">
        <v>215</v>
      </c>
      <c r="J632" s="57"/>
      <c r="K632" s="11">
        <v>611</v>
      </c>
      <c r="L632" s="353" t="s">
        <v>1364</v>
      </c>
    </row>
    <row r="633" spans="1:12" hidden="1">
      <c r="A633" s="353" t="s">
        <v>13</v>
      </c>
      <c r="B633" s="7" t="s">
        <v>1352</v>
      </c>
      <c r="C633" s="103" t="s">
        <v>1365</v>
      </c>
      <c r="D633" s="57">
        <v>45994</v>
      </c>
      <c r="E633" s="57">
        <v>45994</v>
      </c>
      <c r="F633" s="353" t="s">
        <v>16</v>
      </c>
      <c r="G633" s="11">
        <v>520</v>
      </c>
      <c r="H633" s="353" t="s">
        <v>1363</v>
      </c>
      <c r="I633" s="353" t="s">
        <v>215</v>
      </c>
      <c r="J633" s="57"/>
      <c r="K633" s="11">
        <v>520</v>
      </c>
      <c r="L633" s="353" t="s">
        <v>1364</v>
      </c>
    </row>
    <row r="634" spans="1:12" hidden="1">
      <c r="A634" s="353"/>
      <c r="B634" s="7" t="s">
        <v>1352</v>
      </c>
      <c r="C634" s="103" t="s">
        <v>3387</v>
      </c>
      <c r="D634" s="57">
        <v>46022</v>
      </c>
      <c r="F634" s="353" t="s">
        <v>16</v>
      </c>
      <c r="G634" s="11">
        <v>351</v>
      </c>
      <c r="H634" s="353" t="s">
        <v>1363</v>
      </c>
      <c r="I634" s="353" t="s">
        <v>215</v>
      </c>
      <c r="J634" s="57"/>
      <c r="K634" s="11">
        <v>351</v>
      </c>
      <c r="L634" s="353" t="s">
        <v>1364</v>
      </c>
    </row>
    <row r="635" spans="1:12" hidden="1">
      <c r="A635" s="353"/>
      <c r="B635" s="7" t="s">
        <v>1352</v>
      </c>
      <c r="C635" s="103" t="s">
        <v>4289</v>
      </c>
      <c r="D635" s="57">
        <v>46055</v>
      </c>
      <c r="E635" s="57">
        <v>46055</v>
      </c>
      <c r="F635" s="353" t="s">
        <v>16</v>
      </c>
      <c r="G635" s="11">
        <v>455</v>
      </c>
      <c r="H635" s="353" t="s">
        <v>1363</v>
      </c>
      <c r="I635" s="353" t="s">
        <v>215</v>
      </c>
      <c r="J635" s="57"/>
      <c r="K635" s="11">
        <v>455</v>
      </c>
      <c r="L635" s="353" t="s">
        <v>1364</v>
      </c>
    </row>
    <row r="636" spans="1:12" hidden="1">
      <c r="A636" s="353" t="s">
        <v>13</v>
      </c>
      <c r="B636" s="7" t="s">
        <v>1366</v>
      </c>
      <c r="C636" s="103" t="s">
        <v>893</v>
      </c>
      <c r="D636" s="57">
        <v>45950</v>
      </c>
      <c r="E636" s="57">
        <v>45950</v>
      </c>
      <c r="F636" s="353" t="s">
        <v>16</v>
      </c>
      <c r="G636" s="11">
        <v>2850</v>
      </c>
      <c r="H636" s="353" t="s">
        <v>1367</v>
      </c>
      <c r="I636" s="353" t="s">
        <v>1368</v>
      </c>
      <c r="J636" s="57">
        <v>45953</v>
      </c>
      <c r="K636" s="11">
        <v>2850</v>
      </c>
      <c r="L636" s="353" t="s">
        <v>70</v>
      </c>
    </row>
    <row r="637" spans="1:12" hidden="1">
      <c r="A637" s="353"/>
      <c r="B637" s="7" t="s">
        <v>1369</v>
      </c>
      <c r="C637" s="103" t="s">
        <v>3262</v>
      </c>
      <c r="D637" s="57">
        <v>44000</v>
      </c>
      <c r="F637" s="353" t="s">
        <v>16</v>
      </c>
      <c r="G637" s="11">
        <v>250</v>
      </c>
      <c r="H637" s="353" t="s">
        <v>1371</v>
      </c>
      <c r="I637" s="353" t="s">
        <v>185</v>
      </c>
      <c r="J637" s="57"/>
      <c r="K637" s="11"/>
      <c r="L637" s="353"/>
    </row>
    <row r="638" spans="1:12" hidden="1">
      <c r="A638" s="353"/>
      <c r="B638" s="7" t="s">
        <v>1378</v>
      </c>
      <c r="C638" s="103" t="s">
        <v>1379</v>
      </c>
      <c r="D638" s="57">
        <v>45714</v>
      </c>
      <c r="F638" s="353" t="s">
        <v>16</v>
      </c>
      <c r="G638" s="11">
        <v>47.64</v>
      </c>
      <c r="H638" s="353" t="s">
        <v>279</v>
      </c>
      <c r="I638" s="353" t="s">
        <v>597</v>
      </c>
      <c r="J638" s="57">
        <v>45817</v>
      </c>
      <c r="K638" s="11">
        <v>2216.0500000000002</v>
      </c>
      <c r="L638" s="353"/>
    </row>
    <row r="639" spans="1:12" hidden="1">
      <c r="A639" s="353"/>
      <c r="B639" s="7" t="s">
        <v>1381</v>
      </c>
      <c r="C639" s="103" t="s">
        <v>1382</v>
      </c>
      <c r="D639" s="57">
        <v>45716</v>
      </c>
      <c r="F639" s="353" t="s">
        <v>16</v>
      </c>
      <c r="G639" s="11">
        <v>2216.0500000000002</v>
      </c>
      <c r="H639" s="353" t="s">
        <v>1384</v>
      </c>
      <c r="I639" s="353" t="s">
        <v>125</v>
      </c>
      <c r="J639" s="57">
        <v>45853</v>
      </c>
      <c r="K639" s="11"/>
      <c r="L639" s="353" t="s">
        <v>345</v>
      </c>
    </row>
    <row r="640" spans="1:12" hidden="1">
      <c r="A640" s="353"/>
      <c r="B640" s="7" t="s">
        <v>1381</v>
      </c>
      <c r="C640" s="103" t="s">
        <v>1382</v>
      </c>
      <c r="D640" s="57">
        <v>45716</v>
      </c>
      <c r="F640" s="353" t="s">
        <v>16</v>
      </c>
      <c r="G640" s="11">
        <v>2216.04</v>
      </c>
      <c r="H640" s="353" t="s">
        <v>1384</v>
      </c>
      <c r="I640" s="353" t="s">
        <v>125</v>
      </c>
      <c r="J640" s="57">
        <v>45817</v>
      </c>
      <c r="K640" s="11"/>
      <c r="L640" s="353" t="s">
        <v>111</v>
      </c>
    </row>
    <row r="641" spans="1:12" hidden="1">
      <c r="A641" s="353"/>
      <c r="B641" s="7" t="s">
        <v>1385</v>
      </c>
      <c r="C641" s="103" t="s">
        <v>1386</v>
      </c>
      <c r="D641" s="57">
        <v>45729</v>
      </c>
      <c r="F641" s="353" t="s">
        <v>16</v>
      </c>
      <c r="G641" s="11">
        <v>28.94</v>
      </c>
      <c r="H641" s="353"/>
      <c r="I641" s="353" t="s">
        <v>794</v>
      </c>
      <c r="J641" s="57"/>
      <c r="K641" s="11"/>
      <c r="L641" s="353"/>
    </row>
    <row r="642" spans="1:12" hidden="1">
      <c r="A642" s="353"/>
      <c r="B642" s="7" t="s">
        <v>1388</v>
      </c>
      <c r="C642" s="103" t="s">
        <v>1389</v>
      </c>
      <c r="D642" s="57">
        <v>45671</v>
      </c>
      <c r="E642" s="57">
        <v>45716</v>
      </c>
      <c r="F642" s="353" t="s">
        <v>16</v>
      </c>
      <c r="G642" s="11">
        <v>597.79999999999995</v>
      </c>
      <c r="H642" s="353" t="s">
        <v>1093</v>
      </c>
      <c r="I642" s="353" t="s">
        <v>110</v>
      </c>
      <c r="J642" s="57"/>
      <c r="K642" s="11"/>
      <c r="L642" s="353"/>
    </row>
    <row r="643" spans="1:12" hidden="1">
      <c r="A643" s="353"/>
      <c r="B643" s="7" t="s">
        <v>1388</v>
      </c>
      <c r="C643" s="103" t="s">
        <v>1391</v>
      </c>
      <c r="D643" s="57">
        <v>45828</v>
      </c>
      <c r="F643" s="353" t="s">
        <v>16</v>
      </c>
      <c r="G643" s="11">
        <v>219.6</v>
      </c>
      <c r="H643" s="353" t="s">
        <v>279</v>
      </c>
      <c r="I643" s="353" t="s">
        <v>66</v>
      </c>
      <c r="J643" s="57"/>
      <c r="K643" s="11"/>
      <c r="L643" s="353"/>
    </row>
    <row r="644" spans="1:12" hidden="1">
      <c r="A644" s="353"/>
      <c r="B644" s="7" t="s">
        <v>1393</v>
      </c>
      <c r="C644" s="103" t="s">
        <v>1394</v>
      </c>
      <c r="D644" s="57">
        <v>45761</v>
      </c>
      <c r="E644" s="57">
        <v>45808</v>
      </c>
      <c r="F644" s="353" t="s">
        <v>16</v>
      </c>
      <c r="G644" s="11">
        <v>1378.6</v>
      </c>
      <c r="H644" s="353" t="s">
        <v>312</v>
      </c>
      <c r="I644" s="353" t="s">
        <v>66</v>
      </c>
      <c r="J644" s="57">
        <v>45854</v>
      </c>
      <c r="K644" s="11">
        <v>1378.6</v>
      </c>
      <c r="L644" s="353" t="s">
        <v>345</v>
      </c>
    </row>
    <row r="645" spans="1:12" hidden="1">
      <c r="A645" s="353" t="s">
        <v>13</v>
      </c>
      <c r="B645" s="7" t="s">
        <v>1396</v>
      </c>
      <c r="C645" s="103" t="s">
        <v>1397</v>
      </c>
      <c r="D645" s="57">
        <v>45857</v>
      </c>
      <c r="E645" s="57">
        <v>45900</v>
      </c>
      <c r="F645" s="353" t="s">
        <v>16</v>
      </c>
      <c r="G645" s="11">
        <v>329.4</v>
      </c>
      <c r="H645" s="353" t="s">
        <v>1399</v>
      </c>
      <c r="I645" s="353" t="s">
        <v>491</v>
      </c>
      <c r="J645" s="57">
        <v>45945</v>
      </c>
      <c r="K645" s="11">
        <v>329.4</v>
      </c>
      <c r="L645" s="353" t="s">
        <v>246</v>
      </c>
    </row>
    <row r="646" spans="1:12" hidden="1">
      <c r="A646" s="353"/>
      <c r="B646" s="7" t="s">
        <v>1400</v>
      </c>
      <c r="C646" s="103" t="s">
        <v>1401</v>
      </c>
      <c r="D646" s="57">
        <v>45819</v>
      </c>
      <c r="F646" s="353" t="s">
        <v>16</v>
      </c>
      <c r="G646" s="11">
        <v>120.5</v>
      </c>
      <c r="H646" s="353" t="s">
        <v>457</v>
      </c>
      <c r="I646" s="353"/>
      <c r="J646" s="57"/>
      <c r="K646" s="11"/>
      <c r="L646" s="353" t="s">
        <v>1403</v>
      </c>
    </row>
    <row r="647" spans="1:12" hidden="1">
      <c r="A647" s="353"/>
      <c r="B647" s="7" t="s">
        <v>1404</v>
      </c>
      <c r="C647" s="103" t="s">
        <v>1405</v>
      </c>
      <c r="D647" s="57">
        <v>45322</v>
      </c>
      <c r="E647" s="57">
        <v>45422</v>
      </c>
      <c r="F647" s="353"/>
      <c r="G647" s="11">
        <v>13200</v>
      </c>
      <c r="H647" s="353" t="s">
        <v>1407</v>
      </c>
      <c r="I647" s="353" t="s">
        <v>1408</v>
      </c>
      <c r="J647" s="57">
        <v>45728</v>
      </c>
      <c r="K647" s="11">
        <v>12985.9</v>
      </c>
      <c r="L647" s="353"/>
    </row>
    <row r="648" spans="1:12" hidden="1">
      <c r="A648" s="353"/>
      <c r="B648" s="7" t="s">
        <v>1404</v>
      </c>
      <c r="C648" s="103" t="s">
        <v>1405</v>
      </c>
      <c r="D648" s="57">
        <v>45322</v>
      </c>
      <c r="E648" s="57">
        <v>45422</v>
      </c>
      <c r="F648" s="353" t="s">
        <v>16</v>
      </c>
      <c r="G648" s="11">
        <v>9360</v>
      </c>
      <c r="H648" s="353" t="s">
        <v>1407</v>
      </c>
      <c r="I648" s="353" t="s">
        <v>56</v>
      </c>
      <c r="J648" s="57"/>
      <c r="K648" s="11"/>
      <c r="L648" s="353"/>
    </row>
    <row r="649" spans="1:12" hidden="1">
      <c r="A649" s="353"/>
      <c r="B649" s="7" t="s">
        <v>1404</v>
      </c>
      <c r="C649" s="103" t="s">
        <v>1405</v>
      </c>
      <c r="D649" s="57">
        <v>45322</v>
      </c>
      <c r="E649" s="57">
        <v>45422</v>
      </c>
      <c r="F649" s="353"/>
      <c r="G649" s="11">
        <v>9928.5</v>
      </c>
      <c r="H649" s="353" t="s">
        <v>1407</v>
      </c>
      <c r="I649" s="353" t="s">
        <v>56</v>
      </c>
      <c r="J649" s="57">
        <v>45728</v>
      </c>
      <c r="K649" s="11">
        <v>12985.9</v>
      </c>
      <c r="L649" s="353"/>
    </row>
    <row r="650" spans="1:12" hidden="1">
      <c r="A650" s="353"/>
      <c r="B650" s="7" t="s">
        <v>1404</v>
      </c>
      <c r="C650" s="103" t="s">
        <v>1409</v>
      </c>
      <c r="D650" s="57">
        <v>45412</v>
      </c>
      <c r="E650" s="57">
        <v>45514</v>
      </c>
      <c r="F650" s="353" t="s">
        <v>16</v>
      </c>
      <c r="G650" s="11">
        <v>27.95</v>
      </c>
      <c r="H650" s="353" t="s">
        <v>1411</v>
      </c>
      <c r="I650" s="353" t="s">
        <v>56</v>
      </c>
      <c r="J650" s="57">
        <v>45728</v>
      </c>
      <c r="K650" s="11">
        <v>12985.9</v>
      </c>
      <c r="L650" s="353"/>
    </row>
    <row r="651" spans="1:12" hidden="1">
      <c r="A651" s="353"/>
      <c r="B651" s="7" t="s">
        <v>1404</v>
      </c>
      <c r="C651" s="103" t="s">
        <v>1412</v>
      </c>
      <c r="D651" s="57">
        <v>45443</v>
      </c>
      <c r="E651" s="57">
        <v>45545</v>
      </c>
      <c r="F651" s="353" t="s">
        <v>16</v>
      </c>
      <c r="G651" s="11">
        <v>591.91999999999996</v>
      </c>
      <c r="H651" s="353" t="s">
        <v>1414</v>
      </c>
      <c r="I651" s="353" t="s">
        <v>56</v>
      </c>
      <c r="J651" s="57">
        <v>45728</v>
      </c>
      <c r="K651" s="11">
        <v>12985.9</v>
      </c>
      <c r="L651" s="353"/>
    </row>
    <row r="652" spans="1:12" hidden="1">
      <c r="A652" s="353"/>
      <c r="B652" s="7" t="s">
        <v>1404</v>
      </c>
      <c r="C652" s="103" t="s">
        <v>1415</v>
      </c>
      <c r="D652" s="57">
        <v>45504</v>
      </c>
      <c r="E652" s="57">
        <v>45575</v>
      </c>
      <c r="F652" s="353" t="s">
        <v>16</v>
      </c>
      <c r="G652" s="11">
        <v>842.53</v>
      </c>
      <c r="H652" s="353" t="s">
        <v>484</v>
      </c>
      <c r="I652" s="353" t="s">
        <v>56</v>
      </c>
      <c r="J652" s="57">
        <v>45728</v>
      </c>
      <c r="K652" s="11">
        <v>12985.9</v>
      </c>
      <c r="L652" s="353"/>
    </row>
    <row r="653" spans="1:12" hidden="1">
      <c r="A653" s="353"/>
      <c r="B653" s="7" t="s">
        <v>1404</v>
      </c>
      <c r="C653" s="103" t="s">
        <v>1417</v>
      </c>
      <c r="D653" s="57">
        <v>45535</v>
      </c>
      <c r="E653" s="57">
        <v>45606</v>
      </c>
      <c r="F653" s="353" t="s">
        <v>16</v>
      </c>
      <c r="G653" s="11">
        <v>1294.52</v>
      </c>
      <c r="H653" s="353" t="s">
        <v>342</v>
      </c>
      <c r="I653" s="353" t="s">
        <v>56</v>
      </c>
      <c r="J653" s="57">
        <v>45728</v>
      </c>
      <c r="K653" s="11">
        <v>12985.9</v>
      </c>
      <c r="L653" s="353"/>
    </row>
    <row r="654" spans="1:12" hidden="1">
      <c r="A654" s="353"/>
      <c r="B654" s="7" t="s">
        <v>1404</v>
      </c>
      <c r="C654" s="103" t="s">
        <v>1419</v>
      </c>
      <c r="D654" s="57">
        <v>45565</v>
      </c>
      <c r="E654" s="57">
        <v>45667</v>
      </c>
      <c r="F654" s="353" t="s">
        <v>16</v>
      </c>
      <c r="G654" s="11">
        <v>280.5</v>
      </c>
      <c r="H654" s="353" t="s">
        <v>840</v>
      </c>
      <c r="I654" s="353" t="s">
        <v>597</v>
      </c>
      <c r="J654" s="57">
        <v>45728</v>
      </c>
      <c r="K654" s="11">
        <v>12985.9</v>
      </c>
      <c r="L654" s="353"/>
    </row>
    <row r="655" spans="1:12" hidden="1">
      <c r="A655" s="353"/>
      <c r="B655" s="7" t="s">
        <v>1404</v>
      </c>
      <c r="C655" s="103" t="s">
        <v>1421</v>
      </c>
      <c r="D655" s="57">
        <v>45626</v>
      </c>
      <c r="E655" s="57">
        <v>45726</v>
      </c>
      <c r="F655" s="353" t="s">
        <v>16</v>
      </c>
      <c r="G655" s="11">
        <v>567.80999999999995</v>
      </c>
      <c r="H655" s="353" t="s">
        <v>342</v>
      </c>
      <c r="I655" s="353" t="s">
        <v>56</v>
      </c>
      <c r="J655" s="57">
        <v>45728</v>
      </c>
      <c r="K655" s="11">
        <v>12985.9</v>
      </c>
      <c r="L655" s="353"/>
    </row>
    <row r="656" spans="1:12" hidden="1">
      <c r="A656" s="353"/>
      <c r="B656" s="7" t="s">
        <v>1404</v>
      </c>
      <c r="C656" s="103" t="s">
        <v>1423</v>
      </c>
      <c r="D656" s="57">
        <v>45656</v>
      </c>
      <c r="E656" s="57">
        <v>45656</v>
      </c>
      <c r="F656" s="353" t="s">
        <v>16</v>
      </c>
      <c r="G656" s="11">
        <v>20.67</v>
      </c>
      <c r="H656" s="353" t="s">
        <v>592</v>
      </c>
      <c r="I656" s="353" t="s">
        <v>56</v>
      </c>
      <c r="J656" s="57"/>
      <c r="K656" s="11">
        <v>12985.9</v>
      </c>
      <c r="L656" s="353"/>
    </row>
    <row r="657" spans="1:12" hidden="1">
      <c r="A657" s="353"/>
      <c r="B657" s="7" t="s">
        <v>1404</v>
      </c>
      <c r="C657" s="103" t="s">
        <v>641</v>
      </c>
      <c r="D657" s="57">
        <v>45747</v>
      </c>
      <c r="E657" s="57">
        <v>45747</v>
      </c>
      <c r="F657" s="353"/>
      <c r="G657" s="11">
        <v>3159.26</v>
      </c>
      <c r="H657" s="353" t="s">
        <v>655</v>
      </c>
      <c r="I657" s="353" t="s">
        <v>56</v>
      </c>
      <c r="J657" s="57"/>
      <c r="K657" s="11"/>
      <c r="L657" s="353"/>
    </row>
    <row r="658" spans="1:12" hidden="1">
      <c r="A658" s="353"/>
      <c r="B658" s="7" t="s">
        <v>1404</v>
      </c>
      <c r="C658" s="103" t="s">
        <v>1426</v>
      </c>
      <c r="D658" s="57">
        <v>45777</v>
      </c>
      <c r="E658" s="57">
        <v>45879</v>
      </c>
      <c r="F658" s="353"/>
      <c r="G658" s="11">
        <v>4452.29</v>
      </c>
      <c r="H658" s="353"/>
      <c r="I658" s="353" t="s">
        <v>56</v>
      </c>
      <c r="J658" s="57"/>
      <c r="K658" s="11"/>
      <c r="L658" s="353"/>
    </row>
    <row r="659" spans="1:12" hidden="1">
      <c r="A659" s="353"/>
      <c r="B659" s="7" t="s">
        <v>1404</v>
      </c>
      <c r="C659" s="103" t="s">
        <v>1428</v>
      </c>
      <c r="D659" s="57">
        <v>45807</v>
      </c>
      <c r="E659" s="57">
        <v>45910</v>
      </c>
      <c r="F659" s="353"/>
      <c r="G659" s="11">
        <v>51.92</v>
      </c>
      <c r="H659" s="353" t="s">
        <v>588</v>
      </c>
      <c r="I659" s="353" t="s">
        <v>56</v>
      </c>
      <c r="J659" s="57"/>
      <c r="K659" s="11"/>
      <c r="L659" s="353"/>
    </row>
    <row r="660" spans="1:12" hidden="1">
      <c r="A660" s="353"/>
      <c r="B660" s="7" t="s">
        <v>1404</v>
      </c>
      <c r="C660" s="103" t="s">
        <v>1430</v>
      </c>
      <c r="D660" s="57">
        <v>45838</v>
      </c>
      <c r="E660" s="57">
        <v>45940</v>
      </c>
      <c r="F660" s="353"/>
      <c r="G660" s="11">
        <v>364.54</v>
      </c>
      <c r="H660" s="353" t="s">
        <v>1432</v>
      </c>
      <c r="I660" s="353" t="s">
        <v>66</v>
      </c>
      <c r="J660" s="57"/>
      <c r="K660" s="11"/>
      <c r="L660" s="353"/>
    </row>
    <row r="661" spans="1:12" hidden="1">
      <c r="A661" s="353"/>
      <c r="B661" s="7" t="s">
        <v>1404</v>
      </c>
      <c r="C661" s="103" t="s">
        <v>1433</v>
      </c>
      <c r="D661" s="57">
        <v>45838</v>
      </c>
      <c r="E661" s="57">
        <v>45940</v>
      </c>
      <c r="F661" s="353"/>
      <c r="G661" s="11">
        <v>36.6</v>
      </c>
      <c r="H661" s="353"/>
      <c r="I661" s="353" t="s">
        <v>66</v>
      </c>
      <c r="J661" s="57"/>
      <c r="K661" s="11">
        <v>12985.9</v>
      </c>
      <c r="L661" s="353"/>
    </row>
    <row r="662" spans="1:12" hidden="1">
      <c r="A662" s="353"/>
      <c r="B662" s="7" t="s">
        <v>1435</v>
      </c>
      <c r="C662" s="103" t="s">
        <v>1436</v>
      </c>
      <c r="D662" s="57">
        <v>45742</v>
      </c>
      <c r="F662" s="353" t="s">
        <v>16</v>
      </c>
      <c r="G662" s="11">
        <v>87.23</v>
      </c>
      <c r="H662" s="353" t="s">
        <v>1093</v>
      </c>
      <c r="I662" s="353"/>
      <c r="J662" s="57"/>
      <c r="K662" s="11"/>
      <c r="L662" s="353"/>
    </row>
    <row r="663" spans="1:12" hidden="1">
      <c r="A663" s="353"/>
      <c r="B663" s="7" t="s">
        <v>1438</v>
      </c>
      <c r="C663" s="103" t="s">
        <v>1439</v>
      </c>
      <c r="D663" s="57">
        <v>45701</v>
      </c>
      <c r="E663" s="57">
        <v>45713</v>
      </c>
      <c r="F663" s="353" t="s">
        <v>16</v>
      </c>
      <c r="G663" s="11">
        <v>154.22</v>
      </c>
      <c r="H663" s="353" t="s">
        <v>1348</v>
      </c>
      <c r="I663" s="353" t="s">
        <v>150</v>
      </c>
      <c r="J663" s="57"/>
      <c r="K663" s="11"/>
      <c r="L663" s="353"/>
    </row>
    <row r="664" spans="1:12" hidden="1">
      <c r="A664" s="353"/>
      <c r="B664" s="7" t="s">
        <v>1438</v>
      </c>
      <c r="C664" s="103" t="s">
        <v>1441</v>
      </c>
      <c r="D664" s="57">
        <v>45734</v>
      </c>
      <c r="F664" s="353" t="s">
        <v>16</v>
      </c>
      <c r="G664" s="11">
        <v>154.22</v>
      </c>
      <c r="H664" s="353" t="s">
        <v>1443</v>
      </c>
      <c r="I664" s="353" t="s">
        <v>150</v>
      </c>
      <c r="J664" s="57"/>
      <c r="K664" s="11"/>
      <c r="L664" s="353"/>
    </row>
    <row r="665" spans="1:12" hidden="1">
      <c r="A665" s="353"/>
      <c r="B665" s="7" t="s">
        <v>1444</v>
      </c>
      <c r="C665" s="103" t="s">
        <v>1445</v>
      </c>
      <c r="D665" s="57">
        <v>45539</v>
      </c>
      <c r="E665" s="57">
        <v>45606</v>
      </c>
      <c r="F665" s="353" t="s">
        <v>16</v>
      </c>
      <c r="G665" s="11">
        <v>5950</v>
      </c>
      <c r="H665" s="353" t="s">
        <v>1447</v>
      </c>
      <c r="I665" s="353" t="s">
        <v>56</v>
      </c>
      <c r="J665" s="57"/>
      <c r="K665" s="11"/>
      <c r="L665" s="353"/>
    </row>
    <row r="666" spans="1:12" hidden="1">
      <c r="A666" s="353"/>
      <c r="B666" s="7" t="s">
        <v>1444</v>
      </c>
      <c r="C666" s="103" t="s">
        <v>1445</v>
      </c>
      <c r="D666" s="57">
        <v>45539</v>
      </c>
      <c r="E666" s="57">
        <v>45636</v>
      </c>
      <c r="F666" s="353" t="s">
        <v>16</v>
      </c>
      <c r="G666" s="11">
        <v>2750</v>
      </c>
      <c r="H666" s="353" t="s">
        <v>1447</v>
      </c>
      <c r="I666" s="353" t="s">
        <v>56</v>
      </c>
      <c r="J666" s="57">
        <v>45729</v>
      </c>
      <c r="K666" s="11">
        <v>7000</v>
      </c>
      <c r="L666" s="353" t="s">
        <v>111</v>
      </c>
    </row>
    <row r="667" spans="1:12" hidden="1">
      <c r="A667" s="353"/>
      <c r="B667" s="7" t="s">
        <v>1444</v>
      </c>
      <c r="C667" s="103" t="s">
        <v>1445</v>
      </c>
      <c r="D667" s="57">
        <v>45539</v>
      </c>
      <c r="E667" s="57">
        <v>45636</v>
      </c>
      <c r="F667" s="353" t="s">
        <v>16</v>
      </c>
      <c r="G667" s="11">
        <v>3200</v>
      </c>
      <c r="H667" s="353" t="s">
        <v>1447</v>
      </c>
      <c r="I667" s="353" t="s">
        <v>56</v>
      </c>
      <c r="J667" s="57">
        <v>45729</v>
      </c>
      <c r="K667" s="11">
        <v>7000</v>
      </c>
      <c r="L667" s="353" t="s">
        <v>111</v>
      </c>
    </row>
    <row r="668" spans="1:12" hidden="1">
      <c r="A668" s="353"/>
      <c r="B668" s="7" t="s">
        <v>1444</v>
      </c>
      <c r="C668" s="103" t="s">
        <v>1448</v>
      </c>
      <c r="D668" s="57">
        <v>45586</v>
      </c>
      <c r="E668" s="57">
        <v>45667</v>
      </c>
      <c r="F668" s="353" t="s">
        <v>16</v>
      </c>
      <c r="G668" s="11">
        <v>3800</v>
      </c>
      <c r="H668" s="353" t="s">
        <v>1450</v>
      </c>
      <c r="I668" s="353" t="s">
        <v>56</v>
      </c>
      <c r="J668" s="57"/>
      <c r="K668" s="11"/>
      <c r="L668" s="353"/>
    </row>
    <row r="669" spans="1:12" hidden="1">
      <c r="A669" s="353"/>
      <c r="B669" s="7" t="s">
        <v>1451</v>
      </c>
      <c r="C669" s="103" t="s">
        <v>335</v>
      </c>
      <c r="D669" s="57">
        <v>45797</v>
      </c>
      <c r="F669" s="353" t="s">
        <v>16</v>
      </c>
      <c r="G669" s="11">
        <v>-8700</v>
      </c>
      <c r="H669" s="353" t="s">
        <v>55</v>
      </c>
      <c r="I669" s="353" t="s">
        <v>56</v>
      </c>
      <c r="J669" s="57">
        <v>45833</v>
      </c>
      <c r="K669" s="11">
        <v>4000</v>
      </c>
      <c r="L669" s="353" t="s">
        <v>296</v>
      </c>
    </row>
    <row r="670" spans="1:12" hidden="1">
      <c r="A670" s="353"/>
      <c r="B670" s="7" t="s">
        <v>1453</v>
      </c>
      <c r="C670" s="103" t="s">
        <v>338</v>
      </c>
      <c r="D670" s="57">
        <v>45833</v>
      </c>
      <c r="F670" s="353" t="s">
        <v>16</v>
      </c>
      <c r="G670" s="11">
        <v>4000</v>
      </c>
      <c r="H670" s="353" t="s">
        <v>1455</v>
      </c>
      <c r="I670" s="353" t="s">
        <v>56</v>
      </c>
      <c r="J670" s="57"/>
      <c r="K670" s="11"/>
      <c r="L670" s="353"/>
    </row>
    <row r="671" spans="1:12" hidden="1">
      <c r="A671" s="353" t="s">
        <v>13</v>
      </c>
      <c r="B671" s="7" t="s">
        <v>1453</v>
      </c>
      <c r="C671" s="103" t="s">
        <v>335</v>
      </c>
      <c r="D671" s="57">
        <v>46002</v>
      </c>
      <c r="F671" s="353" t="s">
        <v>16</v>
      </c>
      <c r="G671" s="11">
        <v>1100</v>
      </c>
      <c r="H671" s="353" t="s">
        <v>75</v>
      </c>
      <c r="I671" s="353" t="s">
        <v>1456</v>
      </c>
      <c r="J671" s="57">
        <v>3000</v>
      </c>
      <c r="K671" s="11">
        <v>1100</v>
      </c>
      <c r="L671" s="353" t="s">
        <v>394</v>
      </c>
    </row>
    <row r="672" spans="1:12" hidden="1">
      <c r="A672" s="353" t="s">
        <v>13</v>
      </c>
      <c r="B672" s="7" t="s">
        <v>1453</v>
      </c>
      <c r="C672" s="103" t="s">
        <v>335</v>
      </c>
      <c r="D672" s="57">
        <v>46002</v>
      </c>
      <c r="F672" s="353" t="s">
        <v>16</v>
      </c>
      <c r="G672" s="11">
        <v>3000</v>
      </c>
      <c r="H672" s="353" t="s">
        <v>75</v>
      </c>
      <c r="I672" s="353" t="s">
        <v>1456</v>
      </c>
      <c r="J672" s="57">
        <v>3000</v>
      </c>
      <c r="K672" s="11">
        <v>3000</v>
      </c>
      <c r="L672" s="353" t="s">
        <v>1457</v>
      </c>
    </row>
    <row r="673" spans="1:12" hidden="1">
      <c r="A673" s="353" t="s">
        <v>13</v>
      </c>
      <c r="B673" s="7" t="s">
        <v>1453</v>
      </c>
      <c r="C673" s="103" t="s">
        <v>335</v>
      </c>
      <c r="D673" s="57">
        <v>46002</v>
      </c>
      <c r="F673" s="353" t="s">
        <v>16</v>
      </c>
      <c r="G673" s="11">
        <v>10900</v>
      </c>
      <c r="H673" s="353" t="s">
        <v>75</v>
      </c>
      <c r="I673" s="353" t="s">
        <v>1456</v>
      </c>
      <c r="J673" s="57">
        <v>3000</v>
      </c>
      <c r="K673" s="11">
        <v>10900</v>
      </c>
      <c r="L673" s="353" t="s">
        <v>394</v>
      </c>
    </row>
    <row r="674" spans="1:12" hidden="1">
      <c r="A674" s="353" t="s">
        <v>13</v>
      </c>
      <c r="B674" s="7" t="s">
        <v>1453</v>
      </c>
      <c r="C674" s="103" t="s">
        <v>335</v>
      </c>
      <c r="D674" s="57">
        <v>46002</v>
      </c>
      <c r="F674" s="353" t="s">
        <v>16</v>
      </c>
      <c r="G674" s="11">
        <v>2000</v>
      </c>
      <c r="H674" s="353" t="s">
        <v>364</v>
      </c>
      <c r="I674" s="353" t="s">
        <v>75</v>
      </c>
      <c r="J674" s="57">
        <v>45940</v>
      </c>
      <c r="K674" s="11">
        <v>3000</v>
      </c>
      <c r="L674" s="353" t="s">
        <v>394</v>
      </c>
    </row>
    <row r="675" spans="1:12" hidden="1">
      <c r="A675" s="353" t="s">
        <v>13</v>
      </c>
      <c r="B675" s="7" t="s">
        <v>1453</v>
      </c>
      <c r="C675" s="103" t="s">
        <v>335</v>
      </c>
      <c r="D675" s="57">
        <v>46002</v>
      </c>
      <c r="F675" s="353" t="s">
        <v>16</v>
      </c>
      <c r="G675" s="11">
        <v>3000</v>
      </c>
      <c r="H675" s="353" t="s">
        <v>218</v>
      </c>
      <c r="I675" s="353" t="s">
        <v>354</v>
      </c>
      <c r="J675" s="57">
        <v>45978</v>
      </c>
      <c r="K675" s="11">
        <v>2000</v>
      </c>
      <c r="L675" s="353" t="s">
        <v>394</v>
      </c>
    </row>
    <row r="676" spans="1:12" hidden="1">
      <c r="A676" s="353"/>
      <c r="B676" s="7" t="s">
        <v>1458</v>
      </c>
      <c r="C676" s="103" t="s">
        <v>1063</v>
      </c>
      <c r="D676" s="57">
        <v>45751</v>
      </c>
      <c r="F676" s="353" t="s">
        <v>16</v>
      </c>
      <c r="G676" s="11">
        <v>502</v>
      </c>
      <c r="H676" s="353" t="s">
        <v>1460</v>
      </c>
      <c r="I676" s="353" t="s">
        <v>56</v>
      </c>
      <c r="J676" s="57"/>
      <c r="K676" s="11"/>
      <c r="L676" s="353"/>
    </row>
    <row r="677" spans="1:12" hidden="1">
      <c r="A677" s="353"/>
      <c r="B677" s="7" t="s">
        <v>1461</v>
      </c>
      <c r="C677" s="103" t="s">
        <v>1462</v>
      </c>
      <c r="D677" s="57">
        <v>45792</v>
      </c>
      <c r="F677" s="353" t="s">
        <v>16</v>
      </c>
      <c r="G677" s="11">
        <v>39</v>
      </c>
      <c r="H677" s="353" t="s">
        <v>42</v>
      </c>
      <c r="I677" s="353"/>
      <c r="J677" s="57"/>
      <c r="K677" s="11"/>
      <c r="L677" s="353"/>
    </row>
    <row r="678" spans="1:12" hidden="1">
      <c r="A678" s="353"/>
      <c r="B678" s="7" t="s">
        <v>1461</v>
      </c>
      <c r="C678" s="103" t="s">
        <v>1464</v>
      </c>
      <c r="D678" s="57">
        <v>45793</v>
      </c>
      <c r="F678" s="353" t="s">
        <v>16</v>
      </c>
      <c r="G678" s="11">
        <v>39</v>
      </c>
      <c r="H678" s="353" t="s">
        <v>457</v>
      </c>
      <c r="I678" s="353"/>
      <c r="J678" s="57"/>
      <c r="K678" s="11"/>
      <c r="L678" s="353"/>
    </row>
    <row r="679" spans="1:12" hidden="1">
      <c r="A679" s="353"/>
      <c r="B679" s="7" t="s">
        <v>1461</v>
      </c>
      <c r="C679" s="103" t="s">
        <v>1466</v>
      </c>
      <c r="D679" s="57">
        <v>45796</v>
      </c>
      <c r="F679" s="353" t="s">
        <v>16</v>
      </c>
      <c r="G679" s="11">
        <v>26</v>
      </c>
      <c r="H679" s="353" t="s">
        <v>457</v>
      </c>
      <c r="I679" s="353"/>
      <c r="J679" s="57"/>
      <c r="K679" s="11"/>
      <c r="L679" s="353"/>
    </row>
    <row r="680" spans="1:12" hidden="1">
      <c r="A680" s="353"/>
      <c r="B680" s="7" t="s">
        <v>1461</v>
      </c>
      <c r="C680" s="103" t="s">
        <v>1468</v>
      </c>
      <c r="D680" s="57">
        <v>45838</v>
      </c>
      <c r="F680" s="353" t="s">
        <v>16</v>
      </c>
      <c r="G680" s="11">
        <v>26</v>
      </c>
      <c r="H680" s="353" t="s">
        <v>457</v>
      </c>
      <c r="I680" s="353"/>
      <c r="J680" s="57"/>
      <c r="K680" s="11"/>
      <c r="L680" s="353"/>
    </row>
    <row r="681" spans="1:12" hidden="1">
      <c r="A681" s="353"/>
      <c r="B681" s="7" t="s">
        <v>1461</v>
      </c>
      <c r="C681" s="103" t="s">
        <v>1470</v>
      </c>
      <c r="D681" s="57">
        <v>45840</v>
      </c>
      <c r="F681" s="353" t="s">
        <v>16</v>
      </c>
      <c r="G681" s="11">
        <v>13</v>
      </c>
      <c r="H681" s="353" t="s">
        <v>457</v>
      </c>
      <c r="I681" s="353"/>
      <c r="J681" s="57">
        <v>45698</v>
      </c>
      <c r="K681" s="11"/>
      <c r="L681" s="353"/>
    </row>
    <row r="682" spans="1:12" hidden="1">
      <c r="A682" s="353"/>
      <c r="B682" s="7" t="s">
        <v>1472</v>
      </c>
      <c r="C682" s="103" t="s">
        <v>1473</v>
      </c>
      <c r="D682" s="57">
        <v>45693</v>
      </c>
      <c r="F682" s="353" t="s">
        <v>16</v>
      </c>
      <c r="G682" s="11">
        <v>3050</v>
      </c>
      <c r="H682" s="353" t="s">
        <v>1475</v>
      </c>
      <c r="I682" s="353" t="s">
        <v>56</v>
      </c>
      <c r="J682" s="57">
        <v>45730</v>
      </c>
      <c r="K682" s="11">
        <v>2000</v>
      </c>
      <c r="L682" s="353" t="s">
        <v>111</v>
      </c>
    </row>
    <row r="683" spans="1:12" hidden="1">
      <c r="A683" s="353"/>
      <c r="B683" s="7" t="s">
        <v>1472</v>
      </c>
      <c r="C683" s="103" t="s">
        <v>1476</v>
      </c>
      <c r="D683" s="57">
        <v>45713</v>
      </c>
      <c r="F683" s="353" t="s">
        <v>16</v>
      </c>
      <c r="G683" s="11">
        <v>2000</v>
      </c>
      <c r="H683" s="353" t="s">
        <v>87</v>
      </c>
      <c r="I683" s="353" t="s">
        <v>56</v>
      </c>
      <c r="J683" s="57">
        <v>45817</v>
      </c>
      <c r="K683" s="11">
        <v>1500</v>
      </c>
      <c r="L683" s="353" t="s">
        <v>111</v>
      </c>
    </row>
    <row r="684" spans="1:12" hidden="1">
      <c r="A684" s="353"/>
      <c r="B684" s="7" t="s">
        <v>1472</v>
      </c>
      <c r="C684" s="103" t="s">
        <v>1476</v>
      </c>
      <c r="D684" s="57">
        <v>45713</v>
      </c>
      <c r="F684" s="353" t="s">
        <v>16</v>
      </c>
      <c r="G684" s="11">
        <v>1050</v>
      </c>
      <c r="H684" s="353" t="s">
        <v>87</v>
      </c>
      <c r="I684" s="353" t="s">
        <v>56</v>
      </c>
      <c r="J684" s="57">
        <v>45817</v>
      </c>
      <c r="K684" s="11">
        <v>1500</v>
      </c>
      <c r="L684" s="353" t="s">
        <v>111</v>
      </c>
    </row>
    <row r="685" spans="1:12" hidden="1">
      <c r="A685" s="353"/>
      <c r="B685" s="7" t="s">
        <v>1472</v>
      </c>
      <c r="C685" s="103" t="s">
        <v>1478</v>
      </c>
      <c r="D685" s="57">
        <v>45743</v>
      </c>
      <c r="F685" s="353" t="s">
        <v>16</v>
      </c>
      <c r="G685" s="11">
        <v>450</v>
      </c>
      <c r="H685" s="353" t="s">
        <v>1384</v>
      </c>
      <c r="I685" s="353"/>
      <c r="J685" s="57"/>
      <c r="K685" s="11"/>
      <c r="L685" s="353"/>
    </row>
    <row r="686" spans="1:12" hidden="1">
      <c r="A686" s="353"/>
      <c r="B686" s="7" t="s">
        <v>1472</v>
      </c>
      <c r="C686" s="103" t="s">
        <v>1478</v>
      </c>
      <c r="D686" s="57">
        <v>45743</v>
      </c>
      <c r="F686" s="353" t="s">
        <v>16</v>
      </c>
      <c r="G686" s="11">
        <v>1611.8</v>
      </c>
      <c r="H686" s="353" t="s">
        <v>1384</v>
      </c>
      <c r="I686" s="353"/>
      <c r="J686" s="57"/>
      <c r="K686" s="11"/>
      <c r="L686" s="353"/>
    </row>
    <row r="687" spans="1:12" hidden="1">
      <c r="A687" s="353"/>
      <c r="B687" s="7" t="s">
        <v>1480</v>
      </c>
      <c r="C687" s="103" t="s">
        <v>1481</v>
      </c>
      <c r="D687" s="57">
        <v>45860</v>
      </c>
      <c r="F687" s="353" t="s">
        <v>16</v>
      </c>
      <c r="G687" s="11">
        <v>92.07</v>
      </c>
      <c r="H687" s="353"/>
      <c r="I687" s="353" t="s">
        <v>215</v>
      </c>
      <c r="J687" s="57">
        <v>45853</v>
      </c>
      <c r="K687" s="11"/>
      <c r="L687" s="353" t="s">
        <v>345</v>
      </c>
    </row>
    <row r="688" spans="1:12" hidden="1">
      <c r="A688" s="353"/>
      <c r="B688" s="7" t="s">
        <v>1483</v>
      </c>
      <c r="C688" s="103" t="s">
        <v>1484</v>
      </c>
      <c r="D688" s="57">
        <v>45596</v>
      </c>
      <c r="E688" s="57">
        <v>45626</v>
      </c>
      <c r="F688" s="353" t="s">
        <v>16</v>
      </c>
      <c r="G688" s="11">
        <v>1300</v>
      </c>
      <c r="H688" s="353" t="s">
        <v>1486</v>
      </c>
      <c r="I688" s="353" t="s">
        <v>56</v>
      </c>
      <c r="J688" s="57">
        <v>45730</v>
      </c>
      <c r="K688" s="11">
        <v>1300</v>
      </c>
      <c r="L688" s="353" t="s">
        <v>111</v>
      </c>
    </row>
    <row r="689" spans="1:12" hidden="1">
      <c r="A689" s="353"/>
      <c r="B689" s="7" t="s">
        <v>1483</v>
      </c>
      <c r="C689" s="103" t="s">
        <v>1487</v>
      </c>
      <c r="D689" s="57">
        <v>45656</v>
      </c>
      <c r="E689" s="57">
        <v>45716</v>
      </c>
      <c r="F689" s="353" t="s">
        <v>16</v>
      </c>
      <c r="G689" s="11">
        <v>1300</v>
      </c>
      <c r="H689" s="353" t="s">
        <v>1489</v>
      </c>
      <c r="I689" s="353" t="s">
        <v>56</v>
      </c>
      <c r="J689" s="57"/>
      <c r="K689" s="11"/>
      <c r="L689" s="353"/>
    </row>
    <row r="690" spans="1:12" hidden="1">
      <c r="A690" s="353"/>
      <c r="B690" s="7" t="s">
        <v>1483</v>
      </c>
      <c r="C690" s="103" t="s">
        <v>1490</v>
      </c>
      <c r="D690" s="57">
        <v>45991</v>
      </c>
      <c r="E690" s="57">
        <v>46022</v>
      </c>
      <c r="F690" s="353"/>
      <c r="G690" s="11">
        <v>3600</v>
      </c>
      <c r="H690" s="353" t="s">
        <v>790</v>
      </c>
      <c r="I690" s="353" t="s">
        <v>56</v>
      </c>
      <c r="J690" s="57"/>
      <c r="K690" s="11">
        <v>3600</v>
      </c>
      <c r="L690" s="353"/>
    </row>
    <row r="691" spans="1:12" hidden="1">
      <c r="A691" s="353"/>
      <c r="B691" s="7" t="s">
        <v>1483</v>
      </c>
      <c r="C691" s="103" t="s">
        <v>1491</v>
      </c>
      <c r="D691" s="57">
        <v>45991</v>
      </c>
      <c r="E691" s="57">
        <v>46022</v>
      </c>
      <c r="F691" s="353"/>
      <c r="G691" s="11">
        <v>1700</v>
      </c>
      <c r="H691" s="353" t="s">
        <v>1492</v>
      </c>
      <c r="I691" s="353" t="s">
        <v>56</v>
      </c>
      <c r="J691" s="57"/>
      <c r="K691" s="11">
        <v>1700</v>
      </c>
      <c r="L691" s="353"/>
    </row>
    <row r="692" spans="1:12" hidden="1">
      <c r="A692" s="353"/>
      <c r="B692" s="7" t="s">
        <v>1483</v>
      </c>
      <c r="C692" s="103" t="s">
        <v>4230</v>
      </c>
      <c r="D692" s="57">
        <v>46052</v>
      </c>
      <c r="E692" s="57">
        <v>46081</v>
      </c>
      <c r="F692" s="353"/>
      <c r="G692" s="11">
        <v>1400</v>
      </c>
      <c r="H692" s="353" t="s">
        <v>1492</v>
      </c>
      <c r="I692" s="353" t="s">
        <v>83</v>
      </c>
      <c r="J692" s="57"/>
      <c r="K692" s="11">
        <v>1400</v>
      </c>
      <c r="L692" s="353"/>
    </row>
    <row r="693" spans="1:12" hidden="1">
      <c r="A693" s="353"/>
      <c r="B693" s="7" t="s">
        <v>4189</v>
      </c>
      <c r="C693" s="103" t="s">
        <v>26</v>
      </c>
      <c r="D693" s="57">
        <v>46055</v>
      </c>
      <c r="E693" s="57">
        <v>46055</v>
      </c>
      <c r="F693" s="353" t="s">
        <v>16</v>
      </c>
      <c r="G693" s="11">
        <v>1065</v>
      </c>
      <c r="H693" s="353" t="s">
        <v>4290</v>
      </c>
      <c r="I693" s="353" t="s">
        <v>47</v>
      </c>
      <c r="J693" s="57"/>
      <c r="K693" s="11">
        <v>1065</v>
      </c>
      <c r="L693" s="353"/>
    </row>
    <row r="694" spans="1:12" hidden="1">
      <c r="A694" s="353"/>
      <c r="B694" s="7" t="s">
        <v>1493</v>
      </c>
      <c r="C694" s="103" t="s">
        <v>335</v>
      </c>
      <c r="D694" s="57">
        <v>45673</v>
      </c>
      <c r="E694" s="57">
        <v>45716</v>
      </c>
      <c r="F694" s="353" t="s">
        <v>16</v>
      </c>
      <c r="G694" s="11">
        <v>2500</v>
      </c>
      <c r="H694" s="353" t="s">
        <v>1231</v>
      </c>
      <c r="I694" s="353" t="s">
        <v>110</v>
      </c>
      <c r="J694" s="57"/>
      <c r="K694" s="11"/>
      <c r="L694" s="353"/>
    </row>
    <row r="695" spans="1:12" hidden="1">
      <c r="A695" s="353" t="s">
        <v>566</v>
      </c>
      <c r="B695" s="7" t="s">
        <v>1495</v>
      </c>
      <c r="C695" s="103" t="s">
        <v>1496</v>
      </c>
      <c r="D695" s="57">
        <v>45393</v>
      </c>
      <c r="F695" s="353" t="s">
        <v>16</v>
      </c>
      <c r="G695" s="11">
        <v>3928.09</v>
      </c>
      <c r="H695" s="353" t="s">
        <v>1498</v>
      </c>
      <c r="I695" s="353" t="s">
        <v>110</v>
      </c>
      <c r="J695" s="57"/>
      <c r="K695" s="11"/>
      <c r="L695" s="353"/>
    </row>
    <row r="696" spans="1:12" hidden="1">
      <c r="A696" s="353" t="s">
        <v>566</v>
      </c>
      <c r="B696" s="7" t="s">
        <v>1495</v>
      </c>
      <c r="C696" s="103" t="s">
        <v>1499</v>
      </c>
      <c r="D696" s="57">
        <v>45393</v>
      </c>
      <c r="F696" s="353" t="s">
        <v>16</v>
      </c>
      <c r="G696" s="11">
        <v>1000</v>
      </c>
      <c r="H696" s="353" t="s">
        <v>1501</v>
      </c>
      <c r="I696" s="353" t="s">
        <v>110</v>
      </c>
      <c r="J696" s="57"/>
      <c r="K696" s="11"/>
      <c r="L696" s="353"/>
    </row>
    <row r="697" spans="1:12" hidden="1">
      <c r="A697" s="353" t="s">
        <v>1502</v>
      </c>
      <c r="B697" s="7" t="s">
        <v>1495</v>
      </c>
      <c r="F697" s="353" t="s">
        <v>16</v>
      </c>
      <c r="G697" s="11">
        <v>10000</v>
      </c>
      <c r="H697" s="353" t="s">
        <v>1503</v>
      </c>
      <c r="I697" s="353" t="s">
        <v>1504</v>
      </c>
      <c r="J697" s="57">
        <v>45873</v>
      </c>
      <c r="K697" s="11">
        <v>5000</v>
      </c>
      <c r="L697" s="353" t="s">
        <v>345</v>
      </c>
    </row>
    <row r="698" spans="1:12" hidden="1">
      <c r="A698" s="353" t="s">
        <v>1503</v>
      </c>
      <c r="B698" s="7" t="s">
        <v>1495</v>
      </c>
      <c r="C698" s="103" t="s">
        <v>1505</v>
      </c>
      <c r="D698" s="57">
        <v>45803</v>
      </c>
      <c r="F698" s="353"/>
      <c r="G698" s="11">
        <v>5000</v>
      </c>
      <c r="H698" s="353" t="s">
        <v>312</v>
      </c>
      <c r="I698" s="353"/>
      <c r="J698" s="57" t="s">
        <v>1507</v>
      </c>
      <c r="K698" s="11">
        <v>40000</v>
      </c>
      <c r="L698" s="353"/>
    </row>
    <row r="699" spans="1:12" hidden="1">
      <c r="A699" s="353" t="s">
        <v>1503</v>
      </c>
      <c r="B699" s="7" t="s">
        <v>1495</v>
      </c>
      <c r="C699" s="103" t="s">
        <v>1508</v>
      </c>
      <c r="D699" s="57">
        <v>45803</v>
      </c>
      <c r="F699" s="353"/>
      <c r="G699" s="11">
        <v>35000</v>
      </c>
      <c r="H699" s="353" t="s">
        <v>484</v>
      </c>
      <c r="I699" s="353"/>
      <c r="J699" s="57"/>
      <c r="K699" s="11" t="s">
        <v>1510</v>
      </c>
      <c r="L699" s="353" t="s">
        <v>4218</v>
      </c>
    </row>
    <row r="700" spans="1:12" hidden="1">
      <c r="A700" s="353" t="s">
        <v>1511</v>
      </c>
      <c r="B700" s="7" t="s">
        <v>1495</v>
      </c>
      <c r="F700" s="353" t="s">
        <v>16</v>
      </c>
      <c r="G700" s="11">
        <v>25000</v>
      </c>
      <c r="H700" s="353" t="s">
        <v>1512</v>
      </c>
      <c r="I700" s="353" t="s">
        <v>1513</v>
      </c>
      <c r="J700" s="57"/>
      <c r="K700" s="11">
        <v>15000</v>
      </c>
      <c r="L700" s="353" t="s">
        <v>1514</v>
      </c>
    </row>
    <row r="701" spans="1:12" hidden="1">
      <c r="A701" s="353" t="s">
        <v>1502</v>
      </c>
      <c r="B701" s="7" t="s">
        <v>1495</v>
      </c>
      <c r="F701" s="353" t="s">
        <v>16</v>
      </c>
      <c r="G701" s="11">
        <v>25000</v>
      </c>
      <c r="H701" s="353" t="s">
        <v>1503</v>
      </c>
      <c r="I701" s="353" t="s">
        <v>125</v>
      </c>
      <c r="J701" s="57">
        <v>45930</v>
      </c>
      <c r="K701" s="11">
        <v>-20000</v>
      </c>
      <c r="L701" s="353" t="s">
        <v>345</v>
      </c>
    </row>
    <row r="702" spans="1:12" hidden="1">
      <c r="A702" s="353" t="s">
        <v>1502</v>
      </c>
      <c r="B702" s="7" t="s">
        <v>1495</v>
      </c>
      <c r="F702" s="353" t="s">
        <v>16</v>
      </c>
      <c r="G702" s="11">
        <v>13000</v>
      </c>
      <c r="H702" s="353" t="s">
        <v>1503</v>
      </c>
      <c r="I702" s="353" t="s">
        <v>374</v>
      </c>
      <c r="J702" s="57">
        <v>45957</v>
      </c>
      <c r="K702" s="11">
        <v>-33000</v>
      </c>
      <c r="L702" s="353" t="s">
        <v>345</v>
      </c>
    </row>
    <row r="703" spans="1:12" hidden="1">
      <c r="A703" s="353" t="s">
        <v>1502</v>
      </c>
      <c r="B703" s="7" t="s">
        <v>1495</v>
      </c>
      <c r="F703" s="353" t="s">
        <v>16</v>
      </c>
      <c r="G703" s="11">
        <v>12000</v>
      </c>
      <c r="H703" s="353" t="s">
        <v>1503</v>
      </c>
      <c r="I703" s="353" t="s">
        <v>125</v>
      </c>
      <c r="J703" s="57">
        <v>45988</v>
      </c>
      <c r="K703" s="11">
        <v>-45000</v>
      </c>
      <c r="L703" s="353" t="s">
        <v>345</v>
      </c>
    </row>
    <row r="704" spans="1:12" hidden="1">
      <c r="A704" s="353"/>
      <c r="B704" s="7" t="s">
        <v>1495</v>
      </c>
      <c r="C704" s="103" t="s">
        <v>1515</v>
      </c>
      <c r="D704" s="57">
        <v>45852</v>
      </c>
      <c r="E704" s="57">
        <v>45940</v>
      </c>
      <c r="F704" s="353" t="s">
        <v>16</v>
      </c>
      <c r="G704" s="11">
        <v>366</v>
      </c>
      <c r="H704" s="353" t="s">
        <v>1384</v>
      </c>
      <c r="I704" s="353" t="s">
        <v>110</v>
      </c>
      <c r="J704" s="57" t="s">
        <v>1517</v>
      </c>
      <c r="K704" s="11" t="s">
        <v>345</v>
      </c>
      <c r="L704" s="353"/>
    </row>
    <row r="705" spans="1:12" hidden="1">
      <c r="A705" s="353"/>
      <c r="B705" s="7" t="s">
        <v>1518</v>
      </c>
      <c r="C705" s="103" t="s">
        <v>1519</v>
      </c>
      <c r="D705" s="57">
        <v>45828</v>
      </c>
      <c r="F705" s="353" t="s">
        <v>16</v>
      </c>
      <c r="G705" s="11">
        <v>28.1</v>
      </c>
      <c r="H705" s="353" t="s">
        <v>457</v>
      </c>
      <c r="I705" s="353" t="s">
        <v>215</v>
      </c>
      <c r="J705" s="57"/>
      <c r="K705" s="11"/>
      <c r="L705" s="353"/>
    </row>
    <row r="706" spans="1:12" hidden="1">
      <c r="A706" s="353"/>
      <c r="B706" s="7" t="s">
        <v>1518</v>
      </c>
      <c r="C706" s="103" t="s">
        <v>1521</v>
      </c>
      <c r="D706" s="57">
        <v>45832</v>
      </c>
      <c r="F706" s="353" t="s">
        <v>16</v>
      </c>
      <c r="G706" s="11">
        <v>25.1</v>
      </c>
      <c r="H706" s="353" t="s">
        <v>457</v>
      </c>
      <c r="I706" s="353" t="s">
        <v>215</v>
      </c>
      <c r="J706" s="57"/>
      <c r="K706" s="11"/>
      <c r="L706" s="353"/>
    </row>
    <row r="707" spans="1:12" hidden="1">
      <c r="A707" s="353"/>
      <c r="B707" s="7" t="s">
        <v>1518</v>
      </c>
      <c r="C707" s="103" t="s">
        <v>1523</v>
      </c>
      <c r="D707" s="57">
        <v>45833</v>
      </c>
      <c r="F707" s="353" t="s">
        <v>16</v>
      </c>
      <c r="G707" s="11">
        <v>36.4</v>
      </c>
      <c r="H707" s="353" t="s">
        <v>457</v>
      </c>
      <c r="I707" s="353" t="s">
        <v>215</v>
      </c>
      <c r="J707" s="57"/>
      <c r="K707" s="11"/>
      <c r="L707" s="353"/>
    </row>
    <row r="708" spans="1:12" hidden="1">
      <c r="A708" s="353"/>
      <c r="B708" s="7" t="s">
        <v>1518</v>
      </c>
      <c r="C708" s="103" t="s">
        <v>1525</v>
      </c>
      <c r="D708" s="57">
        <v>45834</v>
      </c>
      <c r="F708" s="353" t="s">
        <v>16</v>
      </c>
      <c r="G708" s="11">
        <v>24.4</v>
      </c>
      <c r="H708" s="353" t="s">
        <v>1527</v>
      </c>
      <c r="I708" s="353" t="s">
        <v>215</v>
      </c>
      <c r="J708" s="57"/>
      <c r="K708" s="11"/>
      <c r="L708" s="353"/>
    </row>
    <row r="709" spans="1:12" hidden="1">
      <c r="A709" s="353"/>
      <c r="B709" s="7" t="s">
        <v>1518</v>
      </c>
      <c r="C709" s="103" t="s">
        <v>1528</v>
      </c>
      <c r="D709" s="57">
        <v>45835</v>
      </c>
      <c r="F709" s="353" t="s">
        <v>16</v>
      </c>
      <c r="G709" s="11">
        <v>24.4</v>
      </c>
      <c r="H709" s="353" t="s">
        <v>457</v>
      </c>
      <c r="I709" s="353" t="s">
        <v>215</v>
      </c>
      <c r="J709" s="57"/>
      <c r="K709" s="11"/>
      <c r="L709" s="353"/>
    </row>
    <row r="710" spans="1:12" hidden="1">
      <c r="A710" s="353"/>
      <c r="B710" s="7" t="s">
        <v>1518</v>
      </c>
      <c r="C710" s="103" t="s">
        <v>1530</v>
      </c>
      <c r="D710" s="57">
        <v>45838</v>
      </c>
      <c r="F710" s="353" t="s">
        <v>16</v>
      </c>
      <c r="G710" s="11">
        <v>33.200000000000003</v>
      </c>
      <c r="H710" s="353" t="s">
        <v>457</v>
      </c>
      <c r="I710" s="353" t="s">
        <v>215</v>
      </c>
      <c r="J710" s="57"/>
      <c r="K710" s="11"/>
      <c r="L710" s="353"/>
    </row>
    <row r="711" spans="1:12" hidden="1">
      <c r="A711" s="353"/>
      <c r="B711" s="7" t="s">
        <v>1518</v>
      </c>
      <c r="C711" s="103" t="s">
        <v>1532</v>
      </c>
      <c r="D711" s="57">
        <v>45839</v>
      </c>
      <c r="F711" s="353" t="s">
        <v>16</v>
      </c>
      <c r="G711" s="11">
        <v>24.7</v>
      </c>
      <c r="H711" s="353" t="s">
        <v>457</v>
      </c>
      <c r="I711" s="353" t="s">
        <v>215</v>
      </c>
      <c r="J711" s="57"/>
      <c r="K711" s="11"/>
      <c r="L711" s="353"/>
    </row>
    <row r="712" spans="1:12" hidden="1">
      <c r="A712" s="353"/>
      <c r="B712" s="7" t="s">
        <v>1518</v>
      </c>
      <c r="C712" s="103" t="s">
        <v>1535</v>
      </c>
      <c r="D712" s="57">
        <v>45840</v>
      </c>
      <c r="F712" s="353" t="s">
        <v>16</v>
      </c>
      <c r="G712" s="11">
        <v>25.2</v>
      </c>
      <c r="H712" s="353" t="s">
        <v>457</v>
      </c>
      <c r="I712" s="353" t="s">
        <v>215</v>
      </c>
      <c r="J712" s="57"/>
      <c r="K712" s="11"/>
      <c r="L712" s="353"/>
    </row>
    <row r="713" spans="1:12" hidden="1">
      <c r="A713" s="353"/>
      <c r="B713" s="7" t="s">
        <v>1518</v>
      </c>
      <c r="C713" s="103" t="s">
        <v>1537</v>
      </c>
      <c r="D713" s="57">
        <v>45841</v>
      </c>
      <c r="F713" s="353" t="s">
        <v>16</v>
      </c>
      <c r="G713" s="11">
        <v>22.7</v>
      </c>
      <c r="H713" s="353" t="s">
        <v>457</v>
      </c>
      <c r="I713" s="353" t="s">
        <v>215</v>
      </c>
      <c r="J713" s="57"/>
      <c r="K713" s="11"/>
      <c r="L713" s="353"/>
    </row>
    <row r="714" spans="1:12" hidden="1">
      <c r="A714" s="353"/>
      <c r="B714" s="7" t="s">
        <v>1518</v>
      </c>
      <c r="C714" s="103" t="s">
        <v>1539</v>
      </c>
      <c r="D714" s="57">
        <v>45842</v>
      </c>
      <c r="F714" s="353" t="s">
        <v>16</v>
      </c>
      <c r="G714" s="11">
        <v>35.1</v>
      </c>
      <c r="H714" s="353" t="s">
        <v>457</v>
      </c>
      <c r="I714" s="353" t="s">
        <v>215</v>
      </c>
      <c r="J714" s="57"/>
      <c r="K714" s="11"/>
      <c r="L714" s="353"/>
    </row>
    <row r="715" spans="1:12" hidden="1">
      <c r="A715" s="353"/>
      <c r="B715" s="7" t="s">
        <v>1518</v>
      </c>
      <c r="C715" s="103" t="s">
        <v>1541</v>
      </c>
      <c r="D715" s="57">
        <v>45845</v>
      </c>
      <c r="F715" s="353" t="s">
        <v>16</v>
      </c>
      <c r="G715" s="11">
        <v>33.700000000000003</v>
      </c>
      <c r="H715" s="353" t="s">
        <v>457</v>
      </c>
      <c r="I715" s="353" t="s">
        <v>215</v>
      </c>
      <c r="J715" s="57"/>
      <c r="K715" s="11"/>
      <c r="L715" s="353"/>
    </row>
    <row r="716" spans="1:12" hidden="1">
      <c r="A716" s="353"/>
      <c r="B716" s="7" t="s">
        <v>1518</v>
      </c>
      <c r="C716" s="103" t="s">
        <v>1543</v>
      </c>
      <c r="D716" s="57">
        <v>45869</v>
      </c>
      <c r="F716" s="353" t="s">
        <v>16</v>
      </c>
      <c r="G716" s="11">
        <v>457.6</v>
      </c>
      <c r="H716" s="353" t="s">
        <v>457</v>
      </c>
      <c r="I716" s="353" t="s">
        <v>66</v>
      </c>
      <c r="J716" s="57">
        <v>45972</v>
      </c>
      <c r="K716" s="11">
        <v>482</v>
      </c>
      <c r="L716" s="353" t="s">
        <v>1545</v>
      </c>
    </row>
    <row r="717" spans="1:12" hidden="1">
      <c r="A717" s="353"/>
      <c r="B717" s="7" t="s">
        <v>1518</v>
      </c>
      <c r="C717" s="103" t="s">
        <v>1546</v>
      </c>
      <c r="D717" s="57">
        <v>45898</v>
      </c>
      <c r="F717" s="353" t="s">
        <v>16</v>
      </c>
      <c r="G717" s="11">
        <v>24.4</v>
      </c>
      <c r="H717" s="353" t="s">
        <v>457</v>
      </c>
      <c r="I717" s="353" t="s">
        <v>66</v>
      </c>
      <c r="J717" s="57">
        <v>45972</v>
      </c>
      <c r="K717" s="11">
        <v>482</v>
      </c>
      <c r="L717" s="353" t="s">
        <v>1545</v>
      </c>
    </row>
    <row r="718" spans="1:12" hidden="1">
      <c r="A718" s="353"/>
      <c r="B718" s="7" t="s">
        <v>1548</v>
      </c>
      <c r="C718" s="103" t="s">
        <v>338</v>
      </c>
      <c r="D718" s="57">
        <v>45664</v>
      </c>
      <c r="E718" s="57">
        <v>45664</v>
      </c>
      <c r="F718" s="353" t="s">
        <v>16</v>
      </c>
      <c r="G718" s="11">
        <v>-801.94</v>
      </c>
      <c r="H718" s="353" t="s">
        <v>1550</v>
      </c>
      <c r="I718" s="353" t="s">
        <v>56</v>
      </c>
      <c r="J718" s="57"/>
      <c r="K718" s="11"/>
      <c r="L718" s="353"/>
    </row>
    <row r="719" spans="1:12" hidden="1">
      <c r="A719" s="353" t="s">
        <v>13</v>
      </c>
      <c r="B719" s="7" t="s">
        <v>1551</v>
      </c>
      <c r="C719" s="103" t="s">
        <v>1552</v>
      </c>
      <c r="D719" s="57">
        <v>45808</v>
      </c>
      <c r="E719" s="57">
        <v>45869</v>
      </c>
      <c r="F719" s="353" t="s">
        <v>16</v>
      </c>
      <c r="G719" s="11">
        <v>2325</v>
      </c>
      <c r="H719" s="353" t="s">
        <v>1554</v>
      </c>
      <c r="I719" s="353" t="s">
        <v>56</v>
      </c>
      <c r="J719" s="57">
        <v>45950</v>
      </c>
      <c r="K719" s="11">
        <v>2325</v>
      </c>
      <c r="L719" s="353" t="s">
        <v>1555</v>
      </c>
    </row>
    <row r="720" spans="1:12" hidden="1">
      <c r="A720" s="353" t="s">
        <v>13</v>
      </c>
      <c r="B720" s="7" t="s">
        <v>1551</v>
      </c>
      <c r="C720" s="103" t="s">
        <v>1556</v>
      </c>
      <c r="D720" s="57">
        <v>45808</v>
      </c>
      <c r="E720" s="57">
        <v>45869</v>
      </c>
      <c r="F720" s="353" t="s">
        <v>16</v>
      </c>
      <c r="G720" s="11">
        <v>2000</v>
      </c>
      <c r="H720" s="353" t="s">
        <v>1558</v>
      </c>
      <c r="I720" s="353" t="s">
        <v>56</v>
      </c>
      <c r="J720" s="57">
        <v>45950</v>
      </c>
      <c r="K720" s="11">
        <v>1070</v>
      </c>
      <c r="L720" s="353" t="s">
        <v>1555</v>
      </c>
    </row>
    <row r="721" spans="1:12" hidden="1">
      <c r="A721" s="353" t="s">
        <v>13</v>
      </c>
      <c r="B721" s="7" t="s">
        <v>1551</v>
      </c>
      <c r="C721" s="103" t="s">
        <v>1556</v>
      </c>
      <c r="D721" s="57">
        <v>45808</v>
      </c>
      <c r="E721" s="57">
        <v>45869</v>
      </c>
      <c r="F721" s="353" t="s">
        <v>16</v>
      </c>
      <c r="G721" s="11">
        <v>930</v>
      </c>
      <c r="H721" s="353" t="s">
        <v>1558</v>
      </c>
      <c r="I721" s="353" t="s">
        <v>56</v>
      </c>
      <c r="J721" s="57">
        <v>45951</v>
      </c>
      <c r="K721" s="11">
        <v>930</v>
      </c>
      <c r="L721" s="353" t="s">
        <v>1559</v>
      </c>
    </row>
    <row r="722" spans="1:12" hidden="1">
      <c r="A722" s="353" t="s">
        <v>13</v>
      </c>
      <c r="B722" s="7" t="s">
        <v>1551</v>
      </c>
      <c r="C722" s="103" t="s">
        <v>1560</v>
      </c>
      <c r="D722" s="57">
        <v>45887</v>
      </c>
      <c r="E722" s="57">
        <v>45961</v>
      </c>
      <c r="F722" s="353" t="s">
        <v>16</v>
      </c>
      <c r="G722" s="11">
        <v>1370</v>
      </c>
      <c r="H722" s="353" t="s">
        <v>436</v>
      </c>
      <c r="I722" s="353" t="s">
        <v>56</v>
      </c>
      <c r="J722" s="57">
        <v>45951</v>
      </c>
      <c r="K722" s="11">
        <v>1370</v>
      </c>
      <c r="L722" s="353" t="s">
        <v>1559</v>
      </c>
    </row>
    <row r="723" spans="1:12" hidden="1">
      <c r="A723" s="353" t="s">
        <v>1562</v>
      </c>
      <c r="B723" s="7" t="s">
        <v>1563</v>
      </c>
      <c r="C723" s="103" t="s">
        <v>1564</v>
      </c>
      <c r="D723" s="57">
        <v>45954</v>
      </c>
      <c r="E723" s="57">
        <v>45954</v>
      </c>
      <c r="F723" s="353" t="s">
        <v>16</v>
      </c>
      <c r="G723" s="11">
        <v>355.05</v>
      </c>
      <c r="H723" s="353" t="s">
        <v>1565</v>
      </c>
      <c r="I723" s="353" t="s">
        <v>825</v>
      </c>
      <c r="J723" s="57">
        <v>45954</v>
      </c>
      <c r="K723" s="11">
        <v>355.05</v>
      </c>
      <c r="L723" s="353" t="s">
        <v>1566</v>
      </c>
    </row>
    <row r="724" spans="1:12" hidden="1">
      <c r="A724" s="353" t="s">
        <v>13</v>
      </c>
      <c r="B724" s="7" t="s">
        <v>1567</v>
      </c>
      <c r="C724" s="103" t="s">
        <v>1568</v>
      </c>
      <c r="D724" s="57">
        <v>45688</v>
      </c>
      <c r="F724" s="353" t="s">
        <v>16</v>
      </c>
      <c r="G724" s="11">
        <v>3850</v>
      </c>
      <c r="H724" s="353" t="s">
        <v>312</v>
      </c>
      <c r="I724" s="353" t="s">
        <v>56</v>
      </c>
      <c r="J724" s="57">
        <v>45765</v>
      </c>
      <c r="K724" s="11">
        <v>3850</v>
      </c>
      <c r="L724" s="353"/>
    </row>
    <row r="725" spans="1:12" hidden="1">
      <c r="A725" s="353" t="s">
        <v>13</v>
      </c>
      <c r="B725" s="7" t="s">
        <v>1567</v>
      </c>
      <c r="C725" s="103" t="s">
        <v>1568</v>
      </c>
      <c r="D725" s="57">
        <v>45688</v>
      </c>
      <c r="F725" s="353" t="s">
        <v>16</v>
      </c>
      <c r="G725" s="11">
        <v>3226</v>
      </c>
      <c r="H725" s="353" t="s">
        <v>312</v>
      </c>
      <c r="I725" s="353" t="s">
        <v>56</v>
      </c>
      <c r="J725" s="57">
        <v>45792</v>
      </c>
      <c r="K725" s="11">
        <v>3850</v>
      </c>
      <c r="L725" s="353"/>
    </row>
    <row r="726" spans="1:12" hidden="1">
      <c r="A726" s="353" t="s">
        <v>13</v>
      </c>
      <c r="B726" s="7" t="s">
        <v>1567</v>
      </c>
      <c r="C726" s="103" t="s">
        <v>1570</v>
      </c>
      <c r="D726" s="57">
        <v>45688</v>
      </c>
      <c r="F726" s="353" t="s">
        <v>16</v>
      </c>
      <c r="G726" s="11">
        <v>280.60000000000002</v>
      </c>
      <c r="H726" s="353"/>
      <c r="I726" s="353" t="s">
        <v>56</v>
      </c>
      <c r="J726" s="57">
        <v>45792</v>
      </c>
      <c r="K726" s="11">
        <v>3850</v>
      </c>
      <c r="L726" s="353"/>
    </row>
    <row r="727" spans="1:12" hidden="1">
      <c r="A727" s="353" t="s">
        <v>13</v>
      </c>
      <c r="B727" s="7" t="s">
        <v>1567</v>
      </c>
      <c r="C727" s="103" t="s">
        <v>1572</v>
      </c>
      <c r="D727" s="57">
        <v>45596</v>
      </c>
      <c r="E727" s="57">
        <v>45667</v>
      </c>
      <c r="F727" s="353" t="s">
        <v>16</v>
      </c>
      <c r="G727" s="11">
        <v>343.4</v>
      </c>
      <c r="H727" s="353" t="s">
        <v>1231</v>
      </c>
      <c r="I727" s="353" t="s">
        <v>56</v>
      </c>
      <c r="J727" s="57">
        <v>45817</v>
      </c>
      <c r="K727" s="11">
        <v>3850</v>
      </c>
      <c r="L727" s="353"/>
    </row>
    <row r="728" spans="1:12" hidden="1">
      <c r="A728" s="353" t="s">
        <v>13</v>
      </c>
      <c r="B728" s="7" t="s">
        <v>1567</v>
      </c>
      <c r="C728" s="103" t="s">
        <v>1572</v>
      </c>
      <c r="D728" s="57">
        <v>45596</v>
      </c>
      <c r="E728" s="57">
        <v>45667</v>
      </c>
      <c r="F728" s="353" t="s">
        <v>16</v>
      </c>
      <c r="G728" s="11">
        <v>3850</v>
      </c>
      <c r="H728" s="353" t="s">
        <v>1231</v>
      </c>
      <c r="I728" s="353" t="s">
        <v>56</v>
      </c>
      <c r="J728" s="57">
        <v>45855</v>
      </c>
      <c r="K728" s="11">
        <v>3837.17</v>
      </c>
      <c r="L728" s="353" t="s">
        <v>1574</v>
      </c>
    </row>
    <row r="729" spans="1:12" hidden="1">
      <c r="A729" s="353" t="s">
        <v>13</v>
      </c>
      <c r="B729" s="7" t="s">
        <v>1567</v>
      </c>
      <c r="C729" s="103" t="s">
        <v>1572</v>
      </c>
      <c r="D729" s="57">
        <v>45596</v>
      </c>
      <c r="E729" s="57">
        <v>45667</v>
      </c>
      <c r="F729" s="353" t="s">
        <v>16</v>
      </c>
      <c r="G729" s="11">
        <v>2276.38</v>
      </c>
      <c r="H729" s="353" t="s">
        <v>1231</v>
      </c>
      <c r="I729" s="353" t="s">
        <v>56</v>
      </c>
      <c r="J729" s="57">
        <v>45845</v>
      </c>
      <c r="K729" s="11">
        <v>1810</v>
      </c>
      <c r="L729" s="353" t="s">
        <v>1575</v>
      </c>
    </row>
    <row r="730" spans="1:12" hidden="1">
      <c r="A730" s="353" t="s">
        <v>13</v>
      </c>
      <c r="B730" s="7" t="s">
        <v>1567</v>
      </c>
      <c r="C730" s="103" t="s">
        <v>1576</v>
      </c>
      <c r="D730" s="57">
        <v>45716</v>
      </c>
      <c r="F730" s="353" t="s">
        <v>16</v>
      </c>
      <c r="G730" s="11">
        <v>366</v>
      </c>
      <c r="H730" s="353" t="s">
        <v>1578</v>
      </c>
      <c r="I730" s="353" t="s">
        <v>56</v>
      </c>
      <c r="J730" s="57">
        <v>45845</v>
      </c>
      <c r="K730" s="11">
        <v>1810</v>
      </c>
      <c r="L730" s="353" t="s">
        <v>1575</v>
      </c>
    </row>
    <row r="731" spans="1:12" hidden="1">
      <c r="A731" s="353" t="s">
        <v>13</v>
      </c>
      <c r="B731" s="7" t="s">
        <v>1567</v>
      </c>
      <c r="C731" s="103" t="s">
        <v>1579</v>
      </c>
      <c r="D731" s="57">
        <v>45747</v>
      </c>
      <c r="F731" s="353" t="s">
        <v>16</v>
      </c>
      <c r="G731" s="11">
        <v>366</v>
      </c>
      <c r="H731" s="353" t="s">
        <v>1578</v>
      </c>
      <c r="I731" s="353" t="s">
        <v>56</v>
      </c>
      <c r="J731" s="57">
        <v>45845</v>
      </c>
      <c r="K731" s="11">
        <v>1810</v>
      </c>
      <c r="L731" s="353" t="s">
        <v>1575</v>
      </c>
    </row>
    <row r="732" spans="1:12" hidden="1">
      <c r="A732" s="353" t="s">
        <v>13</v>
      </c>
      <c r="B732" s="7" t="s">
        <v>1567</v>
      </c>
      <c r="C732" s="103" t="s">
        <v>1581</v>
      </c>
      <c r="D732" s="57">
        <v>45777</v>
      </c>
      <c r="F732" s="353" t="s">
        <v>16</v>
      </c>
      <c r="G732" s="11">
        <v>366</v>
      </c>
      <c r="H732" s="353" t="s">
        <v>1578</v>
      </c>
      <c r="I732" s="353" t="s">
        <v>56</v>
      </c>
      <c r="J732" s="57">
        <v>45845</v>
      </c>
      <c r="K732" s="11">
        <v>1810</v>
      </c>
      <c r="L732" s="353" t="s">
        <v>1575</v>
      </c>
    </row>
    <row r="733" spans="1:12" hidden="1">
      <c r="A733" s="353" t="s">
        <v>13</v>
      </c>
      <c r="B733" s="7" t="s">
        <v>1567</v>
      </c>
      <c r="C733" s="103" t="s">
        <v>1583</v>
      </c>
      <c r="D733" s="57">
        <v>45808</v>
      </c>
      <c r="E733" s="57">
        <v>45808</v>
      </c>
      <c r="F733" s="353" t="s">
        <v>16</v>
      </c>
      <c r="G733" s="11">
        <v>366</v>
      </c>
      <c r="H733" s="353" t="s">
        <v>1578</v>
      </c>
      <c r="I733" s="353" t="s">
        <v>56</v>
      </c>
      <c r="J733" s="57">
        <v>45845</v>
      </c>
      <c r="K733" s="11">
        <v>1810</v>
      </c>
      <c r="L733" s="353" t="s">
        <v>1575</v>
      </c>
    </row>
    <row r="734" spans="1:12" hidden="1">
      <c r="A734" s="353" t="s">
        <v>13</v>
      </c>
      <c r="B734" s="7" t="s">
        <v>1567</v>
      </c>
      <c r="C734" s="103" t="s">
        <v>1585</v>
      </c>
      <c r="D734" s="57">
        <v>45838</v>
      </c>
      <c r="F734" s="353" t="s">
        <v>16</v>
      </c>
      <c r="G734" s="11">
        <v>366</v>
      </c>
      <c r="H734" s="353" t="s">
        <v>1578</v>
      </c>
      <c r="I734" s="353" t="s">
        <v>56</v>
      </c>
      <c r="J734" s="57">
        <v>45730</v>
      </c>
      <c r="K734" s="11">
        <v>1476.88</v>
      </c>
      <c r="L734" s="353" t="s">
        <v>111</v>
      </c>
    </row>
    <row r="735" spans="1:12" hidden="1">
      <c r="A735" s="353"/>
      <c r="B735" s="7" t="s">
        <v>1586</v>
      </c>
      <c r="C735" s="103" t="s">
        <v>1587</v>
      </c>
      <c r="D735" s="57">
        <v>45898</v>
      </c>
      <c r="F735" s="353" t="s">
        <v>16</v>
      </c>
      <c r="G735" s="11">
        <v>80.06</v>
      </c>
      <c r="H735" s="353" t="s">
        <v>889</v>
      </c>
      <c r="I735" s="353" t="s">
        <v>794</v>
      </c>
      <c r="J735" s="57"/>
      <c r="K735" s="11"/>
      <c r="L735" s="353"/>
    </row>
    <row r="736" spans="1:12" hidden="1">
      <c r="A736" s="353"/>
      <c r="B736" s="7" t="s">
        <v>1589</v>
      </c>
      <c r="C736" s="103" t="s">
        <v>3277</v>
      </c>
      <c r="D736" s="57">
        <v>45671</v>
      </c>
      <c r="F736" s="353" t="s">
        <v>16</v>
      </c>
      <c r="G736" s="11">
        <v>1476.88</v>
      </c>
      <c r="H736" s="353" t="s">
        <v>1591</v>
      </c>
      <c r="I736" s="353"/>
      <c r="J736" s="57">
        <v>45730</v>
      </c>
      <c r="K736" s="11">
        <v>1476.88</v>
      </c>
      <c r="L736" s="353" t="s">
        <v>111</v>
      </c>
    </row>
    <row r="737" spans="1:12" hidden="1">
      <c r="A737" s="353"/>
      <c r="B737" s="7" t="s">
        <v>1589</v>
      </c>
      <c r="C737" s="103" t="s">
        <v>1592</v>
      </c>
      <c r="D737" s="57">
        <v>45876</v>
      </c>
      <c r="F737" s="353" t="s">
        <v>16</v>
      </c>
      <c r="G737" s="11">
        <v>1476.88</v>
      </c>
      <c r="H737" s="353" t="s">
        <v>1591</v>
      </c>
      <c r="I737" s="353"/>
      <c r="J737" s="57">
        <v>45876</v>
      </c>
      <c r="K737" s="11">
        <v>1476.88</v>
      </c>
      <c r="L737" s="353"/>
    </row>
    <row r="738" spans="1:12" hidden="1">
      <c r="A738" s="353"/>
      <c r="B738" s="7" t="s">
        <v>1593</v>
      </c>
      <c r="C738" s="103" t="s">
        <v>1594</v>
      </c>
      <c r="D738" s="57">
        <v>45761</v>
      </c>
      <c r="E738" s="57">
        <v>45821</v>
      </c>
      <c r="F738" s="353" t="s">
        <v>16</v>
      </c>
      <c r="G738" s="11">
        <v>1447.7</v>
      </c>
      <c r="H738" s="353" t="s">
        <v>1591</v>
      </c>
      <c r="I738" s="353"/>
      <c r="J738" s="57">
        <v>45876</v>
      </c>
      <c r="K738" s="11">
        <v>1476.88</v>
      </c>
      <c r="L738" s="353"/>
    </row>
    <row r="739" spans="1:12" hidden="1">
      <c r="A739" s="353"/>
      <c r="B739" s="7" t="s">
        <v>1593</v>
      </c>
      <c r="C739" s="103" t="s">
        <v>1595</v>
      </c>
      <c r="D739" s="57">
        <v>45851</v>
      </c>
      <c r="F739" s="353" t="s">
        <v>16</v>
      </c>
      <c r="G739" s="11">
        <v>29.18</v>
      </c>
      <c r="H739" s="353" t="s">
        <v>1591</v>
      </c>
      <c r="I739" s="353"/>
      <c r="J739" s="57"/>
      <c r="K739" s="11"/>
      <c r="L739" s="353"/>
    </row>
    <row r="740" spans="1:12" hidden="1">
      <c r="A740" s="353"/>
      <c r="B740" s="7" t="s">
        <v>1593</v>
      </c>
      <c r="C740" s="103" t="s">
        <v>1596</v>
      </c>
      <c r="D740" s="57">
        <v>45901</v>
      </c>
      <c r="F740" s="353" t="s">
        <v>16</v>
      </c>
      <c r="G740" s="11">
        <v>1361.42</v>
      </c>
      <c r="H740" s="353" t="s">
        <v>1597</v>
      </c>
      <c r="I740" s="353"/>
      <c r="J740" s="57"/>
      <c r="K740" s="11"/>
      <c r="L740" s="353"/>
    </row>
    <row r="741" spans="1:12" hidden="1">
      <c r="A741" s="353"/>
      <c r="B741" s="7" t="s">
        <v>1593</v>
      </c>
      <c r="C741" s="103" t="s">
        <v>902</v>
      </c>
      <c r="D741" s="57">
        <v>46003</v>
      </c>
      <c r="E741" s="57">
        <v>46003</v>
      </c>
      <c r="F741" s="353" t="s">
        <v>16</v>
      </c>
      <c r="G741" s="11">
        <v>1013.77</v>
      </c>
      <c r="H741" s="353" t="s">
        <v>1598</v>
      </c>
      <c r="I741" s="353" t="s">
        <v>374</v>
      </c>
      <c r="J741" s="57"/>
      <c r="K741" s="11">
        <v>1013.77</v>
      </c>
      <c r="L741" s="353"/>
    </row>
    <row r="742" spans="1:12" hidden="1">
      <c r="A742" s="353" t="s">
        <v>90</v>
      </c>
      <c r="B742" s="7" t="s">
        <v>1593</v>
      </c>
      <c r="C742" s="103" t="s">
        <v>4239</v>
      </c>
      <c r="D742" s="57">
        <v>46045</v>
      </c>
      <c r="E742" s="57">
        <v>46081</v>
      </c>
      <c r="F742" s="353"/>
      <c r="G742" s="11">
        <v>723.22</v>
      </c>
      <c r="H742" s="353" t="s">
        <v>4240</v>
      </c>
      <c r="I742" s="353" t="s">
        <v>83</v>
      </c>
      <c r="J742" s="57"/>
      <c r="K742" s="11">
        <v>723.22</v>
      </c>
      <c r="L742" s="353"/>
    </row>
    <row r="743" spans="1:12" hidden="1">
      <c r="A743" s="353"/>
      <c r="B743" s="7" t="s">
        <v>1601</v>
      </c>
      <c r="C743" s="103" t="s">
        <v>1602</v>
      </c>
      <c r="D743" s="57">
        <v>45677</v>
      </c>
      <c r="F743" s="353" t="s">
        <v>16</v>
      </c>
      <c r="G743" s="11">
        <v>300</v>
      </c>
      <c r="H743" s="353" t="s">
        <v>1604</v>
      </c>
      <c r="I743" s="353"/>
      <c r="J743" s="57"/>
      <c r="K743" s="11"/>
      <c r="L743" s="353"/>
    </row>
    <row r="744" spans="1:12" hidden="1">
      <c r="A744" s="353"/>
      <c r="B744" s="7" t="s">
        <v>1601</v>
      </c>
      <c r="C744" s="103" t="s">
        <v>1602</v>
      </c>
      <c r="D744" s="57">
        <v>45677</v>
      </c>
      <c r="F744" s="353" t="s">
        <v>16</v>
      </c>
      <c r="G744" s="11">
        <v>51.06</v>
      </c>
      <c r="H744" s="353" t="s">
        <v>1604</v>
      </c>
      <c r="I744" s="353" t="s">
        <v>799</v>
      </c>
      <c r="J744" s="57"/>
      <c r="K744" s="11"/>
      <c r="L744" s="353"/>
    </row>
    <row r="745" spans="1:12" hidden="1">
      <c r="A745" s="353"/>
      <c r="B745" s="7" t="s">
        <v>1601</v>
      </c>
      <c r="C745" s="103" t="s">
        <v>1605</v>
      </c>
      <c r="D745" s="57">
        <v>45511</v>
      </c>
      <c r="F745" s="353" t="s">
        <v>16</v>
      </c>
      <c r="G745" s="11">
        <v>43.06</v>
      </c>
      <c r="H745" s="353" t="s">
        <v>1607</v>
      </c>
      <c r="I745" s="353" t="s">
        <v>185</v>
      </c>
      <c r="J745" s="57"/>
      <c r="K745" s="11"/>
      <c r="L745" s="353"/>
    </row>
    <row r="746" spans="1:12" hidden="1">
      <c r="A746" s="353"/>
      <c r="B746" s="7" t="s">
        <v>1601</v>
      </c>
      <c r="C746" s="103" t="s">
        <v>1608</v>
      </c>
      <c r="D746" s="57">
        <v>45650</v>
      </c>
      <c r="E746" s="57">
        <v>45673</v>
      </c>
      <c r="F746" s="353" t="s">
        <v>16</v>
      </c>
      <c r="G746" s="11">
        <v>283.26</v>
      </c>
      <c r="H746" s="353" t="s">
        <v>1610</v>
      </c>
      <c r="I746" s="353" t="s">
        <v>185</v>
      </c>
      <c r="J746" s="57"/>
      <c r="K746" s="11"/>
      <c r="L746" s="353"/>
    </row>
    <row r="747" spans="1:12" hidden="1">
      <c r="A747" s="353"/>
      <c r="B747" s="7" t="s">
        <v>1601</v>
      </c>
      <c r="C747" s="103" t="s">
        <v>1611</v>
      </c>
      <c r="D747" s="57">
        <v>45650</v>
      </c>
      <c r="E747" s="57">
        <v>45673</v>
      </c>
      <c r="F747" s="353" t="s">
        <v>16</v>
      </c>
      <c r="G747" s="11">
        <v>320.89999999999998</v>
      </c>
      <c r="H747" s="353" t="s">
        <v>1610</v>
      </c>
      <c r="I747" s="353" t="s">
        <v>185</v>
      </c>
      <c r="J747" s="57"/>
      <c r="K747" s="11"/>
      <c r="L747" s="353"/>
    </row>
    <row r="748" spans="1:12" hidden="1">
      <c r="A748" s="353"/>
      <c r="B748" s="7" t="s">
        <v>1601</v>
      </c>
      <c r="C748" s="103" t="s">
        <v>1613</v>
      </c>
      <c r="D748" s="57">
        <v>45650</v>
      </c>
      <c r="E748" s="57">
        <v>45673</v>
      </c>
      <c r="F748" s="353" t="s">
        <v>16</v>
      </c>
      <c r="G748" s="11">
        <v>509.8</v>
      </c>
      <c r="H748" s="353"/>
      <c r="I748" s="353" t="s">
        <v>1198</v>
      </c>
      <c r="J748" s="57"/>
      <c r="K748" s="11"/>
      <c r="L748" s="353"/>
    </row>
    <row r="749" spans="1:12" hidden="1">
      <c r="A749" s="353"/>
      <c r="B749" s="7" t="s">
        <v>1601</v>
      </c>
      <c r="C749" s="103" t="s">
        <v>1615</v>
      </c>
      <c r="D749" s="57">
        <v>45650</v>
      </c>
      <c r="E749" s="57">
        <v>45673</v>
      </c>
      <c r="F749" s="353" t="s">
        <v>16</v>
      </c>
      <c r="G749" s="11">
        <v>71.260000000000005</v>
      </c>
      <c r="H749" s="353" t="s">
        <v>1610</v>
      </c>
      <c r="I749" s="353" t="s">
        <v>185</v>
      </c>
      <c r="J749" s="57">
        <v>45853</v>
      </c>
      <c r="K749" s="11">
        <v>1378.6</v>
      </c>
      <c r="L749" s="353"/>
    </row>
    <row r="750" spans="1:12" hidden="1">
      <c r="A750" s="353"/>
      <c r="B750" s="7" t="s">
        <v>1617</v>
      </c>
      <c r="C750" s="103" t="s">
        <v>1618</v>
      </c>
      <c r="D750" s="57">
        <v>45688</v>
      </c>
      <c r="E750" s="57">
        <v>45747</v>
      </c>
      <c r="F750" s="353" t="s">
        <v>16</v>
      </c>
      <c r="G750" s="11">
        <v>323.58</v>
      </c>
      <c r="H750" s="353" t="s">
        <v>279</v>
      </c>
      <c r="I750" s="353" t="s">
        <v>110</v>
      </c>
      <c r="J750" s="57">
        <v>45853</v>
      </c>
      <c r="K750" s="11">
        <v>1378.6</v>
      </c>
      <c r="L750" s="353" t="s">
        <v>1620</v>
      </c>
    </row>
    <row r="751" spans="1:12" hidden="1">
      <c r="A751" s="353"/>
      <c r="B751" s="7" t="s">
        <v>1617</v>
      </c>
      <c r="C751" s="103" t="s">
        <v>1621</v>
      </c>
      <c r="D751" s="57">
        <v>45443</v>
      </c>
      <c r="E751" s="57">
        <v>45504</v>
      </c>
      <c r="F751" s="353" t="s">
        <v>16</v>
      </c>
      <c r="G751" s="11">
        <v>192.13</v>
      </c>
      <c r="H751" s="353" t="s">
        <v>1623</v>
      </c>
      <c r="I751" s="353" t="s">
        <v>110</v>
      </c>
      <c r="J751" s="57">
        <v>45853</v>
      </c>
      <c r="K751" s="11">
        <v>1378.6</v>
      </c>
      <c r="L751" s="353" t="s">
        <v>1620</v>
      </c>
    </row>
    <row r="752" spans="1:12" hidden="1">
      <c r="A752" s="353"/>
      <c r="B752" s="7" t="s">
        <v>1617</v>
      </c>
      <c r="C752" s="103" t="s">
        <v>1624</v>
      </c>
      <c r="D752" s="57">
        <v>45596</v>
      </c>
      <c r="E752" s="57">
        <v>45667</v>
      </c>
      <c r="F752" s="353" t="s">
        <v>16</v>
      </c>
      <c r="G752" s="11">
        <v>596.57000000000005</v>
      </c>
      <c r="H752" s="353" t="s">
        <v>1626</v>
      </c>
      <c r="I752" s="353" t="s">
        <v>110</v>
      </c>
      <c r="J752" s="57">
        <v>45853</v>
      </c>
      <c r="K752" s="11">
        <v>1378.6</v>
      </c>
      <c r="L752" s="353" t="s">
        <v>1620</v>
      </c>
    </row>
    <row r="753" spans="1:12" hidden="1">
      <c r="A753" s="353"/>
      <c r="B753" s="7" t="s">
        <v>1617</v>
      </c>
      <c r="C753" s="103" t="s">
        <v>1627</v>
      </c>
      <c r="D753" s="57">
        <v>45777</v>
      </c>
      <c r="E753" s="57">
        <v>45838</v>
      </c>
      <c r="F753" s="353" t="s">
        <v>16</v>
      </c>
      <c r="G753" s="11">
        <v>266.32</v>
      </c>
      <c r="H753" s="353"/>
      <c r="I753" s="353" t="s">
        <v>110</v>
      </c>
      <c r="J753" s="57">
        <v>45853</v>
      </c>
      <c r="K753" s="11">
        <v>1378.6</v>
      </c>
      <c r="L753" s="353"/>
    </row>
    <row r="754" spans="1:12" hidden="1">
      <c r="A754" s="353"/>
      <c r="B754" s="7" t="s">
        <v>1617</v>
      </c>
      <c r="C754" s="103" t="s">
        <v>1627</v>
      </c>
      <c r="D754" s="57">
        <v>45777</v>
      </c>
      <c r="E754" s="57">
        <v>45838</v>
      </c>
      <c r="F754" s="353"/>
      <c r="G754" s="11">
        <v>29.3</v>
      </c>
      <c r="H754" s="353"/>
      <c r="I754" s="353" t="s">
        <v>110</v>
      </c>
      <c r="J754" s="57"/>
      <c r="K754" s="11"/>
      <c r="L754" s="353"/>
    </row>
    <row r="755" spans="1:12" hidden="1">
      <c r="A755" s="353"/>
      <c r="B755" s="7" t="s">
        <v>1617</v>
      </c>
      <c r="C755" s="103" t="s">
        <v>1629</v>
      </c>
      <c r="D755" s="57">
        <v>45869</v>
      </c>
      <c r="E755" s="57">
        <v>45930</v>
      </c>
      <c r="F755" s="353"/>
      <c r="G755" s="11">
        <v>408.19</v>
      </c>
      <c r="H755" s="353" t="s">
        <v>1631</v>
      </c>
      <c r="I755" s="353" t="s">
        <v>110</v>
      </c>
      <c r="J755" s="57" t="s">
        <v>3297</v>
      </c>
      <c r="K755" s="11"/>
      <c r="L755" s="353"/>
    </row>
    <row r="756" spans="1:12" hidden="1">
      <c r="A756" s="353"/>
      <c r="B756" s="7" t="s">
        <v>1617</v>
      </c>
      <c r="C756" s="103" t="s">
        <v>1632</v>
      </c>
      <c r="D756" s="57">
        <v>45961</v>
      </c>
      <c r="E756" s="57">
        <v>46032</v>
      </c>
      <c r="F756" s="353" t="s">
        <v>16</v>
      </c>
      <c r="G756" s="11">
        <v>344.93</v>
      </c>
      <c r="H756" s="353" t="s">
        <v>1631</v>
      </c>
      <c r="I756" s="353" t="s">
        <v>125</v>
      </c>
      <c r="J756" s="57">
        <v>46032</v>
      </c>
      <c r="K756" s="11">
        <v>344.93</v>
      </c>
      <c r="L756" s="353"/>
    </row>
    <row r="757" spans="1:12" hidden="1">
      <c r="A757" s="353"/>
      <c r="B757" s="7" t="s">
        <v>1617</v>
      </c>
      <c r="C757" s="103" t="s">
        <v>1633</v>
      </c>
      <c r="D757" s="57">
        <v>45961</v>
      </c>
      <c r="E757" s="57">
        <v>46032</v>
      </c>
      <c r="F757" s="353" t="s">
        <v>16</v>
      </c>
      <c r="G757" s="11">
        <v>207.8</v>
      </c>
      <c r="H757" s="353" t="s">
        <v>1634</v>
      </c>
      <c r="I757" s="353" t="s">
        <v>125</v>
      </c>
      <c r="J757" s="57">
        <v>46032</v>
      </c>
      <c r="K757" s="11">
        <v>207.8</v>
      </c>
      <c r="L757" s="353"/>
    </row>
    <row r="758" spans="1:12" hidden="1">
      <c r="A758" s="353"/>
      <c r="B758" s="7" t="s">
        <v>1617</v>
      </c>
      <c r="C758" s="103" t="s">
        <v>4291</v>
      </c>
      <c r="D758" s="57">
        <v>46065</v>
      </c>
      <c r="E758" s="57">
        <v>46142</v>
      </c>
      <c r="F758" s="353"/>
      <c r="G758" s="11">
        <v>352.1</v>
      </c>
      <c r="H758" s="353" t="s">
        <v>1631</v>
      </c>
      <c r="I758" s="353" t="s">
        <v>374</v>
      </c>
      <c r="J758" s="57">
        <v>46142</v>
      </c>
      <c r="K758" s="11">
        <v>352.1</v>
      </c>
      <c r="L758" s="353"/>
    </row>
    <row r="759" spans="1:12" hidden="1">
      <c r="A759" s="353" t="s">
        <v>67</v>
      </c>
      <c r="B759" s="7" t="s">
        <v>1635</v>
      </c>
      <c r="C759" s="103" t="s">
        <v>26</v>
      </c>
      <c r="D759" s="57">
        <v>45691</v>
      </c>
      <c r="E759" s="57">
        <v>45691</v>
      </c>
      <c r="F759" s="353" t="s">
        <v>16</v>
      </c>
      <c r="G759" s="11">
        <v>7320</v>
      </c>
      <c r="H759" s="353" t="s">
        <v>1637</v>
      </c>
      <c r="I759" s="353" t="s">
        <v>66</v>
      </c>
      <c r="J759" s="57">
        <v>45698</v>
      </c>
      <c r="K759" s="11">
        <v>7320</v>
      </c>
      <c r="L759" s="353" t="s">
        <v>70</v>
      </c>
    </row>
    <row r="760" spans="1:12" hidden="1">
      <c r="A760" s="353" t="s">
        <v>316</v>
      </c>
      <c r="B760" s="7" t="s">
        <v>1635</v>
      </c>
      <c r="C760" s="103" t="s">
        <v>1638</v>
      </c>
      <c r="D760" s="57">
        <v>45791</v>
      </c>
      <c r="E760" s="57">
        <v>45808</v>
      </c>
      <c r="F760" s="353"/>
      <c r="G760" s="11">
        <v>3090</v>
      </c>
      <c r="H760" s="353" t="s">
        <v>248</v>
      </c>
      <c r="I760" s="353" t="s">
        <v>354</v>
      </c>
      <c r="J760" s="57"/>
      <c r="K760" s="11">
        <v>-6000</v>
      </c>
      <c r="L760" s="353" t="s">
        <v>1639</v>
      </c>
    </row>
    <row r="761" spans="1:12" hidden="1">
      <c r="A761" s="353" t="s">
        <v>316</v>
      </c>
      <c r="B761" s="7" t="s">
        <v>1635</v>
      </c>
      <c r="C761" s="103" t="s">
        <v>1638</v>
      </c>
      <c r="D761" s="57">
        <v>45791</v>
      </c>
      <c r="E761" s="57">
        <v>45808</v>
      </c>
      <c r="F761" s="353" t="s">
        <v>16</v>
      </c>
      <c r="G761" s="11">
        <v>3045</v>
      </c>
      <c r="H761" s="353" t="s">
        <v>1641</v>
      </c>
      <c r="I761" s="353" t="s">
        <v>56</v>
      </c>
      <c r="J761" s="57">
        <v>45945</v>
      </c>
      <c r="K761" s="11">
        <v>3045</v>
      </c>
      <c r="L761" s="353" t="s">
        <v>71</v>
      </c>
    </row>
    <row r="762" spans="1:12" hidden="1">
      <c r="A762" s="353" t="s">
        <v>316</v>
      </c>
      <c r="B762" s="7" t="s">
        <v>1635</v>
      </c>
      <c r="C762" s="103" t="s">
        <v>1638</v>
      </c>
      <c r="D762" s="57">
        <v>45791</v>
      </c>
      <c r="E762" s="57">
        <v>45808</v>
      </c>
      <c r="F762" s="353" t="s">
        <v>16</v>
      </c>
      <c r="G762" s="11">
        <v>3045</v>
      </c>
      <c r="H762" s="353" t="s">
        <v>1641</v>
      </c>
      <c r="I762" s="353" t="s">
        <v>56</v>
      </c>
      <c r="J762" s="57">
        <v>45960</v>
      </c>
      <c r="K762" s="11">
        <v>3045</v>
      </c>
      <c r="L762" s="353" t="s">
        <v>246</v>
      </c>
    </row>
    <row r="763" spans="1:12" hidden="1">
      <c r="A763" s="353" t="s">
        <v>13</v>
      </c>
      <c r="B763" s="7" t="s">
        <v>1635</v>
      </c>
      <c r="C763" s="103" t="s">
        <v>1638</v>
      </c>
      <c r="D763" s="57">
        <v>45791</v>
      </c>
      <c r="E763" s="57">
        <v>45808</v>
      </c>
      <c r="F763" s="353" t="s">
        <v>16</v>
      </c>
      <c r="G763" s="11">
        <v>3000</v>
      </c>
      <c r="H763" s="353" t="s">
        <v>1641</v>
      </c>
      <c r="I763" s="353" t="s">
        <v>56</v>
      </c>
      <c r="J763" s="57">
        <v>45993</v>
      </c>
      <c r="K763" s="11">
        <v>3000</v>
      </c>
      <c r="L763" s="353" t="s">
        <v>246</v>
      </c>
    </row>
    <row r="764" spans="1:12" hidden="1">
      <c r="A764" s="353" t="s">
        <v>316</v>
      </c>
      <c r="B764" s="7" t="s">
        <v>1635</v>
      </c>
      <c r="C764" s="103" t="s">
        <v>1642</v>
      </c>
      <c r="D764" s="57">
        <v>45807</v>
      </c>
      <c r="E764" s="57">
        <v>45837</v>
      </c>
      <c r="F764" s="353" t="s">
        <v>16</v>
      </c>
      <c r="G764" s="11">
        <v>3081.72</v>
      </c>
      <c r="H764" s="353" t="s">
        <v>1644</v>
      </c>
      <c r="I764" s="353" t="s">
        <v>56</v>
      </c>
      <c r="J764" s="57"/>
      <c r="K764" s="11"/>
      <c r="L764" s="353"/>
    </row>
    <row r="765" spans="1:12" hidden="1">
      <c r="A765" s="353" t="s">
        <v>316</v>
      </c>
      <c r="B765" s="7" t="s">
        <v>1635</v>
      </c>
      <c r="C765" s="103" t="s">
        <v>335</v>
      </c>
      <c r="D765" s="57">
        <v>45819</v>
      </c>
      <c r="E765" s="57">
        <v>45849</v>
      </c>
      <c r="F765" s="353" t="s">
        <v>16</v>
      </c>
      <c r="G765" s="11">
        <v>-3081.72</v>
      </c>
      <c r="H765" s="353" t="s">
        <v>1646</v>
      </c>
      <c r="I765" s="353" t="s">
        <v>56</v>
      </c>
      <c r="J765" s="57">
        <v>45853</v>
      </c>
      <c r="K765" s="11"/>
      <c r="L765" s="353" t="s">
        <v>345</v>
      </c>
    </row>
    <row r="766" spans="1:12" hidden="1">
      <c r="A766" s="353" t="s">
        <v>316</v>
      </c>
      <c r="B766" s="7" t="s">
        <v>1635</v>
      </c>
      <c r="C766" s="103" t="s">
        <v>1647</v>
      </c>
      <c r="D766" s="57">
        <v>45819</v>
      </c>
      <c r="E766" s="57">
        <v>45849</v>
      </c>
      <c r="F766" s="353" t="s">
        <v>16</v>
      </c>
      <c r="G766" s="11">
        <v>2627.04</v>
      </c>
      <c r="H766" s="353" t="s">
        <v>1649</v>
      </c>
      <c r="I766" s="353" t="s">
        <v>56</v>
      </c>
      <c r="J766" s="57">
        <v>45853</v>
      </c>
      <c r="K766" s="11">
        <v>2627.04</v>
      </c>
      <c r="L766" s="353" t="s">
        <v>394</v>
      </c>
    </row>
    <row r="767" spans="1:12" hidden="1">
      <c r="A767" s="353" t="s">
        <v>316</v>
      </c>
      <c r="B767" s="7" t="s">
        <v>1650</v>
      </c>
      <c r="C767" s="103" t="s">
        <v>1651</v>
      </c>
      <c r="D767" s="57">
        <v>45797</v>
      </c>
      <c r="F767" s="353" t="s">
        <v>16</v>
      </c>
      <c r="G767" s="11">
        <v>42</v>
      </c>
      <c r="H767" s="353" t="s">
        <v>457</v>
      </c>
      <c r="I767" s="353" t="s">
        <v>219</v>
      </c>
      <c r="J767" s="57"/>
      <c r="K767" s="11"/>
      <c r="L767" s="353"/>
    </row>
    <row r="768" spans="1:12" hidden="1">
      <c r="A768" s="353" t="s">
        <v>13</v>
      </c>
      <c r="B768" s="7" t="s">
        <v>1653</v>
      </c>
      <c r="C768" s="103" t="s">
        <v>1654</v>
      </c>
      <c r="D768" s="57">
        <v>45792</v>
      </c>
      <c r="E768" s="57">
        <v>45852</v>
      </c>
      <c r="F768" s="353" t="s">
        <v>16</v>
      </c>
      <c r="G768" s="11">
        <v>370.39</v>
      </c>
      <c r="H768" s="353" t="s">
        <v>1656</v>
      </c>
      <c r="I768" s="353" t="s">
        <v>110</v>
      </c>
      <c r="J768" s="57">
        <v>45950</v>
      </c>
      <c r="K768" s="11">
        <v>370.39</v>
      </c>
      <c r="L768" s="353" t="s">
        <v>1657</v>
      </c>
    </row>
    <row r="769" spans="1:12" hidden="1">
      <c r="A769" s="353" t="s">
        <v>13</v>
      </c>
      <c r="B769" s="7" t="s">
        <v>1653</v>
      </c>
      <c r="C769" s="103" t="s">
        <v>1658</v>
      </c>
      <c r="D769" s="57">
        <v>45821</v>
      </c>
      <c r="E769" s="57">
        <v>45881</v>
      </c>
      <c r="F769" s="353" t="s">
        <v>16</v>
      </c>
      <c r="G769" s="11">
        <v>1845.37</v>
      </c>
      <c r="H769" s="353" t="s">
        <v>1660</v>
      </c>
      <c r="I769" s="353" t="s">
        <v>110</v>
      </c>
      <c r="J769" s="57">
        <v>45950</v>
      </c>
      <c r="K769" s="11">
        <v>1845.37</v>
      </c>
      <c r="L769" s="353" t="s">
        <v>1661</v>
      </c>
    </row>
    <row r="770" spans="1:12" hidden="1">
      <c r="A770" s="353"/>
      <c r="B770" s="7" t="s">
        <v>1662</v>
      </c>
      <c r="C770" s="103" t="s">
        <v>1663</v>
      </c>
      <c r="D770" s="57">
        <v>45687</v>
      </c>
      <c r="E770" s="57">
        <v>45687</v>
      </c>
      <c r="F770" s="353" t="s">
        <v>16</v>
      </c>
      <c r="G770" s="11">
        <v>21.35</v>
      </c>
      <c r="H770" s="353" t="s">
        <v>1665</v>
      </c>
      <c r="I770" s="353" t="s">
        <v>150</v>
      </c>
      <c r="J770" s="57"/>
      <c r="K770" s="11"/>
      <c r="L770" s="353" t="s">
        <v>246</v>
      </c>
    </row>
    <row r="771" spans="1:12" hidden="1">
      <c r="A771" s="353"/>
      <c r="B771" s="7" t="s">
        <v>1662</v>
      </c>
      <c r="C771" s="103" t="s">
        <v>1666</v>
      </c>
      <c r="D771" s="57">
        <v>45687</v>
      </c>
      <c r="E771" s="57">
        <v>45687</v>
      </c>
      <c r="F771" s="353" t="s">
        <v>16</v>
      </c>
      <c r="G771" s="11">
        <v>6</v>
      </c>
      <c r="H771" s="353" t="s">
        <v>1668</v>
      </c>
      <c r="I771" s="353" t="s">
        <v>150</v>
      </c>
      <c r="J771" s="57"/>
      <c r="K771" s="11"/>
      <c r="L771" s="353" t="s">
        <v>246</v>
      </c>
    </row>
    <row r="772" spans="1:12" hidden="1">
      <c r="A772" s="353"/>
      <c r="B772" s="7" t="s">
        <v>1662</v>
      </c>
      <c r="C772" s="103" t="s">
        <v>1669</v>
      </c>
      <c r="D772" s="57">
        <v>45716</v>
      </c>
      <c r="F772" s="353" t="s">
        <v>16</v>
      </c>
      <c r="G772" s="11">
        <v>52.34</v>
      </c>
      <c r="H772" s="353" t="s">
        <v>1665</v>
      </c>
      <c r="I772" s="353" t="s">
        <v>150</v>
      </c>
      <c r="J772" s="57"/>
      <c r="K772" s="11"/>
      <c r="L772" s="353" t="s">
        <v>246</v>
      </c>
    </row>
    <row r="773" spans="1:12" hidden="1">
      <c r="A773" s="353"/>
      <c r="B773" s="7" t="s">
        <v>1662</v>
      </c>
      <c r="C773" s="103" t="s">
        <v>1671</v>
      </c>
      <c r="D773" s="57">
        <v>45746</v>
      </c>
      <c r="F773" s="353" t="s">
        <v>16</v>
      </c>
      <c r="G773" s="11">
        <v>12.5</v>
      </c>
      <c r="H773" s="353" t="s">
        <v>1673</v>
      </c>
      <c r="I773" s="353" t="s">
        <v>150</v>
      </c>
      <c r="J773" s="57"/>
      <c r="K773" s="11"/>
      <c r="L773" s="353" t="s">
        <v>246</v>
      </c>
    </row>
    <row r="774" spans="1:12" hidden="1">
      <c r="A774" s="353"/>
      <c r="B774" s="7" t="s">
        <v>1662</v>
      </c>
      <c r="C774" s="103" t="s">
        <v>1674</v>
      </c>
      <c r="D774" s="57">
        <v>45746</v>
      </c>
      <c r="F774" s="353" t="s">
        <v>16</v>
      </c>
      <c r="G774" s="11">
        <v>21.35</v>
      </c>
      <c r="H774" s="353" t="s">
        <v>1665</v>
      </c>
      <c r="I774" s="353" t="s">
        <v>150</v>
      </c>
      <c r="J774" s="57"/>
      <c r="K774" s="11"/>
      <c r="L774" s="353" t="s">
        <v>246</v>
      </c>
    </row>
    <row r="775" spans="1:12" hidden="1">
      <c r="A775" s="353"/>
      <c r="B775" s="7" t="s">
        <v>1662</v>
      </c>
      <c r="C775" s="103" t="s">
        <v>1675</v>
      </c>
      <c r="D775" s="57">
        <v>45777</v>
      </c>
      <c r="F775" s="353" t="s">
        <v>16</v>
      </c>
      <c r="G775" s="11">
        <v>21.35</v>
      </c>
      <c r="H775" s="353" t="s">
        <v>1665</v>
      </c>
      <c r="I775" s="353" t="s">
        <v>150</v>
      </c>
      <c r="J775" s="57" t="s">
        <v>3298</v>
      </c>
      <c r="K775" s="11"/>
      <c r="L775" s="353" t="s">
        <v>246</v>
      </c>
    </row>
    <row r="776" spans="1:12" hidden="1">
      <c r="A776" s="353"/>
      <c r="B776" s="7" t="s">
        <v>1662</v>
      </c>
      <c r="C776" s="103" t="s">
        <v>1677</v>
      </c>
      <c r="D776" s="57">
        <v>45807</v>
      </c>
      <c r="F776" s="353" t="s">
        <v>16</v>
      </c>
      <c r="G776" s="11">
        <v>21.35</v>
      </c>
      <c r="H776" s="353" t="s">
        <v>1665</v>
      </c>
      <c r="I776" s="353" t="s">
        <v>150</v>
      </c>
      <c r="J776" s="57"/>
      <c r="K776" s="11"/>
      <c r="L776" s="353" t="s">
        <v>246</v>
      </c>
    </row>
    <row r="777" spans="1:12" hidden="1">
      <c r="A777" s="353"/>
      <c r="B777" s="7" t="s">
        <v>1662</v>
      </c>
      <c r="C777" s="103" t="s">
        <v>1679</v>
      </c>
      <c r="D777" s="57">
        <v>45838</v>
      </c>
      <c r="F777" s="353" t="s">
        <v>16</v>
      </c>
      <c r="G777" s="11">
        <v>21.35</v>
      </c>
      <c r="H777" s="353" t="s">
        <v>1665</v>
      </c>
      <c r="I777" s="353" t="s">
        <v>150</v>
      </c>
      <c r="J777" s="57"/>
      <c r="K777" s="11"/>
      <c r="L777" s="353" t="s">
        <v>246</v>
      </c>
    </row>
    <row r="778" spans="1:12" hidden="1">
      <c r="A778" s="353"/>
      <c r="B778" s="7" t="s">
        <v>1662</v>
      </c>
      <c r="C778" s="103" t="s">
        <v>1681</v>
      </c>
      <c r="D778" s="57">
        <v>45868</v>
      </c>
      <c r="F778" s="353" t="s">
        <v>16</v>
      </c>
      <c r="G778" s="11">
        <v>33.32</v>
      </c>
      <c r="H778" s="353" t="s">
        <v>1665</v>
      </c>
      <c r="I778" s="353" t="s">
        <v>150</v>
      </c>
      <c r="J778" s="57">
        <v>45730</v>
      </c>
      <c r="K778" s="11">
        <v>30000</v>
      </c>
      <c r="L778" s="353" t="s">
        <v>111</v>
      </c>
    </row>
    <row r="779" spans="1:12" hidden="1">
      <c r="A779" s="353"/>
      <c r="B779" s="7" t="s">
        <v>1662</v>
      </c>
      <c r="C779" s="103" t="s">
        <v>1683</v>
      </c>
      <c r="D779" s="57">
        <v>45899</v>
      </c>
      <c r="F779" s="353" t="s">
        <v>16</v>
      </c>
      <c r="G779" s="11">
        <v>33.32</v>
      </c>
      <c r="H779" s="353" t="s">
        <v>1665</v>
      </c>
      <c r="I779" s="353" t="s">
        <v>150</v>
      </c>
      <c r="J779" s="57"/>
      <c r="K779" s="11"/>
      <c r="L779" s="353" t="s">
        <v>246</v>
      </c>
    </row>
    <row r="780" spans="1:12" hidden="1">
      <c r="A780" s="353"/>
      <c r="B780" s="7" t="s">
        <v>1662</v>
      </c>
      <c r="C780" s="103" t="s">
        <v>1685</v>
      </c>
      <c r="D780" s="57">
        <v>45899</v>
      </c>
      <c r="F780" s="353" t="s">
        <v>16</v>
      </c>
      <c r="G780" s="11">
        <v>1.8</v>
      </c>
      <c r="H780" s="353" t="s">
        <v>1665</v>
      </c>
      <c r="I780" s="353" t="s">
        <v>150</v>
      </c>
      <c r="J780" s="57"/>
      <c r="K780" s="11"/>
      <c r="L780" s="353" t="s">
        <v>246</v>
      </c>
    </row>
    <row r="781" spans="1:12" hidden="1">
      <c r="A781" s="353"/>
      <c r="B781" s="7" t="s">
        <v>1662</v>
      </c>
      <c r="C781" s="103" t="s">
        <v>1687</v>
      </c>
      <c r="D781" s="57">
        <v>45930</v>
      </c>
      <c r="F781" s="353" t="s">
        <v>16</v>
      </c>
      <c r="G781" s="11">
        <v>33.32</v>
      </c>
      <c r="H781" s="353" t="s">
        <v>1665</v>
      </c>
      <c r="I781" s="353" t="s">
        <v>150</v>
      </c>
      <c r="J781" s="57"/>
      <c r="K781" s="11"/>
      <c r="L781" s="353" t="s">
        <v>246</v>
      </c>
    </row>
    <row r="782" spans="1:12" hidden="1">
      <c r="A782" s="353"/>
      <c r="B782" s="7" t="s">
        <v>1662</v>
      </c>
      <c r="C782" s="103" t="s">
        <v>1689</v>
      </c>
      <c r="D782" s="57">
        <v>45960</v>
      </c>
      <c r="E782" s="57">
        <v>45960</v>
      </c>
      <c r="F782" s="353" t="s">
        <v>16</v>
      </c>
      <c r="G782" s="11">
        <v>2.5</v>
      </c>
      <c r="H782" s="353" t="s">
        <v>1665</v>
      </c>
      <c r="I782" s="353" t="s">
        <v>150</v>
      </c>
      <c r="J782" s="57"/>
      <c r="K782" s="11"/>
      <c r="L782" s="353" t="s">
        <v>246</v>
      </c>
    </row>
    <row r="783" spans="1:12" hidden="1">
      <c r="A783" s="353"/>
      <c r="B783" s="7" t="s">
        <v>1662</v>
      </c>
      <c r="C783" s="103" t="s">
        <v>1690</v>
      </c>
      <c r="D783" s="57">
        <v>45960</v>
      </c>
      <c r="E783" s="57">
        <v>45960</v>
      </c>
      <c r="F783" s="353" t="s">
        <v>16</v>
      </c>
      <c r="G783" s="11">
        <v>33.32</v>
      </c>
      <c r="H783" s="353" t="s">
        <v>1665</v>
      </c>
      <c r="I783" s="353" t="s">
        <v>150</v>
      </c>
      <c r="J783" s="57"/>
      <c r="K783" s="11"/>
      <c r="L783" s="353" t="s">
        <v>246</v>
      </c>
    </row>
    <row r="784" spans="1:12" hidden="1">
      <c r="A784" s="353"/>
      <c r="B784" s="7" t="s">
        <v>1662</v>
      </c>
      <c r="C784" s="103" t="s">
        <v>1691</v>
      </c>
      <c r="D784" s="57">
        <v>45991</v>
      </c>
      <c r="E784" s="57">
        <v>45991</v>
      </c>
      <c r="F784" s="353" t="s">
        <v>16</v>
      </c>
      <c r="G784" s="11">
        <v>5</v>
      </c>
      <c r="H784" s="353" t="s">
        <v>1692</v>
      </c>
      <c r="I784" s="353" t="s">
        <v>1276</v>
      </c>
      <c r="J784" s="57"/>
      <c r="K784" s="11"/>
      <c r="L784" s="353" t="s">
        <v>246</v>
      </c>
    </row>
    <row r="785" spans="1:12" hidden="1">
      <c r="A785" s="353"/>
      <c r="B785" s="7" t="s">
        <v>1662</v>
      </c>
      <c r="C785" s="103" t="s">
        <v>1693</v>
      </c>
      <c r="D785" s="57">
        <v>45991</v>
      </c>
      <c r="E785" s="57">
        <v>45991</v>
      </c>
      <c r="F785" s="353" t="s">
        <v>16</v>
      </c>
      <c r="G785" s="11">
        <v>33.32</v>
      </c>
      <c r="H785" s="353" t="s">
        <v>1694</v>
      </c>
      <c r="I785" s="353" t="s">
        <v>1276</v>
      </c>
      <c r="J785" s="57"/>
      <c r="K785" s="11"/>
      <c r="L785" s="353" t="s">
        <v>246</v>
      </c>
    </row>
    <row r="786" spans="1:12" hidden="1">
      <c r="A786" s="353"/>
      <c r="B786" s="7" t="s">
        <v>1662</v>
      </c>
      <c r="C786" s="103" t="s">
        <v>3388</v>
      </c>
      <c r="D786" s="57">
        <v>46021</v>
      </c>
      <c r="E786" s="57">
        <v>46021</v>
      </c>
      <c r="F786" s="353" t="s">
        <v>16</v>
      </c>
      <c r="G786" s="11">
        <v>33.32</v>
      </c>
      <c r="H786" s="353" t="s">
        <v>1694</v>
      </c>
      <c r="I786" s="353" t="s">
        <v>1276</v>
      </c>
      <c r="J786" s="57">
        <v>46021</v>
      </c>
      <c r="K786" s="11"/>
      <c r="L786" s="353" t="s">
        <v>246</v>
      </c>
    </row>
    <row r="787" spans="1:12" hidden="1">
      <c r="A787" s="353"/>
      <c r="B787" s="7" t="s">
        <v>1662</v>
      </c>
      <c r="C787" s="103" t="s">
        <v>4292</v>
      </c>
      <c r="D787" s="57">
        <v>46052</v>
      </c>
      <c r="E787" s="57">
        <v>46052</v>
      </c>
      <c r="F787" s="353" t="s">
        <v>16</v>
      </c>
      <c r="G787" s="11">
        <v>33.32</v>
      </c>
      <c r="H787" s="353" t="s">
        <v>1694</v>
      </c>
      <c r="I787" s="353" t="s">
        <v>1276</v>
      </c>
      <c r="J787" s="57">
        <v>46052</v>
      </c>
      <c r="K787" s="11">
        <v>33.32</v>
      </c>
      <c r="L787" s="353" t="s">
        <v>246</v>
      </c>
    </row>
    <row r="788" spans="1:12" hidden="1">
      <c r="A788" s="353"/>
      <c r="B788" s="7" t="s">
        <v>1662</v>
      </c>
      <c r="C788" s="103" t="s">
        <v>4293</v>
      </c>
      <c r="D788" s="57">
        <v>46052</v>
      </c>
      <c r="E788" s="57">
        <v>46052</v>
      </c>
      <c r="F788" s="353" t="s">
        <v>16</v>
      </c>
      <c r="G788" s="11">
        <v>7</v>
      </c>
      <c r="H788" s="353" t="s">
        <v>1694</v>
      </c>
      <c r="I788" s="353" t="s">
        <v>1276</v>
      </c>
      <c r="J788" s="57">
        <v>46052</v>
      </c>
      <c r="K788" s="11">
        <v>7</v>
      </c>
      <c r="L788" s="353" t="s">
        <v>246</v>
      </c>
    </row>
    <row r="789" spans="1:12" hidden="1">
      <c r="A789" s="353"/>
      <c r="B789" s="7" t="s">
        <v>1662</v>
      </c>
      <c r="C789" s="103" t="s">
        <v>4342</v>
      </c>
      <c r="D789" s="57">
        <v>46081</v>
      </c>
      <c r="E789" s="57">
        <v>46081</v>
      </c>
      <c r="F789" s="353" t="s">
        <v>16</v>
      </c>
      <c r="G789" s="11">
        <v>91.31</v>
      </c>
      <c r="H789" s="353" t="s">
        <v>1694</v>
      </c>
      <c r="I789" s="353" t="s">
        <v>1276</v>
      </c>
      <c r="J789" s="57">
        <v>46081</v>
      </c>
      <c r="K789" s="11">
        <v>91.31</v>
      </c>
      <c r="L789" s="353" t="s">
        <v>246</v>
      </c>
    </row>
    <row r="790" spans="1:12" hidden="1">
      <c r="A790" s="353"/>
      <c r="B790" s="7" t="s">
        <v>1662</v>
      </c>
      <c r="C790" s="103" t="s">
        <v>4343</v>
      </c>
      <c r="D790" s="57">
        <v>46081</v>
      </c>
      <c r="E790" s="57">
        <v>46081</v>
      </c>
      <c r="F790" s="353" t="s">
        <v>16</v>
      </c>
      <c r="G790" s="11">
        <v>10</v>
      </c>
      <c r="H790" s="353" t="s">
        <v>1694</v>
      </c>
      <c r="I790" s="353" t="s">
        <v>1276</v>
      </c>
      <c r="J790" s="57">
        <v>46081</v>
      </c>
      <c r="K790" s="11">
        <v>10</v>
      </c>
      <c r="L790" s="353" t="s">
        <v>246</v>
      </c>
    </row>
    <row r="791" spans="1:12" hidden="1">
      <c r="A791" s="353"/>
      <c r="B791" s="7" t="s">
        <v>1695</v>
      </c>
      <c r="C791" s="103" t="s">
        <v>848</v>
      </c>
      <c r="D791" s="57">
        <v>45569</v>
      </c>
      <c r="E791" s="57">
        <v>45667</v>
      </c>
      <c r="F791" s="353" t="s">
        <v>16</v>
      </c>
      <c r="G791" s="11">
        <v>19743.5</v>
      </c>
      <c r="H791" s="353" t="s">
        <v>1697</v>
      </c>
      <c r="I791" s="353" t="s">
        <v>66</v>
      </c>
      <c r="J791" s="57">
        <v>45730</v>
      </c>
      <c r="K791" s="11">
        <v>30000</v>
      </c>
      <c r="L791" s="353" t="s">
        <v>111</v>
      </c>
    </row>
    <row r="792" spans="1:12" hidden="1">
      <c r="A792" s="353"/>
      <c r="B792" s="7" t="s">
        <v>1695</v>
      </c>
      <c r="C792" s="103" t="s">
        <v>848</v>
      </c>
      <c r="D792" s="57">
        <v>45569</v>
      </c>
      <c r="E792" s="57">
        <v>45698</v>
      </c>
      <c r="F792" s="353" t="s">
        <v>16</v>
      </c>
      <c r="G792" s="11">
        <v>10256.5</v>
      </c>
      <c r="H792" s="353" t="s">
        <v>1698</v>
      </c>
      <c r="I792" s="353" t="s">
        <v>66</v>
      </c>
      <c r="J792" s="57"/>
      <c r="K792" s="11"/>
      <c r="L792" s="353"/>
    </row>
    <row r="793" spans="1:12" hidden="1">
      <c r="A793" s="353"/>
      <c r="B793" s="7" t="s">
        <v>1695</v>
      </c>
      <c r="C793" s="103" t="s">
        <v>848</v>
      </c>
      <c r="D793" s="57">
        <v>45569</v>
      </c>
      <c r="E793" s="57">
        <v>45698</v>
      </c>
      <c r="F793" s="353" t="s">
        <v>16</v>
      </c>
      <c r="G793" s="11">
        <v>9487</v>
      </c>
      <c r="H793" s="353" t="s">
        <v>1698</v>
      </c>
      <c r="I793" s="353" t="s">
        <v>66</v>
      </c>
      <c r="J793" s="57"/>
      <c r="K793" s="11"/>
      <c r="L793" s="353"/>
    </row>
    <row r="794" spans="1:12" hidden="1">
      <c r="A794" s="353"/>
      <c r="B794" s="7" t="s">
        <v>1695</v>
      </c>
      <c r="C794" s="103" t="s">
        <v>1699</v>
      </c>
      <c r="D794" s="57">
        <v>45624</v>
      </c>
      <c r="E794" s="57">
        <v>45698</v>
      </c>
      <c r="F794" s="353" t="s">
        <v>16</v>
      </c>
      <c r="G794" s="11">
        <v>4907</v>
      </c>
      <c r="H794" s="353" t="s">
        <v>1701</v>
      </c>
      <c r="I794" s="353" t="s">
        <v>56</v>
      </c>
      <c r="J794" s="57"/>
      <c r="K794" s="11"/>
      <c r="L794" s="353"/>
    </row>
    <row r="795" spans="1:12" hidden="1">
      <c r="A795" s="353"/>
      <c r="B795" s="7" t="s">
        <v>1695</v>
      </c>
      <c r="C795" s="103" t="s">
        <v>1699</v>
      </c>
      <c r="D795" s="57">
        <v>45624</v>
      </c>
      <c r="E795" s="57">
        <v>45726</v>
      </c>
      <c r="F795" s="353" t="s">
        <v>16</v>
      </c>
      <c r="G795" s="11">
        <v>4907</v>
      </c>
      <c r="H795" s="353" t="s">
        <v>1701</v>
      </c>
      <c r="I795" s="353" t="s">
        <v>56</v>
      </c>
      <c r="J795" s="57"/>
      <c r="K795" s="11"/>
      <c r="L795" s="353"/>
    </row>
    <row r="796" spans="1:12" hidden="1">
      <c r="A796" s="353" t="s">
        <v>1702</v>
      </c>
      <c r="B796" s="7" t="s">
        <v>1695</v>
      </c>
      <c r="C796" s="103" t="s">
        <v>1703</v>
      </c>
      <c r="D796" s="57">
        <v>45656</v>
      </c>
      <c r="E796" s="57">
        <v>45726</v>
      </c>
      <c r="F796" s="353" t="s">
        <v>16</v>
      </c>
      <c r="G796" s="11">
        <v>20000</v>
      </c>
      <c r="H796" s="353" t="s">
        <v>1705</v>
      </c>
      <c r="I796" s="353" t="s">
        <v>56</v>
      </c>
      <c r="J796" s="57"/>
      <c r="K796" s="11"/>
      <c r="L796" s="353"/>
    </row>
    <row r="797" spans="1:12" hidden="1">
      <c r="A797" s="353" t="s">
        <v>1702</v>
      </c>
      <c r="B797" s="7" t="s">
        <v>1695</v>
      </c>
      <c r="C797" s="103" t="s">
        <v>1703</v>
      </c>
      <c r="D797" s="57">
        <v>45656</v>
      </c>
      <c r="E797" s="57">
        <v>45757</v>
      </c>
      <c r="F797" s="353" t="s">
        <v>16</v>
      </c>
      <c r="G797" s="11">
        <v>20000</v>
      </c>
      <c r="H797" s="353" t="s">
        <v>1705</v>
      </c>
      <c r="I797" s="353" t="s">
        <v>56</v>
      </c>
      <c r="J797" s="57"/>
      <c r="K797" s="11"/>
      <c r="L797" s="353"/>
    </row>
    <row r="798" spans="1:12" hidden="1">
      <c r="A798" s="353" t="s">
        <v>1702</v>
      </c>
      <c r="B798" s="7" t="s">
        <v>1695</v>
      </c>
      <c r="C798" s="103" t="s">
        <v>335</v>
      </c>
      <c r="D798" s="57">
        <v>45729</v>
      </c>
      <c r="E798" s="57">
        <v>45729</v>
      </c>
      <c r="F798" s="353" t="s">
        <v>16</v>
      </c>
      <c r="G798" s="11">
        <v>-8800</v>
      </c>
      <c r="H798" s="353" t="s">
        <v>1707</v>
      </c>
      <c r="I798" s="353" t="s">
        <v>56</v>
      </c>
      <c r="J798" s="57"/>
      <c r="K798" s="11"/>
      <c r="L798" s="353"/>
    </row>
    <row r="799" spans="1:12" hidden="1">
      <c r="A799" s="353" t="s">
        <v>1702</v>
      </c>
      <c r="B799" s="7" t="s">
        <v>1695</v>
      </c>
      <c r="C799" s="103" t="s">
        <v>1708</v>
      </c>
      <c r="D799" s="57">
        <v>45656</v>
      </c>
      <c r="E799" s="57">
        <v>45726</v>
      </c>
      <c r="F799" s="353" t="s">
        <v>16</v>
      </c>
      <c r="G799" s="11">
        <v>5013.5</v>
      </c>
      <c r="H799" s="353" t="s">
        <v>342</v>
      </c>
      <c r="I799" s="353" t="s">
        <v>56</v>
      </c>
      <c r="J799" s="57"/>
      <c r="K799" s="11"/>
      <c r="L799" s="353"/>
    </row>
    <row r="800" spans="1:12" hidden="1">
      <c r="A800" s="353" t="s">
        <v>1702</v>
      </c>
      <c r="B800" s="7" t="s">
        <v>1695</v>
      </c>
      <c r="C800" s="103" t="s">
        <v>1708</v>
      </c>
      <c r="D800" s="57">
        <v>45656</v>
      </c>
      <c r="E800" s="57">
        <v>45757</v>
      </c>
      <c r="F800" s="353" t="s">
        <v>16</v>
      </c>
      <c r="G800" s="11">
        <v>5013.5</v>
      </c>
      <c r="H800" s="353" t="s">
        <v>342</v>
      </c>
      <c r="I800" s="353" t="s">
        <v>56</v>
      </c>
      <c r="J800" s="57"/>
      <c r="K800" s="11"/>
      <c r="L800" s="353"/>
    </row>
    <row r="801" spans="1:12" hidden="1">
      <c r="A801" s="353" t="s">
        <v>1702</v>
      </c>
      <c r="B801" s="7" t="s">
        <v>1695</v>
      </c>
      <c r="C801" s="103" t="s">
        <v>893</v>
      </c>
      <c r="D801" s="57">
        <v>45687</v>
      </c>
      <c r="E801" s="57">
        <v>45757</v>
      </c>
      <c r="F801" s="353" t="s">
        <v>16</v>
      </c>
      <c r="G801" s="11">
        <v>8123.5</v>
      </c>
      <c r="H801" s="353" t="s">
        <v>55</v>
      </c>
      <c r="I801" s="353" t="s">
        <v>56</v>
      </c>
      <c r="J801" s="57"/>
      <c r="K801" s="11"/>
      <c r="L801" s="353"/>
    </row>
    <row r="802" spans="1:12" hidden="1">
      <c r="A802" s="353" t="s">
        <v>1702</v>
      </c>
      <c r="B802" s="7" t="s">
        <v>1695</v>
      </c>
      <c r="C802" s="103" t="s">
        <v>893</v>
      </c>
      <c r="D802" s="57">
        <v>45687</v>
      </c>
      <c r="E802" s="57">
        <v>45787</v>
      </c>
      <c r="F802" s="353" t="s">
        <v>16</v>
      </c>
      <c r="G802" s="11">
        <v>8123.5</v>
      </c>
      <c r="H802" s="353" t="s">
        <v>55</v>
      </c>
      <c r="I802" s="353" t="s">
        <v>56</v>
      </c>
      <c r="J802" s="57"/>
      <c r="K802" s="11"/>
      <c r="L802" s="353"/>
    </row>
    <row r="803" spans="1:12" hidden="1">
      <c r="A803" s="353" t="s">
        <v>1702</v>
      </c>
      <c r="B803" s="7" t="s">
        <v>1695</v>
      </c>
      <c r="C803" s="103" t="s">
        <v>338</v>
      </c>
      <c r="D803" s="57">
        <v>45729</v>
      </c>
      <c r="E803" s="57">
        <v>45729</v>
      </c>
      <c r="F803" s="353" t="s">
        <v>16</v>
      </c>
      <c r="G803" s="11">
        <v>-7000</v>
      </c>
      <c r="H803" s="353" t="s">
        <v>1711</v>
      </c>
      <c r="I803" s="353" t="s">
        <v>56</v>
      </c>
      <c r="J803" s="57"/>
      <c r="K803" s="11"/>
      <c r="L803" s="353"/>
    </row>
    <row r="804" spans="1:12" hidden="1">
      <c r="A804" s="353" t="s">
        <v>1702</v>
      </c>
      <c r="B804" s="7" t="s">
        <v>1695</v>
      </c>
      <c r="C804" s="103" t="s">
        <v>1712</v>
      </c>
      <c r="D804" s="57">
        <v>45833</v>
      </c>
      <c r="E804" s="57">
        <v>45817</v>
      </c>
      <c r="F804" s="353" t="s">
        <v>16</v>
      </c>
      <c r="G804" s="11">
        <v>1000</v>
      </c>
      <c r="H804" s="353" t="s">
        <v>312</v>
      </c>
      <c r="I804" s="353" t="s">
        <v>56</v>
      </c>
      <c r="J804" s="57">
        <v>45817</v>
      </c>
      <c r="K804" s="11">
        <v>1000</v>
      </c>
      <c r="L804" s="353" t="s">
        <v>627</v>
      </c>
    </row>
    <row r="805" spans="1:12" hidden="1">
      <c r="A805" s="353" t="s">
        <v>1702</v>
      </c>
      <c r="B805" s="7" t="s">
        <v>1695</v>
      </c>
      <c r="C805" s="103" t="s">
        <v>1712</v>
      </c>
      <c r="D805" s="57">
        <v>45833</v>
      </c>
      <c r="E805" s="57">
        <v>45833</v>
      </c>
      <c r="F805" s="353" t="s">
        <v>16</v>
      </c>
      <c r="G805" s="11">
        <v>1000</v>
      </c>
      <c r="H805" s="353" t="s">
        <v>312</v>
      </c>
      <c r="I805" s="353" t="s">
        <v>56</v>
      </c>
      <c r="J805" s="57"/>
      <c r="K805" s="11"/>
      <c r="L805" s="353"/>
    </row>
    <row r="806" spans="1:12" hidden="1">
      <c r="A806" s="353" t="s">
        <v>1702</v>
      </c>
      <c r="B806" s="7" t="s">
        <v>1695</v>
      </c>
      <c r="C806" s="103" t="s">
        <v>1445</v>
      </c>
      <c r="D806" s="57">
        <v>45835</v>
      </c>
      <c r="E806" s="57">
        <v>45930</v>
      </c>
      <c r="F806" s="353" t="s">
        <v>16</v>
      </c>
      <c r="G806" s="11">
        <v>1465</v>
      </c>
      <c r="H806" s="353" t="s">
        <v>1715</v>
      </c>
      <c r="I806" s="353" t="s">
        <v>597</v>
      </c>
      <c r="J806" s="57"/>
      <c r="K806" s="11"/>
      <c r="L806" s="353"/>
    </row>
    <row r="807" spans="1:12" hidden="1">
      <c r="A807" s="353" t="s">
        <v>1702</v>
      </c>
      <c r="B807" s="7" t="s">
        <v>1695</v>
      </c>
      <c r="C807" s="103" t="s">
        <v>1716</v>
      </c>
      <c r="D807" s="57">
        <v>45862</v>
      </c>
      <c r="E807" s="57">
        <v>45930</v>
      </c>
      <c r="F807" s="353" t="s">
        <v>16</v>
      </c>
      <c r="G807" s="11">
        <v>1465</v>
      </c>
      <c r="H807" s="353" t="s">
        <v>312</v>
      </c>
      <c r="I807" s="353" t="s">
        <v>56</v>
      </c>
      <c r="J807" s="57"/>
      <c r="K807" s="11"/>
      <c r="L807" s="353"/>
    </row>
    <row r="808" spans="1:12" hidden="1">
      <c r="A808" s="353" t="s">
        <v>1702</v>
      </c>
      <c r="B808" s="7" t="s">
        <v>1695</v>
      </c>
      <c r="C808" s="103" t="s">
        <v>1718</v>
      </c>
      <c r="D808" s="57">
        <v>45862</v>
      </c>
      <c r="E808" s="57">
        <v>45862</v>
      </c>
      <c r="F808" s="353" t="s">
        <v>16</v>
      </c>
      <c r="G808" s="11">
        <v>-1465</v>
      </c>
      <c r="H808" s="353" t="s">
        <v>55</v>
      </c>
      <c r="I808" s="353" t="s">
        <v>56</v>
      </c>
      <c r="J808" s="57"/>
      <c r="K808" s="11"/>
      <c r="L808" s="353" t="s">
        <v>1720</v>
      </c>
    </row>
    <row r="809" spans="1:12" hidden="1">
      <c r="A809" s="353" t="s">
        <v>1702</v>
      </c>
      <c r="B809" s="7" t="s">
        <v>1695</v>
      </c>
      <c r="C809" s="103" t="s">
        <v>1721</v>
      </c>
      <c r="D809" s="57">
        <v>45971</v>
      </c>
      <c r="E809" s="57">
        <v>45971</v>
      </c>
      <c r="F809" s="353" t="s">
        <v>16</v>
      </c>
      <c r="G809" s="11">
        <v>1465</v>
      </c>
      <c r="H809" s="353" t="s">
        <v>312</v>
      </c>
      <c r="I809" s="353" t="s">
        <v>1504</v>
      </c>
      <c r="J809" s="57"/>
      <c r="K809" s="11"/>
      <c r="L809" s="353"/>
    </row>
    <row r="810" spans="1:12" hidden="1">
      <c r="A810" s="353" t="s">
        <v>1702</v>
      </c>
      <c r="B810" s="7" t="s">
        <v>1695</v>
      </c>
      <c r="C810" s="103" t="s">
        <v>1722</v>
      </c>
      <c r="D810" s="57">
        <v>45971</v>
      </c>
      <c r="E810" s="57">
        <v>45971</v>
      </c>
      <c r="F810" s="353" t="s">
        <v>16</v>
      </c>
      <c r="G810" s="11">
        <v>-1465</v>
      </c>
      <c r="H810" s="353" t="s">
        <v>1723</v>
      </c>
      <c r="I810" s="353" t="s">
        <v>1504</v>
      </c>
      <c r="J810" s="57"/>
      <c r="K810" s="11"/>
      <c r="L810" s="353"/>
    </row>
    <row r="811" spans="1:12" hidden="1">
      <c r="A811" s="353" t="s">
        <v>1724</v>
      </c>
      <c r="B811" s="7" t="s">
        <v>1695</v>
      </c>
      <c r="F811" s="353" t="s">
        <v>16</v>
      </c>
      <c r="G811" s="11">
        <v>13000</v>
      </c>
      <c r="H811" s="353" t="s">
        <v>1725</v>
      </c>
      <c r="I811" s="353" t="s">
        <v>1504</v>
      </c>
      <c r="J811" s="57">
        <v>45979</v>
      </c>
      <c r="K811" s="11">
        <v>13000</v>
      </c>
      <c r="L811" s="353" t="s">
        <v>246</v>
      </c>
    </row>
    <row r="812" spans="1:12" hidden="1">
      <c r="A812" s="353" t="s">
        <v>1724</v>
      </c>
      <c r="B812" s="7" t="s">
        <v>1695</v>
      </c>
      <c r="F812" s="353" t="s">
        <v>16</v>
      </c>
      <c r="G812" s="11">
        <v>13000</v>
      </c>
      <c r="H812" s="353" t="s">
        <v>1726</v>
      </c>
      <c r="I812" s="353" t="s">
        <v>1504</v>
      </c>
      <c r="J812" s="57">
        <v>46006</v>
      </c>
      <c r="K812" s="11">
        <v>13000</v>
      </c>
      <c r="L812" s="353" t="s">
        <v>246</v>
      </c>
    </row>
    <row r="813" spans="1:12" hidden="1">
      <c r="A813" s="353" t="s">
        <v>1724</v>
      </c>
      <c r="B813" s="7" t="s">
        <v>1695</v>
      </c>
      <c r="F813" s="353" t="s">
        <v>16</v>
      </c>
      <c r="G813" s="11">
        <v>13000</v>
      </c>
      <c r="H813" s="353" t="s">
        <v>1727</v>
      </c>
      <c r="I813" s="353" t="s">
        <v>1504</v>
      </c>
      <c r="J813" s="57">
        <v>45672</v>
      </c>
      <c r="K813" s="11">
        <v>13000</v>
      </c>
      <c r="L813" s="353" t="s">
        <v>313</v>
      </c>
    </row>
    <row r="814" spans="1:12" hidden="1">
      <c r="A814" s="353" t="s">
        <v>1724</v>
      </c>
      <c r="B814" s="7" t="s">
        <v>1695</v>
      </c>
      <c r="F814" s="353" t="s">
        <v>16</v>
      </c>
      <c r="G814" s="11">
        <v>13000</v>
      </c>
      <c r="H814" s="353" t="s">
        <v>1728</v>
      </c>
      <c r="I814" s="353" t="s">
        <v>1504</v>
      </c>
      <c r="J814" s="57">
        <v>46070</v>
      </c>
      <c r="K814" s="11">
        <v>13000</v>
      </c>
      <c r="L814" s="353" t="s">
        <v>394</v>
      </c>
    </row>
    <row r="815" spans="1:12" hidden="1">
      <c r="A815" s="353" t="s">
        <v>1724</v>
      </c>
      <c r="B815" s="7" t="s">
        <v>1695</v>
      </c>
      <c r="F815" s="353"/>
      <c r="G815" s="11">
        <v>13000</v>
      </c>
      <c r="H815" s="353" t="s">
        <v>1729</v>
      </c>
      <c r="I815" s="353" t="s">
        <v>1504</v>
      </c>
      <c r="J815" s="57">
        <v>45731</v>
      </c>
      <c r="K815" s="11">
        <v>13000</v>
      </c>
      <c r="L815" s="353"/>
    </row>
    <row r="816" spans="1:12" hidden="1">
      <c r="A816" s="353"/>
      <c r="B816" s="7" t="s">
        <v>1730</v>
      </c>
      <c r="C816" s="103" t="s">
        <v>1731</v>
      </c>
      <c r="D816" s="57">
        <v>45670</v>
      </c>
      <c r="E816" s="57">
        <v>45701</v>
      </c>
      <c r="F816" s="353" t="s">
        <v>16</v>
      </c>
      <c r="G816" s="11">
        <v>27.94</v>
      </c>
      <c r="H816" s="353" t="s">
        <v>1733</v>
      </c>
      <c r="I816" s="353"/>
      <c r="J816" s="57"/>
      <c r="K816" s="11"/>
      <c r="L816" s="353"/>
    </row>
    <row r="817" spans="1:12" hidden="1">
      <c r="A817" s="353"/>
      <c r="B817" s="7" t="s">
        <v>1730</v>
      </c>
      <c r="C817" s="103" t="s">
        <v>1734</v>
      </c>
      <c r="D817" s="57">
        <v>45699</v>
      </c>
      <c r="E817" s="57">
        <v>45730</v>
      </c>
      <c r="F817" s="353" t="s">
        <v>16</v>
      </c>
      <c r="G817" s="11">
        <v>27.94</v>
      </c>
      <c r="H817" s="353" t="s">
        <v>1733</v>
      </c>
      <c r="I817" s="353" t="s">
        <v>150</v>
      </c>
      <c r="J817" s="57"/>
      <c r="K817" s="11"/>
      <c r="L817" s="353" t="s">
        <v>345</v>
      </c>
    </row>
    <row r="818" spans="1:12" hidden="1">
      <c r="A818" s="353"/>
      <c r="B818" s="7" t="s">
        <v>1730</v>
      </c>
      <c r="C818" s="103" t="s">
        <v>1736</v>
      </c>
      <c r="D818" s="57">
        <v>45727</v>
      </c>
      <c r="E818" s="57">
        <v>45758</v>
      </c>
      <c r="F818" s="353" t="s">
        <v>16</v>
      </c>
      <c r="G818" s="11">
        <v>27.94</v>
      </c>
      <c r="H818" s="353" t="s">
        <v>1733</v>
      </c>
      <c r="I818" s="353" t="s">
        <v>1738</v>
      </c>
      <c r="J818" s="57"/>
      <c r="K818" s="11"/>
      <c r="L818" s="353" t="s">
        <v>345</v>
      </c>
    </row>
    <row r="819" spans="1:12" hidden="1">
      <c r="A819" s="353"/>
      <c r="B819" s="7" t="s">
        <v>1730</v>
      </c>
      <c r="C819" s="103" t="s">
        <v>1739</v>
      </c>
      <c r="D819" s="57">
        <v>45757</v>
      </c>
      <c r="E819" s="57">
        <v>45789</v>
      </c>
      <c r="F819" s="353" t="s">
        <v>16</v>
      </c>
      <c r="G819" s="11">
        <v>27.94</v>
      </c>
      <c r="H819" s="353" t="s">
        <v>1733</v>
      </c>
      <c r="I819" s="353" t="s">
        <v>150</v>
      </c>
      <c r="J819" s="57"/>
      <c r="K819" s="11"/>
      <c r="L819" s="353" t="s">
        <v>345</v>
      </c>
    </row>
    <row r="820" spans="1:12" hidden="1">
      <c r="A820" s="353"/>
      <c r="B820" s="7" t="s">
        <v>1730</v>
      </c>
      <c r="C820" s="103" t="s">
        <v>1741</v>
      </c>
      <c r="D820" s="57">
        <v>45787</v>
      </c>
      <c r="E820" s="57">
        <v>45818</v>
      </c>
      <c r="F820" s="353" t="s">
        <v>16</v>
      </c>
      <c r="G820" s="11">
        <v>27.94</v>
      </c>
      <c r="H820" s="353" t="s">
        <v>1733</v>
      </c>
      <c r="I820" s="353" t="s">
        <v>150</v>
      </c>
      <c r="J820" s="57"/>
      <c r="K820" s="11"/>
      <c r="L820" s="353" t="s">
        <v>345</v>
      </c>
    </row>
    <row r="821" spans="1:12" hidden="1">
      <c r="A821" s="353"/>
      <c r="B821" s="7" t="s">
        <v>1730</v>
      </c>
      <c r="C821" s="103" t="s">
        <v>1743</v>
      </c>
      <c r="D821" s="57">
        <v>45848</v>
      </c>
      <c r="E821" s="57">
        <v>45880</v>
      </c>
      <c r="F821" s="353" t="s">
        <v>16</v>
      </c>
      <c r="G821" s="11">
        <v>30.52</v>
      </c>
      <c r="H821" s="353" t="s">
        <v>1745</v>
      </c>
      <c r="I821" s="353" t="s">
        <v>150</v>
      </c>
      <c r="J821" s="57"/>
      <c r="K821" s="11"/>
      <c r="L821" s="353" t="s">
        <v>345</v>
      </c>
    </row>
    <row r="822" spans="1:12" hidden="1">
      <c r="A822" s="353"/>
      <c r="B822" s="7" t="s">
        <v>1730</v>
      </c>
      <c r="C822" s="103" t="s">
        <v>1746</v>
      </c>
      <c r="D822" s="57">
        <v>45819</v>
      </c>
      <c r="E822" s="57">
        <v>45852</v>
      </c>
      <c r="F822" s="353" t="s">
        <v>16</v>
      </c>
      <c r="G822" s="11">
        <v>27.94</v>
      </c>
      <c r="H822" s="353" t="s">
        <v>1733</v>
      </c>
      <c r="I822" s="353" t="s">
        <v>150</v>
      </c>
      <c r="J822" s="57"/>
      <c r="K822" s="11"/>
      <c r="L822" s="353" t="s">
        <v>345</v>
      </c>
    </row>
    <row r="823" spans="1:12" hidden="1">
      <c r="A823" s="353"/>
      <c r="B823" s="7" t="s">
        <v>1730</v>
      </c>
      <c r="C823" s="103" t="s">
        <v>1748</v>
      </c>
      <c r="D823" s="57">
        <v>45880</v>
      </c>
      <c r="E823" s="57">
        <v>45880</v>
      </c>
      <c r="F823" s="353" t="s">
        <v>16</v>
      </c>
      <c r="G823" s="11">
        <v>27.94</v>
      </c>
      <c r="H823" s="353" t="s">
        <v>1733</v>
      </c>
      <c r="I823" s="353" t="s">
        <v>1750</v>
      </c>
      <c r="J823" s="57"/>
      <c r="K823" s="11"/>
      <c r="L823" s="353" t="s">
        <v>345</v>
      </c>
    </row>
    <row r="824" spans="1:12" hidden="1">
      <c r="A824" s="353"/>
      <c r="B824" s="7" t="s">
        <v>1730</v>
      </c>
      <c r="C824" s="103" t="s">
        <v>1751</v>
      </c>
      <c r="D824" s="57">
        <v>45911</v>
      </c>
      <c r="E824" s="57">
        <v>45943</v>
      </c>
      <c r="F824" s="353" t="s">
        <v>16</v>
      </c>
      <c r="G824" s="11">
        <v>28.51</v>
      </c>
      <c r="H824" s="353" t="s">
        <v>1745</v>
      </c>
      <c r="I824" s="353" t="s">
        <v>150</v>
      </c>
      <c r="J824" s="57"/>
      <c r="K824" s="11"/>
      <c r="L824" s="353" t="s">
        <v>345</v>
      </c>
    </row>
    <row r="825" spans="1:12" hidden="1">
      <c r="A825" s="353"/>
      <c r="B825" s="7" t="s">
        <v>1730</v>
      </c>
      <c r="C825" s="103" t="s">
        <v>1753</v>
      </c>
      <c r="D825" s="57">
        <v>45939</v>
      </c>
      <c r="E825" s="57">
        <v>45971</v>
      </c>
      <c r="F825" s="353" t="s">
        <v>16</v>
      </c>
      <c r="G825" s="11">
        <v>27.94</v>
      </c>
      <c r="H825" s="353" t="s">
        <v>1733</v>
      </c>
      <c r="I825" s="353" t="s">
        <v>150</v>
      </c>
      <c r="J825" s="57"/>
      <c r="K825" s="11"/>
      <c r="L825" s="353" t="s">
        <v>345</v>
      </c>
    </row>
    <row r="826" spans="1:12" hidden="1">
      <c r="A826" s="353"/>
      <c r="B826" s="7" t="s">
        <v>1730</v>
      </c>
      <c r="C826" s="103" t="s">
        <v>1755</v>
      </c>
      <c r="D826" s="57">
        <v>45972</v>
      </c>
      <c r="E826" s="57">
        <v>46002</v>
      </c>
      <c r="F826" s="353" t="s">
        <v>16</v>
      </c>
      <c r="G826" s="11">
        <v>22.95</v>
      </c>
      <c r="H826" s="353" t="s">
        <v>1756</v>
      </c>
      <c r="I826" s="353" t="s">
        <v>1757</v>
      </c>
      <c r="J826" s="57"/>
      <c r="K826" s="11"/>
      <c r="L826" s="353" t="s">
        <v>345</v>
      </c>
    </row>
    <row r="827" spans="1:12" hidden="1">
      <c r="A827" s="353"/>
      <c r="B827" s="7" t="s">
        <v>1730</v>
      </c>
      <c r="C827" s="103" t="s">
        <v>1758</v>
      </c>
      <c r="D827" s="57">
        <v>45972</v>
      </c>
      <c r="E827" s="57">
        <v>46002</v>
      </c>
      <c r="F827" s="353" t="s">
        <v>16</v>
      </c>
      <c r="G827" s="11">
        <v>27.94</v>
      </c>
      <c r="H827" s="353" t="s">
        <v>1759</v>
      </c>
      <c r="I827" s="353" t="s">
        <v>1757</v>
      </c>
      <c r="J827" s="57"/>
      <c r="K827" s="11"/>
      <c r="L827" s="353" t="s">
        <v>345</v>
      </c>
    </row>
    <row r="828" spans="1:12" hidden="1">
      <c r="A828" s="353"/>
      <c r="B828" s="7" t="s">
        <v>1730</v>
      </c>
      <c r="C828" s="103" t="s">
        <v>1760</v>
      </c>
      <c r="D828" s="57">
        <v>46004</v>
      </c>
      <c r="E828" s="57">
        <v>46035</v>
      </c>
      <c r="F828" s="353" t="s">
        <v>16</v>
      </c>
      <c r="G828" s="11">
        <v>56.33</v>
      </c>
      <c r="H828" s="353" t="s">
        <v>1761</v>
      </c>
      <c r="I828" s="353" t="s">
        <v>1757</v>
      </c>
      <c r="J828" s="57"/>
      <c r="K828" s="11"/>
      <c r="L828" s="353" t="s">
        <v>345</v>
      </c>
    </row>
    <row r="829" spans="1:12" hidden="1">
      <c r="A829" s="353"/>
      <c r="B829" s="7" t="s">
        <v>1730</v>
      </c>
      <c r="C829" s="103" t="s">
        <v>1762</v>
      </c>
      <c r="D829" s="57">
        <v>46004</v>
      </c>
      <c r="E829" s="57">
        <v>46035</v>
      </c>
      <c r="F829" s="353" t="s">
        <v>16</v>
      </c>
      <c r="G829" s="11">
        <v>27.94</v>
      </c>
      <c r="H829" s="353" t="s">
        <v>1763</v>
      </c>
      <c r="I829" s="353" t="s">
        <v>1757</v>
      </c>
      <c r="J829" s="57"/>
      <c r="K829" s="11"/>
      <c r="L829" s="353" t="s">
        <v>345</v>
      </c>
    </row>
    <row r="830" spans="1:12" hidden="1">
      <c r="A830" s="353"/>
      <c r="B830" s="7" t="s">
        <v>1730</v>
      </c>
      <c r="C830" s="103" t="s">
        <v>4124</v>
      </c>
      <c r="D830" s="57">
        <v>46035</v>
      </c>
      <c r="E830" s="57">
        <v>46066</v>
      </c>
      <c r="F830" s="353" t="s">
        <v>16</v>
      </c>
      <c r="G830" s="11">
        <v>29.39</v>
      </c>
      <c r="H830" s="353" t="s">
        <v>4167</v>
      </c>
      <c r="I830" s="353" t="s">
        <v>1757</v>
      </c>
      <c r="J830" s="57"/>
      <c r="K830" s="11"/>
      <c r="L830" s="353" t="s">
        <v>345</v>
      </c>
    </row>
    <row r="831" spans="1:12" hidden="1">
      <c r="A831" s="353"/>
      <c r="B831" s="7" t="s">
        <v>1730</v>
      </c>
      <c r="C831" s="103" t="s">
        <v>4126</v>
      </c>
      <c r="D831" s="57">
        <v>46035</v>
      </c>
      <c r="E831" s="57">
        <v>46066</v>
      </c>
      <c r="F831" s="353" t="s">
        <v>16</v>
      </c>
      <c r="G831" s="11">
        <v>27.94</v>
      </c>
      <c r="H831" s="353" t="s">
        <v>4168</v>
      </c>
      <c r="I831" s="353" t="s">
        <v>1757</v>
      </c>
      <c r="J831" s="57"/>
      <c r="K831" s="11"/>
      <c r="L831" s="353" t="s">
        <v>345</v>
      </c>
    </row>
    <row r="832" spans="1:12" hidden="1">
      <c r="A832" s="353"/>
      <c r="B832" s="7" t="s">
        <v>1730</v>
      </c>
      <c r="C832" s="103" t="s">
        <v>4252</v>
      </c>
      <c r="D832" s="57">
        <v>46064</v>
      </c>
      <c r="E832" s="57">
        <v>46097</v>
      </c>
      <c r="F832" s="353"/>
      <c r="G832" s="11">
        <v>45.65</v>
      </c>
      <c r="H832" s="353" t="s">
        <v>4294</v>
      </c>
      <c r="I832" s="353" t="s">
        <v>1757</v>
      </c>
      <c r="J832" s="57"/>
      <c r="K832" s="11"/>
      <c r="L832" s="353" t="s">
        <v>345</v>
      </c>
    </row>
    <row r="833" spans="1:12" hidden="1">
      <c r="A833" s="353"/>
      <c r="B833" s="7" t="s">
        <v>1730</v>
      </c>
      <c r="C833" s="103" t="s">
        <v>4254</v>
      </c>
      <c r="D833" s="57">
        <v>46064</v>
      </c>
      <c r="E833" s="57">
        <v>46097</v>
      </c>
      <c r="F833" s="353"/>
      <c r="G833" s="11">
        <v>31.48</v>
      </c>
      <c r="H833" s="353" t="s">
        <v>4295</v>
      </c>
      <c r="I833" s="353" t="s">
        <v>1757</v>
      </c>
      <c r="J833" s="57"/>
      <c r="K833" s="11"/>
      <c r="L833" s="353" t="s">
        <v>345</v>
      </c>
    </row>
    <row r="834" spans="1:12" hidden="1">
      <c r="A834" s="353"/>
      <c r="B834" s="7" t="s">
        <v>1764</v>
      </c>
      <c r="C834" s="103" t="s">
        <v>1765</v>
      </c>
      <c r="D834" s="57">
        <v>45693</v>
      </c>
      <c r="E834" s="57">
        <v>45716</v>
      </c>
      <c r="F834" s="353" t="s">
        <v>16</v>
      </c>
      <c r="G834" s="11">
        <v>5130.24</v>
      </c>
      <c r="H834" s="353" t="s">
        <v>1767</v>
      </c>
      <c r="I834" s="353" t="s">
        <v>56</v>
      </c>
      <c r="J834" s="57"/>
      <c r="K834" s="11"/>
      <c r="L834" s="353"/>
    </row>
    <row r="835" spans="1:12" hidden="1">
      <c r="A835" s="353"/>
      <c r="B835" s="7" t="s">
        <v>1768</v>
      </c>
      <c r="C835" s="103" t="s">
        <v>1769</v>
      </c>
      <c r="D835" s="57">
        <v>45730</v>
      </c>
      <c r="F835" s="353" t="s">
        <v>16</v>
      </c>
      <c r="G835" s="11">
        <v>20</v>
      </c>
      <c r="H835" s="353" t="s">
        <v>519</v>
      </c>
      <c r="I835" s="353" t="s">
        <v>215</v>
      </c>
      <c r="J835" s="57"/>
      <c r="K835" s="11"/>
      <c r="L835" s="353"/>
    </row>
    <row r="836" spans="1:12" hidden="1">
      <c r="A836" s="353"/>
      <c r="B836" s="7" t="s">
        <v>1768</v>
      </c>
      <c r="C836" s="103" t="s">
        <v>1771</v>
      </c>
      <c r="D836" s="57">
        <v>45849</v>
      </c>
      <c r="F836" s="353" t="s">
        <v>16</v>
      </c>
      <c r="G836" s="11">
        <v>20</v>
      </c>
      <c r="H836" s="353" t="s">
        <v>1773</v>
      </c>
      <c r="I836" s="353" t="s">
        <v>215</v>
      </c>
      <c r="J836" s="57"/>
      <c r="K836" s="11"/>
      <c r="L836" s="353"/>
    </row>
    <row r="837" spans="1:12" hidden="1">
      <c r="A837" s="353"/>
      <c r="B837" s="7" t="s">
        <v>1768</v>
      </c>
      <c r="C837" s="103" t="s">
        <v>1774</v>
      </c>
      <c r="D837" s="57">
        <v>45966</v>
      </c>
      <c r="E837" s="57">
        <v>45966</v>
      </c>
      <c r="F837" s="353" t="s">
        <v>16</v>
      </c>
      <c r="G837" s="11">
        <v>20</v>
      </c>
      <c r="H837" s="353" t="s">
        <v>1775</v>
      </c>
      <c r="I837" s="353" t="s">
        <v>215</v>
      </c>
      <c r="J837" s="57"/>
      <c r="K837" s="11"/>
      <c r="L837" s="353"/>
    </row>
    <row r="838" spans="1:12" hidden="1">
      <c r="A838" s="353"/>
      <c r="B838" s="7" t="s">
        <v>1776</v>
      </c>
      <c r="C838" s="103" t="s">
        <v>1777</v>
      </c>
      <c r="D838" s="57">
        <v>45838</v>
      </c>
      <c r="E838" s="57">
        <v>45845</v>
      </c>
      <c r="F838" s="353" t="s">
        <v>16</v>
      </c>
      <c r="G838" s="11">
        <v>30000</v>
      </c>
      <c r="H838" s="353" t="s">
        <v>1779</v>
      </c>
      <c r="I838" s="353" t="s">
        <v>56</v>
      </c>
      <c r="J838" s="57"/>
      <c r="K838" s="11"/>
      <c r="L838" s="353"/>
    </row>
    <row r="839" spans="1:12" hidden="1">
      <c r="A839" s="353"/>
      <c r="B839" s="7" t="s">
        <v>1776</v>
      </c>
      <c r="C839" s="103" t="s">
        <v>1780</v>
      </c>
      <c r="D839" s="57">
        <v>45838</v>
      </c>
      <c r="E839" s="57">
        <v>45845</v>
      </c>
      <c r="F839" s="353"/>
      <c r="G839" s="11">
        <v>70000</v>
      </c>
      <c r="H839" s="353" t="s">
        <v>312</v>
      </c>
      <c r="I839" s="353" t="s">
        <v>56</v>
      </c>
      <c r="J839" s="57"/>
      <c r="K839" s="11"/>
      <c r="L839" s="353"/>
    </row>
    <row r="840" spans="1:12" hidden="1">
      <c r="A840" s="353"/>
      <c r="B840" s="7" t="s">
        <v>1782</v>
      </c>
      <c r="C840" s="103" t="s">
        <v>1783</v>
      </c>
      <c r="D840" s="57">
        <v>45688</v>
      </c>
      <c r="F840" s="353" t="s">
        <v>16</v>
      </c>
      <c r="G840" s="11">
        <v>1105</v>
      </c>
      <c r="H840" s="353" t="s">
        <v>1785</v>
      </c>
      <c r="I840" s="353"/>
      <c r="J840" s="57"/>
      <c r="K840" s="11"/>
      <c r="L840" s="353"/>
    </row>
    <row r="841" spans="1:12" hidden="1">
      <c r="A841" s="353"/>
      <c r="B841" s="7" t="s">
        <v>1782</v>
      </c>
      <c r="C841" s="103" t="s">
        <v>1786</v>
      </c>
      <c r="D841" s="57">
        <v>45716</v>
      </c>
      <c r="F841" s="353" t="s">
        <v>16</v>
      </c>
      <c r="G841" s="11">
        <v>1274</v>
      </c>
      <c r="H841" s="353" t="s">
        <v>1788</v>
      </c>
      <c r="I841" s="353" t="s">
        <v>24</v>
      </c>
      <c r="J841" s="57"/>
      <c r="K841" s="11"/>
      <c r="L841" s="353"/>
    </row>
    <row r="842" spans="1:12" hidden="1">
      <c r="A842" s="353"/>
      <c r="B842" s="7" t="s">
        <v>1782</v>
      </c>
      <c r="C842" s="103" t="s">
        <v>1789</v>
      </c>
      <c r="D842" s="57">
        <v>45747</v>
      </c>
      <c r="F842" s="353" t="s">
        <v>16</v>
      </c>
      <c r="G842" s="11">
        <v>767</v>
      </c>
      <c r="H842" s="353" t="s">
        <v>1791</v>
      </c>
      <c r="I842" s="353" t="s">
        <v>1792</v>
      </c>
      <c r="J842" s="57"/>
      <c r="K842" s="11"/>
      <c r="L842" s="353"/>
    </row>
    <row r="843" spans="1:12" hidden="1">
      <c r="A843" s="353"/>
      <c r="B843" s="7" t="s">
        <v>1782</v>
      </c>
      <c r="C843" s="103" t="s">
        <v>1793</v>
      </c>
      <c r="D843" s="57">
        <v>45779</v>
      </c>
      <c r="F843" s="353" t="s">
        <v>16</v>
      </c>
      <c r="G843" s="11">
        <v>533</v>
      </c>
      <c r="H843" s="353" t="s">
        <v>1795</v>
      </c>
      <c r="I843" s="353" t="s">
        <v>1792</v>
      </c>
      <c r="J843" s="57"/>
      <c r="K843" s="11"/>
      <c r="L843" s="353"/>
    </row>
    <row r="844" spans="1:12" hidden="1">
      <c r="A844" s="353"/>
      <c r="B844" s="7" t="s">
        <v>1782</v>
      </c>
      <c r="C844" s="103" t="s">
        <v>1796</v>
      </c>
      <c r="D844" s="57">
        <v>45811</v>
      </c>
      <c r="F844" s="353" t="s">
        <v>16</v>
      </c>
      <c r="G844" s="11">
        <v>1040</v>
      </c>
      <c r="H844" s="353" t="s">
        <v>1798</v>
      </c>
      <c r="I844" s="353" t="s">
        <v>1792</v>
      </c>
      <c r="J844" s="57"/>
      <c r="K844" s="11"/>
      <c r="L844" s="353"/>
    </row>
    <row r="845" spans="1:12" hidden="1">
      <c r="A845" s="353"/>
      <c r="B845" s="7" t="s">
        <v>1782</v>
      </c>
      <c r="C845" s="103" t="s">
        <v>1799</v>
      </c>
      <c r="D845" s="57">
        <v>45838</v>
      </c>
      <c r="F845" s="353" t="s">
        <v>16</v>
      </c>
      <c r="G845" s="11">
        <v>949</v>
      </c>
      <c r="H845" s="353" t="s">
        <v>1801</v>
      </c>
      <c r="I845" s="353" t="s">
        <v>1792</v>
      </c>
      <c r="J845" s="57"/>
      <c r="K845" s="11"/>
      <c r="L845" s="353"/>
    </row>
    <row r="846" spans="1:12" hidden="1">
      <c r="A846" s="353"/>
      <c r="B846" s="7" t="s">
        <v>1802</v>
      </c>
      <c r="C846" s="103" t="s">
        <v>1803</v>
      </c>
      <c r="D846" s="57">
        <v>45787</v>
      </c>
      <c r="F846" s="353" t="s">
        <v>16</v>
      </c>
      <c r="G846" s="11">
        <v>122.3</v>
      </c>
      <c r="H846" s="353" t="s">
        <v>457</v>
      </c>
      <c r="I846" s="353" t="s">
        <v>215</v>
      </c>
      <c r="J846" s="57"/>
      <c r="K846" s="11"/>
      <c r="L846" s="353"/>
    </row>
    <row r="847" spans="1:12" hidden="1">
      <c r="A847" s="353"/>
      <c r="B847" s="7" t="s">
        <v>1805</v>
      </c>
      <c r="C847" s="103" t="s">
        <v>1806</v>
      </c>
      <c r="D847" s="57">
        <v>45687</v>
      </c>
      <c r="E847" s="57">
        <v>45687</v>
      </c>
      <c r="F847" s="353" t="s">
        <v>16</v>
      </c>
      <c r="G847" s="11">
        <v>1.2</v>
      </c>
      <c r="H847" s="353" t="s">
        <v>565</v>
      </c>
      <c r="I847" s="353" t="s">
        <v>150</v>
      </c>
      <c r="J847" s="57">
        <v>45698</v>
      </c>
      <c r="K847" s="11"/>
      <c r="L847" s="353"/>
    </row>
    <row r="848" spans="1:12" hidden="1">
      <c r="A848" s="353"/>
      <c r="B848" s="7" t="s">
        <v>1808</v>
      </c>
      <c r="C848" s="103" t="s">
        <v>1809</v>
      </c>
      <c r="D848" s="57">
        <v>45695</v>
      </c>
      <c r="F848" s="353" t="s">
        <v>16</v>
      </c>
      <c r="G848" s="11">
        <v>1682</v>
      </c>
      <c r="H848" s="353" t="s">
        <v>1811</v>
      </c>
      <c r="I848" s="353" t="s">
        <v>56</v>
      </c>
      <c r="J848" s="57"/>
      <c r="K848" s="11"/>
      <c r="L848" s="353"/>
    </row>
    <row r="849" spans="1:12" hidden="1">
      <c r="A849" s="353"/>
      <c r="B849" s="7" t="s">
        <v>1812</v>
      </c>
      <c r="C849" s="103" t="s">
        <v>1813</v>
      </c>
      <c r="D849" s="57">
        <v>45693</v>
      </c>
      <c r="E849" s="57">
        <v>45693</v>
      </c>
      <c r="F849" s="353" t="s">
        <v>16</v>
      </c>
      <c r="G849" s="11">
        <v>108.01</v>
      </c>
      <c r="H849" s="353"/>
      <c r="I849" s="353" t="s">
        <v>24</v>
      </c>
      <c r="J849" s="57" t="s">
        <v>3298</v>
      </c>
      <c r="K849" s="11"/>
      <c r="L849" s="353"/>
    </row>
    <row r="850" spans="1:12" hidden="1">
      <c r="A850" s="353" t="s">
        <v>316</v>
      </c>
      <c r="B850" s="7" t="s">
        <v>1815</v>
      </c>
      <c r="C850" s="103" t="s">
        <v>1816</v>
      </c>
      <c r="D850" s="57">
        <v>45701</v>
      </c>
      <c r="F850" s="353" t="s">
        <v>16</v>
      </c>
      <c r="G850" s="11">
        <v>6.85</v>
      </c>
      <c r="H850" s="353" t="s">
        <v>1818</v>
      </c>
      <c r="I850" s="353" t="s">
        <v>150</v>
      </c>
      <c r="J850" s="57"/>
      <c r="K850" s="11"/>
      <c r="L850" s="353"/>
    </row>
    <row r="851" spans="1:12" hidden="1">
      <c r="A851" s="353" t="s">
        <v>316</v>
      </c>
      <c r="B851" s="7" t="s">
        <v>1815</v>
      </c>
      <c r="C851" s="103" t="s">
        <v>1819</v>
      </c>
      <c r="D851" s="57">
        <v>45805</v>
      </c>
      <c r="F851" s="353" t="s">
        <v>16</v>
      </c>
      <c r="G851" s="11">
        <v>0</v>
      </c>
      <c r="H851" s="353" t="s">
        <v>1821</v>
      </c>
      <c r="I851" s="353" t="s">
        <v>150</v>
      </c>
      <c r="J851" s="57"/>
      <c r="K851" s="11"/>
      <c r="L851" s="353"/>
    </row>
    <row r="852" spans="1:12" hidden="1">
      <c r="A852" s="353" t="s">
        <v>316</v>
      </c>
      <c r="B852" s="7" t="s">
        <v>1815</v>
      </c>
      <c r="C852" s="103" t="s">
        <v>1822</v>
      </c>
      <c r="D852" s="57">
        <v>45874</v>
      </c>
      <c r="F852" s="353" t="s">
        <v>16</v>
      </c>
      <c r="G852" s="11">
        <v>30.19</v>
      </c>
      <c r="H852" s="353" t="s">
        <v>1824</v>
      </c>
      <c r="I852" s="353" t="s">
        <v>1825</v>
      </c>
      <c r="J852" s="57">
        <v>45960</v>
      </c>
      <c r="K852" s="11">
        <v>32.19</v>
      </c>
      <c r="L852" s="353" t="s">
        <v>1826</v>
      </c>
    </row>
    <row r="853" spans="1:12" hidden="1">
      <c r="A853" s="353" t="s">
        <v>316</v>
      </c>
      <c r="B853" s="7" t="s">
        <v>1815</v>
      </c>
      <c r="C853" s="103" t="s">
        <v>1827</v>
      </c>
      <c r="D853" s="57">
        <v>45635</v>
      </c>
      <c r="E853" s="57">
        <v>45665</v>
      </c>
      <c r="F853" s="353" t="s">
        <v>16</v>
      </c>
      <c r="G853" s="11">
        <v>26.65</v>
      </c>
      <c r="H853" s="353" t="s">
        <v>1828</v>
      </c>
      <c r="I853" s="353" t="s">
        <v>176</v>
      </c>
      <c r="J853" s="57">
        <v>45972</v>
      </c>
      <c r="K853" s="11">
        <v>26.65</v>
      </c>
      <c r="L853" s="353" t="s">
        <v>394</v>
      </c>
    </row>
    <row r="854" spans="1:12" hidden="1">
      <c r="A854" s="353" t="s">
        <v>316</v>
      </c>
      <c r="B854" s="7" t="s">
        <v>1815</v>
      </c>
      <c r="C854" s="103" t="s">
        <v>1829</v>
      </c>
      <c r="D854" s="57">
        <v>45706</v>
      </c>
      <c r="F854" s="353" t="s">
        <v>16</v>
      </c>
      <c r="G854" s="11">
        <v>204.97</v>
      </c>
      <c r="H854" s="353" t="s">
        <v>1831</v>
      </c>
      <c r="I854" s="353" t="s">
        <v>150</v>
      </c>
      <c r="J854" s="57"/>
      <c r="K854" s="11"/>
      <c r="L854" s="353"/>
    </row>
    <row r="855" spans="1:12" hidden="1">
      <c r="A855" s="353" t="s">
        <v>316</v>
      </c>
      <c r="B855" s="7" t="s">
        <v>1815</v>
      </c>
      <c r="C855" s="103" t="s">
        <v>1832</v>
      </c>
      <c r="D855" s="57">
        <v>45734</v>
      </c>
      <c r="E855" s="57">
        <v>45764</v>
      </c>
      <c r="F855" s="353" t="s">
        <v>16</v>
      </c>
      <c r="G855" s="11">
        <v>36.51</v>
      </c>
      <c r="H855" s="353" t="s">
        <v>312</v>
      </c>
      <c r="I855" s="353"/>
      <c r="J855" s="57"/>
      <c r="K855" s="11"/>
      <c r="L855" s="353"/>
    </row>
    <row r="856" spans="1:12" hidden="1">
      <c r="A856" s="353" t="s">
        <v>316</v>
      </c>
      <c r="B856" s="7" t="s">
        <v>1815</v>
      </c>
      <c r="C856" s="103" t="s">
        <v>1834</v>
      </c>
      <c r="D856" s="57">
        <v>45741</v>
      </c>
      <c r="F856" s="353" t="s">
        <v>16</v>
      </c>
      <c r="G856" s="11">
        <v>0</v>
      </c>
      <c r="H856" s="353" t="s">
        <v>1836</v>
      </c>
      <c r="I856" s="353"/>
      <c r="J856" s="57"/>
      <c r="K856" s="11"/>
      <c r="L856" s="353"/>
    </row>
    <row r="857" spans="1:12" hidden="1">
      <c r="A857" s="353" t="s">
        <v>13</v>
      </c>
      <c r="B857" s="7" t="s">
        <v>1815</v>
      </c>
      <c r="C857" s="103" t="s">
        <v>1837</v>
      </c>
      <c r="D857" s="57">
        <v>45559</v>
      </c>
      <c r="E857" s="57">
        <v>45589</v>
      </c>
      <c r="F857" s="353" t="s">
        <v>16</v>
      </c>
      <c r="G857" s="11">
        <v>30.39</v>
      </c>
      <c r="H857" s="353" t="s">
        <v>1838</v>
      </c>
      <c r="I857" s="353" t="s">
        <v>176</v>
      </c>
      <c r="J857" s="57">
        <v>45972</v>
      </c>
      <c r="K857" s="11">
        <v>30.39</v>
      </c>
      <c r="L857" s="353" t="s">
        <v>19</v>
      </c>
    </row>
    <row r="858" spans="1:12" hidden="1">
      <c r="A858" s="353" t="s">
        <v>13</v>
      </c>
      <c r="B858" s="7" t="s">
        <v>1815</v>
      </c>
      <c r="C858" s="103" t="s">
        <v>1840</v>
      </c>
      <c r="D858" s="57">
        <v>45805</v>
      </c>
      <c r="E858" s="57">
        <v>45835</v>
      </c>
      <c r="F858" s="353" t="s">
        <v>16</v>
      </c>
      <c r="G858" s="11">
        <v>335.87</v>
      </c>
      <c r="H858" s="353" t="s">
        <v>4296</v>
      </c>
      <c r="I858" s="353" t="s">
        <v>18</v>
      </c>
      <c r="J858" s="57">
        <v>46041</v>
      </c>
      <c r="K858" s="11">
        <v>335.87</v>
      </c>
      <c r="L858" s="353" t="s">
        <v>345</v>
      </c>
    </row>
    <row r="859" spans="1:12" hidden="1">
      <c r="A859" s="353" t="s">
        <v>13</v>
      </c>
      <c r="B859" s="7" t="s">
        <v>1815</v>
      </c>
      <c r="C859" s="103" t="s">
        <v>1843</v>
      </c>
      <c r="D859" s="57">
        <v>45919</v>
      </c>
      <c r="E859" s="57">
        <v>45950</v>
      </c>
      <c r="F859" s="353" t="s">
        <v>16</v>
      </c>
      <c r="G859" s="11">
        <v>752.58</v>
      </c>
      <c r="H859" s="353" t="s">
        <v>4297</v>
      </c>
      <c r="I859" s="353" t="s">
        <v>1846</v>
      </c>
      <c r="J859" s="57">
        <v>46041</v>
      </c>
      <c r="K859" s="11">
        <v>752.58</v>
      </c>
      <c r="L859" s="353" t="s">
        <v>345</v>
      </c>
    </row>
    <row r="860" spans="1:12" hidden="1">
      <c r="A860" s="353" t="s">
        <v>13</v>
      </c>
      <c r="B860" s="7" t="s">
        <v>1815</v>
      </c>
      <c r="C860" s="103" t="s">
        <v>1847</v>
      </c>
      <c r="D860" s="57">
        <v>45979</v>
      </c>
      <c r="E860" s="57">
        <v>45979</v>
      </c>
      <c r="F860" s="353" t="s">
        <v>16</v>
      </c>
      <c r="G860" s="11">
        <v>0</v>
      </c>
      <c r="H860" s="353" t="s">
        <v>1848</v>
      </c>
      <c r="I860" s="353" t="s">
        <v>1849</v>
      </c>
      <c r="J860" s="57"/>
      <c r="K860" s="11"/>
      <c r="L860" s="353"/>
    </row>
    <row r="861" spans="1:12" hidden="1">
      <c r="A861" s="353"/>
      <c r="B861" s="7" t="s">
        <v>1815</v>
      </c>
      <c r="C861" s="103" t="s">
        <v>1850</v>
      </c>
      <c r="D861" s="57">
        <v>45986</v>
      </c>
      <c r="E861" s="57">
        <v>46020</v>
      </c>
      <c r="F861" s="353" t="s">
        <v>16</v>
      </c>
      <c r="G861" s="11">
        <v>11.06</v>
      </c>
      <c r="H861" s="353" t="s">
        <v>1851</v>
      </c>
      <c r="I861" s="353" t="s">
        <v>1849</v>
      </c>
      <c r="J861" s="57"/>
      <c r="K861" s="11"/>
      <c r="L861" s="353"/>
    </row>
    <row r="862" spans="1:12" hidden="1">
      <c r="A862" s="353" t="s">
        <v>13</v>
      </c>
      <c r="B862" s="7" t="s">
        <v>1815</v>
      </c>
      <c r="C862" s="103" t="s">
        <v>1853</v>
      </c>
      <c r="D862" s="57">
        <v>45994</v>
      </c>
      <c r="E862" s="57">
        <v>46024</v>
      </c>
      <c r="F862" s="353" t="s">
        <v>16</v>
      </c>
      <c r="G862" s="11">
        <v>223.98</v>
      </c>
      <c r="H862" s="353" t="s">
        <v>4298</v>
      </c>
      <c r="I862" s="353" t="s">
        <v>1855</v>
      </c>
      <c r="J862" s="57">
        <v>46041</v>
      </c>
      <c r="K862" s="11">
        <v>223.98</v>
      </c>
      <c r="L862" s="353" t="s">
        <v>345</v>
      </c>
    </row>
    <row r="863" spans="1:12" hidden="1">
      <c r="A863" s="353" t="s">
        <v>13</v>
      </c>
      <c r="B863" s="7" t="s">
        <v>1856</v>
      </c>
      <c r="C863" s="103" t="s">
        <v>1857</v>
      </c>
      <c r="D863" s="57">
        <v>45962</v>
      </c>
      <c r="E863" s="57" t="s">
        <v>1858</v>
      </c>
      <c r="F863" s="353" t="s">
        <v>16</v>
      </c>
      <c r="G863" s="11">
        <v>137.97999999999999</v>
      </c>
      <c r="H863" s="353" t="s">
        <v>1859</v>
      </c>
      <c r="I863" s="353" t="s">
        <v>361</v>
      </c>
      <c r="J863" s="57"/>
      <c r="K863" s="11"/>
      <c r="L863" s="353"/>
    </row>
    <row r="864" spans="1:12" hidden="1">
      <c r="A864" s="353" t="s">
        <v>13</v>
      </c>
      <c r="B864" s="7" t="s">
        <v>1860</v>
      </c>
      <c r="C864" s="103" t="s">
        <v>1861</v>
      </c>
      <c r="D864" s="57">
        <v>45665</v>
      </c>
      <c r="E864" s="57">
        <v>45665</v>
      </c>
      <c r="F864" s="353" t="s">
        <v>16</v>
      </c>
      <c r="G864" s="11">
        <v>170.5</v>
      </c>
      <c r="H864" s="353" t="s">
        <v>1863</v>
      </c>
      <c r="I864" s="353" t="s">
        <v>751</v>
      </c>
      <c r="J864" s="57"/>
      <c r="K864" s="11"/>
      <c r="L864" s="353"/>
    </row>
    <row r="865" spans="1:12" hidden="1">
      <c r="A865" s="353" t="s">
        <v>13</v>
      </c>
      <c r="B865" s="7" t="s">
        <v>1860</v>
      </c>
      <c r="C865" s="103" t="s">
        <v>1864</v>
      </c>
      <c r="D865" s="57">
        <v>45709</v>
      </c>
      <c r="F865" s="353" t="s">
        <v>16</v>
      </c>
      <c r="G865" s="11">
        <v>173</v>
      </c>
      <c r="H865" s="353" t="s">
        <v>1773</v>
      </c>
      <c r="I865" s="353" t="s">
        <v>1792</v>
      </c>
      <c r="J865" s="57"/>
      <c r="K865" s="11"/>
      <c r="L865" s="353" t="s">
        <v>1866</v>
      </c>
    </row>
    <row r="866" spans="1:12" hidden="1">
      <c r="A866" s="353" t="s">
        <v>13</v>
      </c>
      <c r="B866" s="7" t="s">
        <v>1860</v>
      </c>
      <c r="C866" s="103" t="s">
        <v>1867</v>
      </c>
      <c r="D866" s="57">
        <v>45826</v>
      </c>
      <c r="F866" s="353" t="s">
        <v>16</v>
      </c>
      <c r="G866" s="11">
        <v>35.5</v>
      </c>
      <c r="H866" s="353" t="s">
        <v>1773</v>
      </c>
      <c r="I866" s="353"/>
      <c r="J866" s="57"/>
      <c r="K866" s="11"/>
      <c r="L866" s="353" t="s">
        <v>1866</v>
      </c>
    </row>
    <row r="867" spans="1:12" hidden="1">
      <c r="A867" s="353" t="s">
        <v>13</v>
      </c>
      <c r="B867" s="7" t="s">
        <v>1860</v>
      </c>
      <c r="C867" s="103" t="s">
        <v>1869</v>
      </c>
      <c r="D867" s="57">
        <v>45853</v>
      </c>
      <c r="F867" s="353" t="s">
        <v>16</v>
      </c>
      <c r="G867" s="11">
        <v>123.5</v>
      </c>
      <c r="H867" s="353" t="s">
        <v>1773</v>
      </c>
      <c r="I867" s="353" t="s">
        <v>794</v>
      </c>
      <c r="J867" s="57"/>
      <c r="K867" s="11"/>
      <c r="L867" s="353" t="s">
        <v>1866</v>
      </c>
    </row>
    <row r="868" spans="1:12" hidden="1">
      <c r="A868" s="353" t="s">
        <v>13</v>
      </c>
      <c r="B868" s="7" t="s">
        <v>1860</v>
      </c>
      <c r="C868" s="103" t="s">
        <v>1568</v>
      </c>
      <c r="D868" s="57">
        <v>45959</v>
      </c>
      <c r="F868" s="353" t="s">
        <v>16</v>
      </c>
      <c r="G868" s="11">
        <v>49.5</v>
      </c>
      <c r="H868" s="353" t="s">
        <v>1871</v>
      </c>
      <c r="I868" s="353" t="s">
        <v>1872</v>
      </c>
      <c r="J868" s="57"/>
      <c r="K868" s="11"/>
      <c r="L868" s="353" t="s">
        <v>1866</v>
      </c>
    </row>
    <row r="869" spans="1:12" hidden="1">
      <c r="A869" s="353"/>
      <c r="B869" s="7" t="s">
        <v>1873</v>
      </c>
      <c r="C869" s="103" t="s">
        <v>1874</v>
      </c>
      <c r="D869" s="57">
        <v>45716</v>
      </c>
      <c r="F869" s="353" t="s">
        <v>16</v>
      </c>
      <c r="G869" s="11">
        <v>345.34</v>
      </c>
      <c r="H869" s="353" t="s">
        <v>1384</v>
      </c>
      <c r="I869" s="353" t="s">
        <v>56</v>
      </c>
      <c r="J869" s="57"/>
      <c r="K869" s="11"/>
      <c r="L869" s="353"/>
    </row>
    <row r="870" spans="1:12" hidden="1">
      <c r="A870" s="353"/>
      <c r="B870" s="7" t="s">
        <v>1876</v>
      </c>
      <c r="C870" s="103" t="s">
        <v>1877</v>
      </c>
      <c r="D870" s="57">
        <v>45658</v>
      </c>
      <c r="E870" s="57">
        <v>45688</v>
      </c>
      <c r="F870" s="353" t="s">
        <v>16</v>
      </c>
      <c r="G870" s="11">
        <v>52.22</v>
      </c>
      <c r="H870" s="353" t="s">
        <v>1093</v>
      </c>
      <c r="I870" s="353" t="s">
        <v>150</v>
      </c>
      <c r="J870" s="57"/>
      <c r="K870" s="11"/>
      <c r="L870" s="353" t="s">
        <v>19</v>
      </c>
    </row>
    <row r="871" spans="1:12" hidden="1">
      <c r="A871" s="353"/>
      <c r="B871" s="7" t="s">
        <v>1876</v>
      </c>
      <c r="C871" s="103" t="s">
        <v>1879</v>
      </c>
      <c r="D871" s="57">
        <v>45658</v>
      </c>
      <c r="E871" s="57">
        <v>45688</v>
      </c>
      <c r="F871" s="353" t="s">
        <v>16</v>
      </c>
      <c r="G871" s="11">
        <v>50.8</v>
      </c>
      <c r="H871" s="353" t="s">
        <v>1093</v>
      </c>
      <c r="I871" s="353" t="s">
        <v>150</v>
      </c>
      <c r="J871" s="57"/>
      <c r="K871" s="11"/>
      <c r="L871" s="353" t="s">
        <v>19</v>
      </c>
    </row>
    <row r="872" spans="1:12" hidden="1">
      <c r="A872" s="353"/>
      <c r="B872" s="7" t="s">
        <v>1876</v>
      </c>
      <c r="C872" s="103" t="s">
        <v>1881</v>
      </c>
      <c r="D872" s="57">
        <v>45658</v>
      </c>
      <c r="E872" s="57">
        <v>45688</v>
      </c>
      <c r="F872" s="353" t="s">
        <v>16</v>
      </c>
      <c r="G872" s="11">
        <v>70.599999999999994</v>
      </c>
      <c r="H872" s="353" t="s">
        <v>1093</v>
      </c>
      <c r="I872" s="353" t="s">
        <v>150</v>
      </c>
      <c r="J872" s="57"/>
      <c r="K872" s="11"/>
      <c r="L872" s="353" t="s">
        <v>19</v>
      </c>
    </row>
    <row r="873" spans="1:12" hidden="1">
      <c r="A873" s="353"/>
      <c r="B873" s="7" t="s">
        <v>1876</v>
      </c>
      <c r="C873" s="103" t="s">
        <v>1883</v>
      </c>
      <c r="D873" s="57">
        <v>45689</v>
      </c>
      <c r="F873" s="353" t="s">
        <v>16</v>
      </c>
      <c r="G873" s="11">
        <v>50.8</v>
      </c>
      <c r="H873" s="353"/>
      <c r="I873" s="353" t="s">
        <v>150</v>
      </c>
      <c r="J873" s="57"/>
      <c r="K873" s="11"/>
      <c r="L873" s="353" t="s">
        <v>19</v>
      </c>
    </row>
    <row r="874" spans="1:12" hidden="1">
      <c r="A874" s="353"/>
      <c r="B874" s="7" t="s">
        <v>1876</v>
      </c>
      <c r="C874" s="103" t="s">
        <v>1885</v>
      </c>
      <c r="D874" s="57">
        <v>45689</v>
      </c>
      <c r="F874" s="353" t="s">
        <v>16</v>
      </c>
      <c r="G874" s="11">
        <v>52.22</v>
      </c>
      <c r="H874" s="353"/>
      <c r="I874" s="353" t="s">
        <v>150</v>
      </c>
      <c r="J874" s="57"/>
      <c r="K874" s="11"/>
      <c r="L874" s="353" t="s">
        <v>19</v>
      </c>
    </row>
    <row r="875" spans="1:12" hidden="1">
      <c r="A875" s="353"/>
      <c r="B875" s="7" t="s">
        <v>1876</v>
      </c>
      <c r="C875" s="103" t="s">
        <v>1887</v>
      </c>
      <c r="D875" s="57">
        <v>45689</v>
      </c>
      <c r="F875" s="353" t="s">
        <v>16</v>
      </c>
      <c r="G875" s="11">
        <v>70.599999999999994</v>
      </c>
      <c r="H875" s="353"/>
      <c r="I875" s="353" t="s">
        <v>150</v>
      </c>
      <c r="J875" s="57"/>
      <c r="K875" s="11"/>
      <c r="L875" s="353" t="s">
        <v>19</v>
      </c>
    </row>
    <row r="876" spans="1:12" hidden="1">
      <c r="A876" s="353"/>
      <c r="B876" s="7" t="s">
        <v>1876</v>
      </c>
      <c r="C876" s="103" t="s">
        <v>1889</v>
      </c>
      <c r="D876" s="57">
        <v>45693</v>
      </c>
      <c r="F876" s="353" t="s">
        <v>16</v>
      </c>
      <c r="G876" s="11">
        <v>0</v>
      </c>
      <c r="H876" s="353" t="s">
        <v>1093</v>
      </c>
      <c r="I876" s="353"/>
      <c r="J876" s="57"/>
      <c r="K876" s="11"/>
      <c r="L876" s="353" t="s">
        <v>19</v>
      </c>
    </row>
    <row r="877" spans="1:12" hidden="1">
      <c r="A877" s="353"/>
      <c r="B877" s="7" t="s">
        <v>1876</v>
      </c>
      <c r="C877" s="103" t="s">
        <v>1891</v>
      </c>
      <c r="D877" s="57">
        <v>45717</v>
      </c>
      <c r="F877" s="353" t="s">
        <v>16</v>
      </c>
      <c r="G877" s="11">
        <v>52.22</v>
      </c>
      <c r="H877" s="353"/>
      <c r="I877" s="353" t="s">
        <v>154</v>
      </c>
      <c r="J877" s="57"/>
      <c r="K877" s="11"/>
      <c r="L877" s="353" t="s">
        <v>19</v>
      </c>
    </row>
    <row r="878" spans="1:12" hidden="1">
      <c r="A878" s="353"/>
      <c r="B878" s="7" t="s">
        <v>1876</v>
      </c>
      <c r="C878" s="103" t="s">
        <v>1893</v>
      </c>
      <c r="D878" s="57">
        <v>45717</v>
      </c>
      <c r="F878" s="353" t="s">
        <v>16</v>
      </c>
      <c r="G878" s="11">
        <v>50.8</v>
      </c>
      <c r="H878" s="353"/>
      <c r="I878" s="353" t="s">
        <v>150</v>
      </c>
      <c r="J878" s="57"/>
      <c r="K878" s="11"/>
      <c r="L878" s="353" t="s">
        <v>19</v>
      </c>
    </row>
    <row r="879" spans="1:12" hidden="1">
      <c r="A879" s="353"/>
      <c r="B879" s="7" t="s">
        <v>1876</v>
      </c>
      <c r="C879" s="103" t="s">
        <v>1895</v>
      </c>
      <c r="D879" s="57">
        <v>45717</v>
      </c>
      <c r="F879" s="353" t="s">
        <v>16</v>
      </c>
      <c r="G879" s="11">
        <v>70.599999999999994</v>
      </c>
      <c r="H879" s="353"/>
      <c r="I879" s="353" t="s">
        <v>150</v>
      </c>
      <c r="J879" s="57"/>
      <c r="K879" s="11"/>
      <c r="L879" s="353" t="s">
        <v>19</v>
      </c>
    </row>
    <row r="880" spans="1:12" hidden="1">
      <c r="A880" s="353"/>
      <c r="B880" s="7" t="s">
        <v>1876</v>
      </c>
      <c r="C880" s="103" t="s">
        <v>1897</v>
      </c>
      <c r="D880" s="57">
        <v>45748</v>
      </c>
      <c r="F880" s="353" t="s">
        <v>16</v>
      </c>
      <c r="G880" s="11">
        <v>52.22</v>
      </c>
      <c r="H880" s="353"/>
      <c r="I880" s="353" t="s">
        <v>154</v>
      </c>
      <c r="J880" s="57"/>
      <c r="K880" s="11"/>
      <c r="L880" s="353" t="s">
        <v>19</v>
      </c>
    </row>
    <row r="881" spans="1:12" hidden="1">
      <c r="A881" s="353"/>
      <c r="B881" s="7" t="s">
        <v>1876</v>
      </c>
      <c r="C881" s="103" t="s">
        <v>1899</v>
      </c>
      <c r="D881" s="57">
        <v>45748</v>
      </c>
      <c r="F881" s="353" t="s">
        <v>16</v>
      </c>
      <c r="G881" s="11">
        <v>50.8</v>
      </c>
      <c r="H881" s="353"/>
      <c r="I881" s="353" t="s">
        <v>150</v>
      </c>
      <c r="J881" s="57"/>
      <c r="K881" s="11"/>
      <c r="L881" s="353" t="s">
        <v>19</v>
      </c>
    </row>
    <row r="882" spans="1:12" hidden="1">
      <c r="A882" s="353"/>
      <c r="B882" s="7" t="s">
        <v>1876</v>
      </c>
      <c r="C882" s="103" t="s">
        <v>1901</v>
      </c>
      <c r="D882" s="57">
        <v>45748</v>
      </c>
      <c r="F882" s="353" t="s">
        <v>16</v>
      </c>
      <c r="G882" s="11">
        <v>70.599999999999994</v>
      </c>
      <c r="H882" s="353"/>
      <c r="I882" s="353" t="s">
        <v>150</v>
      </c>
      <c r="J882" s="57"/>
      <c r="K882" s="11"/>
      <c r="L882" s="353" t="s">
        <v>19</v>
      </c>
    </row>
    <row r="883" spans="1:12" hidden="1">
      <c r="A883" s="353"/>
      <c r="B883" s="7" t="s">
        <v>1876</v>
      </c>
      <c r="C883" s="103" t="s">
        <v>1903</v>
      </c>
      <c r="D883" s="57">
        <v>45747</v>
      </c>
      <c r="F883" s="353" t="s">
        <v>16</v>
      </c>
      <c r="G883" s="11">
        <v>496.99</v>
      </c>
      <c r="H883" s="353"/>
      <c r="I883" s="353" t="s">
        <v>350</v>
      </c>
      <c r="J883" s="57"/>
      <c r="K883" s="11"/>
      <c r="L883" s="353" t="s">
        <v>19</v>
      </c>
    </row>
    <row r="884" spans="1:12" hidden="1">
      <c r="A884" s="353"/>
      <c r="B884" s="7" t="s">
        <v>1876</v>
      </c>
      <c r="C884" s="103" t="s">
        <v>1905</v>
      </c>
      <c r="D884" s="57">
        <v>45747</v>
      </c>
      <c r="F884" s="353" t="s">
        <v>16</v>
      </c>
      <c r="G884" s="11">
        <v>19.12</v>
      </c>
      <c r="H884" s="353"/>
      <c r="I884" s="353" t="s">
        <v>154</v>
      </c>
      <c r="J884" s="57"/>
      <c r="K884" s="11"/>
      <c r="L884" s="353" t="s">
        <v>19</v>
      </c>
    </row>
    <row r="885" spans="1:12" hidden="1">
      <c r="A885" s="353"/>
      <c r="B885" s="7" t="s">
        <v>1876</v>
      </c>
      <c r="C885" s="103" t="s">
        <v>1907</v>
      </c>
      <c r="D885" s="57">
        <v>45748</v>
      </c>
      <c r="F885" s="353" t="s">
        <v>16</v>
      </c>
      <c r="G885" s="11">
        <v>49.8</v>
      </c>
      <c r="H885" s="353"/>
      <c r="I885" s="353" t="s">
        <v>150</v>
      </c>
      <c r="J885" s="57"/>
      <c r="K885" s="11"/>
      <c r="L885" s="353" t="s">
        <v>19</v>
      </c>
    </row>
    <row r="886" spans="1:12" hidden="1">
      <c r="A886" s="353"/>
      <c r="B886" s="7" t="s">
        <v>1876</v>
      </c>
      <c r="C886" s="103" t="s">
        <v>1909</v>
      </c>
      <c r="D886" s="57">
        <v>45758</v>
      </c>
      <c r="F886" s="353" t="s">
        <v>16</v>
      </c>
      <c r="G886" s="11">
        <v>0</v>
      </c>
      <c r="H886" s="353"/>
      <c r="I886" s="353"/>
      <c r="J886" s="57"/>
      <c r="K886" s="11"/>
      <c r="L886" s="353" t="s">
        <v>19</v>
      </c>
    </row>
    <row r="887" spans="1:12" hidden="1">
      <c r="A887" s="353"/>
      <c r="B887" s="7" t="s">
        <v>1876</v>
      </c>
      <c r="C887" s="103" t="s">
        <v>1911</v>
      </c>
      <c r="D887" s="57">
        <v>45778</v>
      </c>
      <c r="F887" s="353" t="s">
        <v>16</v>
      </c>
      <c r="G887" s="11">
        <v>49.8</v>
      </c>
      <c r="H887" s="353"/>
      <c r="I887" s="353" t="s">
        <v>150</v>
      </c>
      <c r="J887" s="57"/>
      <c r="K887" s="11"/>
      <c r="L887" s="353" t="s">
        <v>19</v>
      </c>
    </row>
    <row r="888" spans="1:12" hidden="1">
      <c r="A888" s="353"/>
      <c r="B888" s="7" t="s">
        <v>1876</v>
      </c>
      <c r="C888" s="103" t="s">
        <v>1913</v>
      </c>
      <c r="D888" s="57">
        <v>45778</v>
      </c>
      <c r="F888" s="353" t="s">
        <v>16</v>
      </c>
      <c r="G888" s="11">
        <v>60.72</v>
      </c>
      <c r="H888" s="353"/>
      <c r="I888" s="353" t="s">
        <v>150</v>
      </c>
      <c r="J888" s="57"/>
      <c r="K888" s="11"/>
      <c r="L888" s="353" t="s">
        <v>19</v>
      </c>
    </row>
    <row r="889" spans="1:12" hidden="1">
      <c r="A889" s="353"/>
      <c r="B889" s="7" t="s">
        <v>1876</v>
      </c>
      <c r="C889" s="103" t="s">
        <v>1915</v>
      </c>
      <c r="D889" s="57">
        <v>45778</v>
      </c>
      <c r="F889" s="353" t="s">
        <v>16</v>
      </c>
      <c r="G889" s="11">
        <v>53.12</v>
      </c>
      <c r="H889" s="353"/>
      <c r="I889" s="353" t="s">
        <v>150</v>
      </c>
      <c r="J889" s="57"/>
      <c r="K889" s="11"/>
      <c r="L889" s="353" t="s">
        <v>19</v>
      </c>
    </row>
    <row r="890" spans="1:12" hidden="1">
      <c r="A890" s="353"/>
      <c r="B890" s="7" t="s">
        <v>1876</v>
      </c>
      <c r="C890" s="103" t="s">
        <v>1917</v>
      </c>
      <c r="D890" s="57">
        <v>45778</v>
      </c>
      <c r="F890" s="353" t="s">
        <v>16</v>
      </c>
      <c r="G890" s="11">
        <v>70.599999999999994</v>
      </c>
      <c r="H890" s="353"/>
      <c r="I890" s="353" t="s">
        <v>150</v>
      </c>
      <c r="J890" s="57"/>
      <c r="K890" s="11"/>
      <c r="L890" s="353" t="s">
        <v>19</v>
      </c>
    </row>
    <row r="891" spans="1:12" hidden="1">
      <c r="A891" s="353"/>
      <c r="B891" s="7" t="s">
        <v>1876</v>
      </c>
      <c r="C891" s="103" t="s">
        <v>1919</v>
      </c>
      <c r="D891" s="57">
        <v>45809</v>
      </c>
      <c r="F891" s="353" t="s">
        <v>16</v>
      </c>
      <c r="G891" s="11">
        <v>49.8</v>
      </c>
      <c r="H891" s="353"/>
      <c r="I891" s="353" t="s">
        <v>150</v>
      </c>
      <c r="J891" s="57"/>
      <c r="K891" s="11"/>
      <c r="L891" s="353" t="s">
        <v>19</v>
      </c>
    </row>
    <row r="892" spans="1:12" hidden="1">
      <c r="A892" s="353"/>
      <c r="B892" s="7" t="s">
        <v>1876</v>
      </c>
      <c r="C892" s="103" t="s">
        <v>1921</v>
      </c>
      <c r="D892" s="57">
        <v>45809</v>
      </c>
      <c r="F892" s="353" t="s">
        <v>16</v>
      </c>
      <c r="G892" s="11">
        <v>66.86</v>
      </c>
      <c r="H892" s="353"/>
      <c r="I892" s="353" t="s">
        <v>150</v>
      </c>
      <c r="J892" s="57"/>
      <c r="K892" s="11"/>
      <c r="L892" s="353" t="s">
        <v>19</v>
      </c>
    </row>
    <row r="893" spans="1:12" hidden="1">
      <c r="A893" s="353"/>
      <c r="B893" s="7" t="s">
        <v>1876</v>
      </c>
      <c r="C893" s="103" t="s">
        <v>1923</v>
      </c>
      <c r="D893" s="57">
        <v>45809</v>
      </c>
      <c r="F893" s="353" t="s">
        <v>16</v>
      </c>
      <c r="G893" s="11">
        <v>62.79</v>
      </c>
      <c r="H893" s="353"/>
      <c r="I893" s="353" t="s">
        <v>150</v>
      </c>
      <c r="J893" s="57"/>
      <c r="K893" s="11"/>
      <c r="L893" s="353" t="s">
        <v>19</v>
      </c>
    </row>
    <row r="894" spans="1:12" hidden="1">
      <c r="A894" s="353"/>
      <c r="B894" s="7" t="s">
        <v>1876</v>
      </c>
      <c r="C894" s="103" t="s">
        <v>1925</v>
      </c>
      <c r="D894" s="57">
        <v>45809</v>
      </c>
      <c r="F894" s="353" t="s">
        <v>16</v>
      </c>
      <c r="G894" s="11">
        <v>70.599999999999994</v>
      </c>
      <c r="H894" s="353"/>
      <c r="I894" s="353" t="s">
        <v>150</v>
      </c>
      <c r="J894" s="57"/>
      <c r="K894" s="11"/>
      <c r="L894" s="353" t="s">
        <v>19</v>
      </c>
    </row>
    <row r="895" spans="1:12" hidden="1">
      <c r="A895" s="353"/>
      <c r="B895" s="7" t="s">
        <v>1876</v>
      </c>
      <c r="C895" s="103" t="s">
        <v>1927</v>
      </c>
      <c r="D895" s="57">
        <v>45839</v>
      </c>
      <c r="F895" s="353" t="s">
        <v>16</v>
      </c>
      <c r="G895" s="11">
        <v>49.8</v>
      </c>
      <c r="H895" s="353"/>
      <c r="I895" s="353" t="s">
        <v>150</v>
      </c>
      <c r="J895" s="57"/>
      <c r="K895" s="11"/>
      <c r="L895" s="353" t="s">
        <v>19</v>
      </c>
    </row>
    <row r="896" spans="1:12" hidden="1">
      <c r="A896" s="353"/>
      <c r="B896" s="7" t="s">
        <v>1876</v>
      </c>
      <c r="C896" s="103" t="s">
        <v>1929</v>
      </c>
      <c r="D896" s="57">
        <v>45839</v>
      </c>
      <c r="F896" s="353" t="s">
        <v>16</v>
      </c>
      <c r="G896" s="11">
        <v>66.86</v>
      </c>
      <c r="H896" s="353"/>
      <c r="I896" s="353" t="s">
        <v>150</v>
      </c>
      <c r="J896" s="57"/>
      <c r="K896" s="11"/>
      <c r="L896" s="353" t="s">
        <v>19</v>
      </c>
    </row>
    <row r="897" spans="1:12" hidden="1">
      <c r="A897" s="353"/>
      <c r="B897" s="7" t="s">
        <v>1876</v>
      </c>
      <c r="C897" s="103" t="s">
        <v>1931</v>
      </c>
      <c r="D897" s="57">
        <v>45839</v>
      </c>
      <c r="F897" s="353" t="s">
        <v>16</v>
      </c>
      <c r="G897" s="11">
        <v>62.79</v>
      </c>
      <c r="H897" s="353"/>
      <c r="I897" s="353" t="s">
        <v>150</v>
      </c>
      <c r="J897" s="57"/>
      <c r="K897" s="11"/>
      <c r="L897" s="353" t="s">
        <v>19</v>
      </c>
    </row>
    <row r="898" spans="1:12" hidden="1">
      <c r="A898" s="353"/>
      <c r="B898" s="7" t="s">
        <v>1876</v>
      </c>
      <c r="C898" s="103" t="s">
        <v>1933</v>
      </c>
      <c r="D898" s="57">
        <v>45839</v>
      </c>
      <c r="F898" s="353" t="s">
        <v>16</v>
      </c>
      <c r="G898" s="11">
        <v>70.599999999999994</v>
      </c>
      <c r="H898" s="353"/>
      <c r="I898" s="353" t="s">
        <v>150</v>
      </c>
      <c r="J898" s="57"/>
      <c r="K898" s="11"/>
      <c r="L898" s="353" t="s">
        <v>19</v>
      </c>
    </row>
    <row r="899" spans="1:12" hidden="1">
      <c r="A899" s="353"/>
      <c r="B899" s="7" t="s">
        <v>1876</v>
      </c>
      <c r="C899" s="103" t="s">
        <v>1935</v>
      </c>
      <c r="D899" s="57">
        <v>45870</v>
      </c>
      <c r="F899" s="353" t="s">
        <v>16</v>
      </c>
      <c r="G899" s="11">
        <v>49.8</v>
      </c>
      <c r="H899" s="353"/>
      <c r="I899" s="353" t="s">
        <v>150</v>
      </c>
      <c r="J899" s="57"/>
      <c r="K899" s="11"/>
      <c r="L899" s="353" t="s">
        <v>19</v>
      </c>
    </row>
    <row r="900" spans="1:12" hidden="1">
      <c r="A900" s="353"/>
      <c r="B900" s="7" t="s">
        <v>1876</v>
      </c>
      <c r="C900" s="103" t="s">
        <v>1937</v>
      </c>
      <c r="D900" s="57">
        <v>45870</v>
      </c>
      <c r="F900" s="353" t="s">
        <v>16</v>
      </c>
      <c r="G900" s="11">
        <v>66.86</v>
      </c>
      <c r="H900" s="353"/>
      <c r="I900" s="353" t="s">
        <v>150</v>
      </c>
      <c r="J900" s="57"/>
      <c r="K900" s="11"/>
      <c r="L900" s="353" t="s">
        <v>19</v>
      </c>
    </row>
    <row r="901" spans="1:12" hidden="1">
      <c r="A901" s="353"/>
      <c r="B901" s="7" t="s">
        <v>1876</v>
      </c>
      <c r="C901" s="103" t="s">
        <v>1939</v>
      </c>
      <c r="D901" s="57">
        <v>45870</v>
      </c>
      <c r="F901" s="353" t="s">
        <v>16</v>
      </c>
      <c r="G901" s="11">
        <v>62.79</v>
      </c>
      <c r="H901" s="353"/>
      <c r="I901" s="353" t="s">
        <v>150</v>
      </c>
      <c r="J901" s="57"/>
      <c r="K901" s="11"/>
      <c r="L901" s="353" t="s">
        <v>19</v>
      </c>
    </row>
    <row r="902" spans="1:12" hidden="1">
      <c r="A902" s="353"/>
      <c r="B902" s="7" t="s">
        <v>1876</v>
      </c>
      <c r="C902" s="103" t="s">
        <v>1941</v>
      </c>
      <c r="D902" s="57">
        <v>45870</v>
      </c>
      <c r="F902" s="353" t="s">
        <v>16</v>
      </c>
      <c r="G902" s="11">
        <v>70.599999999999994</v>
      </c>
      <c r="H902" s="353"/>
      <c r="I902" s="353" t="s">
        <v>150</v>
      </c>
      <c r="J902" s="57"/>
      <c r="K902" s="11"/>
      <c r="L902" s="353" t="s">
        <v>19</v>
      </c>
    </row>
    <row r="903" spans="1:12" hidden="1">
      <c r="A903" s="353"/>
      <c r="B903" s="7" t="s">
        <v>1876</v>
      </c>
      <c r="C903" s="103" t="s">
        <v>1943</v>
      </c>
      <c r="D903" s="57">
        <v>45901</v>
      </c>
      <c r="F903" s="353" t="s">
        <v>16</v>
      </c>
      <c r="G903" s="11">
        <v>51.3</v>
      </c>
      <c r="H903" s="353"/>
      <c r="I903" s="353" t="s">
        <v>150</v>
      </c>
      <c r="J903" s="57"/>
      <c r="K903" s="11"/>
      <c r="L903" s="353" t="s">
        <v>19</v>
      </c>
    </row>
    <row r="904" spans="1:12" hidden="1">
      <c r="A904" s="353"/>
      <c r="B904" s="7" t="s">
        <v>1876</v>
      </c>
      <c r="C904" s="103" t="s">
        <v>1945</v>
      </c>
      <c r="D904" s="57">
        <v>45901</v>
      </c>
      <c r="F904" s="353" t="s">
        <v>16</v>
      </c>
      <c r="G904" s="11">
        <v>62.79</v>
      </c>
      <c r="H904" s="353"/>
      <c r="I904" s="353" t="s">
        <v>150</v>
      </c>
      <c r="J904" s="57"/>
      <c r="K904" s="11"/>
      <c r="L904" s="353" t="s">
        <v>19</v>
      </c>
    </row>
    <row r="905" spans="1:12" hidden="1">
      <c r="A905" s="353"/>
      <c r="B905" s="7" t="s">
        <v>1876</v>
      </c>
      <c r="C905" s="103" t="s">
        <v>1947</v>
      </c>
      <c r="D905" s="57">
        <v>45901</v>
      </c>
      <c r="F905" s="353" t="s">
        <v>16</v>
      </c>
      <c r="G905" s="11">
        <v>66.86</v>
      </c>
      <c r="H905" s="353"/>
      <c r="I905" s="353" t="s">
        <v>150</v>
      </c>
      <c r="J905" s="57"/>
      <c r="K905" s="11"/>
      <c r="L905" s="353" t="s">
        <v>19</v>
      </c>
    </row>
    <row r="906" spans="1:12" hidden="1">
      <c r="A906" s="353"/>
      <c r="B906" s="7" t="s">
        <v>1876</v>
      </c>
      <c r="C906" s="103" t="s">
        <v>1949</v>
      </c>
      <c r="D906" s="57">
        <v>45901</v>
      </c>
      <c r="F906" s="353" t="s">
        <v>16</v>
      </c>
      <c r="G906" s="11">
        <v>70.599999999999994</v>
      </c>
      <c r="H906" s="353"/>
      <c r="I906" s="353" t="s">
        <v>150</v>
      </c>
      <c r="J906" s="57"/>
      <c r="K906" s="11"/>
      <c r="L906" s="353" t="s">
        <v>19</v>
      </c>
    </row>
    <row r="907" spans="1:12" hidden="1">
      <c r="A907" s="353"/>
      <c r="B907" s="7" t="s">
        <v>1876</v>
      </c>
      <c r="C907" s="103" t="s">
        <v>1951</v>
      </c>
      <c r="D907" s="57">
        <v>45904</v>
      </c>
      <c r="F907" s="353" t="s">
        <v>16</v>
      </c>
      <c r="G907" s="11">
        <v>0</v>
      </c>
      <c r="H907" s="353"/>
      <c r="I907" s="353" t="s">
        <v>150</v>
      </c>
      <c r="J907" s="57"/>
      <c r="K907" s="11"/>
      <c r="L907" s="353" t="s">
        <v>19</v>
      </c>
    </row>
    <row r="908" spans="1:12" hidden="1">
      <c r="A908" s="353"/>
      <c r="B908" s="7" t="s">
        <v>1876</v>
      </c>
      <c r="C908" s="103" t="s">
        <v>1953</v>
      </c>
      <c r="D908" s="57">
        <v>45931</v>
      </c>
      <c r="F908" s="353" t="s">
        <v>16</v>
      </c>
      <c r="G908" s="11">
        <v>58.8</v>
      </c>
      <c r="H908" s="353"/>
      <c r="I908" s="353" t="s">
        <v>150</v>
      </c>
      <c r="J908" s="57"/>
      <c r="K908" s="11"/>
      <c r="L908" s="353" t="s">
        <v>19</v>
      </c>
    </row>
    <row r="909" spans="1:12" hidden="1">
      <c r="A909" s="353"/>
      <c r="B909" s="7" t="s">
        <v>1876</v>
      </c>
      <c r="C909" s="103" t="s">
        <v>1955</v>
      </c>
      <c r="D909" s="57">
        <v>45931</v>
      </c>
      <c r="F909" s="353" t="s">
        <v>16</v>
      </c>
      <c r="G909" s="11">
        <v>66.86</v>
      </c>
      <c r="H909" s="353"/>
      <c r="I909" s="353" t="s">
        <v>150</v>
      </c>
      <c r="J909" s="57"/>
      <c r="K909" s="11"/>
      <c r="L909" s="353" t="s">
        <v>19</v>
      </c>
    </row>
    <row r="910" spans="1:12" hidden="1">
      <c r="A910" s="353"/>
      <c r="B910" s="7" t="s">
        <v>1876</v>
      </c>
      <c r="C910" s="103" t="s">
        <v>1957</v>
      </c>
      <c r="D910" s="57">
        <v>45931</v>
      </c>
      <c r="F910" s="353" t="s">
        <v>16</v>
      </c>
      <c r="G910" s="11">
        <v>62.79</v>
      </c>
      <c r="H910" s="353"/>
      <c r="I910" s="353" t="s">
        <v>150</v>
      </c>
      <c r="J910" s="57"/>
      <c r="K910" s="11"/>
      <c r="L910" s="353" t="s">
        <v>19</v>
      </c>
    </row>
    <row r="911" spans="1:12" hidden="1">
      <c r="A911" s="353"/>
      <c r="B911" s="7" t="s">
        <v>1876</v>
      </c>
      <c r="C911" s="103" t="s">
        <v>1959</v>
      </c>
      <c r="D911" s="57">
        <v>45931</v>
      </c>
      <c r="F911" s="353" t="s">
        <v>16</v>
      </c>
      <c r="G911" s="11">
        <v>70.599999999999994</v>
      </c>
      <c r="H911" s="353"/>
      <c r="I911" s="353" t="s">
        <v>150</v>
      </c>
      <c r="J911" s="57"/>
      <c r="K911" s="11"/>
      <c r="L911" s="353" t="s">
        <v>19</v>
      </c>
    </row>
    <row r="912" spans="1:12" hidden="1">
      <c r="A912" s="353"/>
      <c r="B912" s="7" t="s">
        <v>1876</v>
      </c>
      <c r="C912" s="103" t="s">
        <v>1961</v>
      </c>
      <c r="D912" s="57">
        <v>45962</v>
      </c>
      <c r="F912" s="353" t="s">
        <v>16</v>
      </c>
      <c r="G912" s="11">
        <v>70.599999999999994</v>
      </c>
      <c r="H912" s="353"/>
      <c r="I912" s="353" t="s">
        <v>150</v>
      </c>
      <c r="J912" s="57"/>
      <c r="K912" s="11"/>
      <c r="L912" s="353" t="s">
        <v>19</v>
      </c>
    </row>
    <row r="913" spans="1:12" hidden="1">
      <c r="A913" s="353"/>
      <c r="B913" s="7" t="s">
        <v>1876</v>
      </c>
      <c r="C913" s="103" t="s">
        <v>1962</v>
      </c>
      <c r="D913" s="57">
        <v>45962</v>
      </c>
      <c r="F913" s="353" t="s">
        <v>16</v>
      </c>
      <c r="G913" s="11">
        <v>66.86</v>
      </c>
      <c r="H913" s="353"/>
      <c r="I913" s="353" t="s">
        <v>150</v>
      </c>
      <c r="J913" s="57"/>
      <c r="K913" s="11"/>
      <c r="L913" s="353" t="s">
        <v>19</v>
      </c>
    </row>
    <row r="914" spans="1:12" hidden="1">
      <c r="A914" s="353"/>
      <c r="B914" s="7" t="s">
        <v>1876</v>
      </c>
      <c r="C914" s="103" t="s">
        <v>1963</v>
      </c>
      <c r="D914" s="57">
        <v>45962</v>
      </c>
      <c r="F914" s="353" t="s">
        <v>16</v>
      </c>
      <c r="G914" s="11">
        <v>62.79</v>
      </c>
      <c r="H914" s="353"/>
      <c r="I914" s="353" t="s">
        <v>150</v>
      </c>
      <c r="J914" s="57"/>
      <c r="K914" s="11"/>
      <c r="L914" s="353" t="s">
        <v>19</v>
      </c>
    </row>
    <row r="915" spans="1:12" hidden="1">
      <c r="A915" s="353"/>
      <c r="B915" s="7" t="s">
        <v>1876</v>
      </c>
      <c r="C915" s="103" t="s">
        <v>1964</v>
      </c>
      <c r="D915" s="57">
        <v>45962</v>
      </c>
      <c r="F915" s="353" t="s">
        <v>16</v>
      </c>
      <c r="G915" s="11">
        <v>58.8</v>
      </c>
      <c r="H915" s="353"/>
      <c r="I915" s="353" t="s">
        <v>150</v>
      </c>
      <c r="J915" s="57"/>
      <c r="K915" s="11"/>
      <c r="L915" s="353" t="s">
        <v>19</v>
      </c>
    </row>
    <row r="916" spans="1:12" hidden="1">
      <c r="A916" s="353"/>
      <c r="B916" s="7" t="s">
        <v>1876</v>
      </c>
      <c r="C916" s="103" t="s">
        <v>1965</v>
      </c>
      <c r="D916" s="57">
        <v>45992</v>
      </c>
      <c r="F916" s="353" t="s">
        <v>16</v>
      </c>
      <c r="G916" s="11">
        <v>70.599999999999994</v>
      </c>
      <c r="H916" s="353"/>
      <c r="I916" s="353" t="s">
        <v>3389</v>
      </c>
      <c r="J916" s="57"/>
      <c r="K916" s="11"/>
      <c r="L916" s="353" t="s">
        <v>219</v>
      </c>
    </row>
    <row r="917" spans="1:12" hidden="1">
      <c r="A917" s="353"/>
      <c r="B917" s="7" t="s">
        <v>1876</v>
      </c>
      <c r="C917" s="103" t="s">
        <v>1966</v>
      </c>
      <c r="D917" s="57">
        <v>45992</v>
      </c>
      <c r="F917" s="353" t="s">
        <v>16</v>
      </c>
      <c r="G917" s="11">
        <v>62.79</v>
      </c>
      <c r="H917" s="353"/>
      <c r="I917" s="353" t="s">
        <v>150</v>
      </c>
      <c r="J917" s="57"/>
      <c r="K917" s="11"/>
      <c r="L917" s="353" t="s">
        <v>19</v>
      </c>
    </row>
    <row r="918" spans="1:12" hidden="1">
      <c r="A918" s="353"/>
      <c r="B918" s="7" t="s">
        <v>1876</v>
      </c>
      <c r="C918" s="103" t="s">
        <v>1967</v>
      </c>
      <c r="D918" s="57">
        <v>45992</v>
      </c>
      <c r="F918" s="353" t="s">
        <v>16</v>
      </c>
      <c r="G918" s="11">
        <v>66.86</v>
      </c>
      <c r="H918" s="353"/>
      <c r="I918" s="353" t="s">
        <v>150</v>
      </c>
      <c r="J918" s="57"/>
      <c r="K918" s="11"/>
      <c r="L918" s="353" t="s">
        <v>19</v>
      </c>
    </row>
    <row r="919" spans="1:12" hidden="1">
      <c r="A919" s="353"/>
      <c r="B919" s="7" t="s">
        <v>1876</v>
      </c>
      <c r="C919" s="103" t="s">
        <v>1968</v>
      </c>
      <c r="D919" s="57">
        <v>45992</v>
      </c>
      <c r="F919" s="353" t="s">
        <v>16</v>
      </c>
      <c r="G919" s="11">
        <v>58.8</v>
      </c>
      <c r="H919" s="353" t="s">
        <v>4299</v>
      </c>
      <c r="I919" s="353" t="s">
        <v>150</v>
      </c>
      <c r="J919" s="57"/>
      <c r="K919" s="11"/>
      <c r="L919" s="353" t="s">
        <v>19</v>
      </c>
    </row>
    <row r="920" spans="1:12" hidden="1">
      <c r="A920" s="353"/>
      <c r="B920" s="7" t="s">
        <v>1876</v>
      </c>
      <c r="C920" s="103" t="s">
        <v>3345</v>
      </c>
      <c r="D920" s="57">
        <v>46023</v>
      </c>
      <c r="F920" s="353" t="s">
        <v>16</v>
      </c>
      <c r="G920" s="11">
        <v>51.4</v>
      </c>
      <c r="H920" s="353"/>
      <c r="I920" s="353" t="s">
        <v>150</v>
      </c>
      <c r="J920" s="57"/>
      <c r="K920" s="11"/>
      <c r="L920" s="353" t="s">
        <v>19</v>
      </c>
    </row>
    <row r="921" spans="1:12" hidden="1">
      <c r="A921" s="353"/>
      <c r="B921" s="7" t="s">
        <v>1876</v>
      </c>
      <c r="C921" s="103" t="s">
        <v>3390</v>
      </c>
      <c r="D921" s="57">
        <v>46023</v>
      </c>
      <c r="F921" s="353" t="s">
        <v>16</v>
      </c>
      <c r="G921" s="11">
        <v>57.78</v>
      </c>
      <c r="H921" s="353"/>
      <c r="I921" s="353" t="s">
        <v>150</v>
      </c>
      <c r="J921" s="57"/>
      <c r="K921" s="11"/>
      <c r="L921" s="353" t="s">
        <v>19</v>
      </c>
    </row>
    <row r="922" spans="1:12" hidden="1">
      <c r="A922" s="353"/>
      <c r="B922" s="7" t="s">
        <v>1876</v>
      </c>
      <c r="C922" s="103" t="s">
        <v>3347</v>
      </c>
      <c r="D922" s="57">
        <v>46023</v>
      </c>
      <c r="F922" s="353" t="s">
        <v>16</v>
      </c>
      <c r="G922" s="11">
        <v>58.8</v>
      </c>
      <c r="H922" s="353"/>
      <c r="I922" s="353" t="s">
        <v>150</v>
      </c>
      <c r="J922" s="57"/>
      <c r="K922" s="11"/>
      <c r="L922" s="353" t="s">
        <v>19</v>
      </c>
    </row>
    <row r="923" spans="1:12" hidden="1">
      <c r="A923" s="353"/>
      <c r="B923" s="7" t="s">
        <v>1876</v>
      </c>
      <c r="C923" s="103" t="s">
        <v>4178</v>
      </c>
      <c r="D923" s="57">
        <v>46054</v>
      </c>
      <c r="F923" s="353" t="s">
        <v>16</v>
      </c>
      <c r="G923" s="11">
        <v>57.78</v>
      </c>
      <c r="H923" s="353" t="s">
        <v>1250</v>
      </c>
      <c r="I923" s="353" t="s">
        <v>150</v>
      </c>
      <c r="J923" s="57"/>
      <c r="K923" s="11">
        <v>57.78</v>
      </c>
      <c r="L923" s="353" t="s">
        <v>19</v>
      </c>
    </row>
    <row r="924" spans="1:12" hidden="1">
      <c r="A924" s="353"/>
      <c r="B924" s="7" t="s">
        <v>1876</v>
      </c>
      <c r="C924" s="103" t="s">
        <v>4179</v>
      </c>
      <c r="D924" s="57">
        <v>46054</v>
      </c>
      <c r="F924" s="353" t="s">
        <v>16</v>
      </c>
      <c r="G924" s="11">
        <v>54.4</v>
      </c>
      <c r="H924" s="353" t="s">
        <v>4300</v>
      </c>
      <c r="I924" s="353" t="s">
        <v>150</v>
      </c>
      <c r="J924" s="57"/>
      <c r="K924" s="11">
        <v>54.4</v>
      </c>
      <c r="L924" s="353" t="s">
        <v>19</v>
      </c>
    </row>
    <row r="925" spans="1:12" hidden="1">
      <c r="A925" s="353"/>
      <c r="B925" s="7" t="s">
        <v>1876</v>
      </c>
      <c r="C925" s="103" t="s">
        <v>4180</v>
      </c>
      <c r="D925" s="57">
        <v>46054</v>
      </c>
      <c r="F925" s="353" t="s">
        <v>16</v>
      </c>
      <c r="G925" s="11">
        <v>58.8</v>
      </c>
      <c r="H925" s="353" t="s">
        <v>4301</v>
      </c>
      <c r="I925" s="353" t="s">
        <v>150</v>
      </c>
      <c r="J925" s="57"/>
      <c r="K925" s="11">
        <v>58.8</v>
      </c>
      <c r="L925" s="353" t="s">
        <v>19</v>
      </c>
    </row>
    <row r="926" spans="1:12" hidden="1">
      <c r="A926" s="353"/>
      <c r="B926" s="7" t="s">
        <v>1876</v>
      </c>
      <c r="C926" s="103" t="s">
        <v>4302</v>
      </c>
      <c r="D926" s="57">
        <v>46072</v>
      </c>
      <c r="F926" s="353" t="s">
        <v>16</v>
      </c>
      <c r="G926" s="11">
        <v>0</v>
      </c>
      <c r="H926" s="353" t="s">
        <v>4303</v>
      </c>
      <c r="I926" s="353" t="s">
        <v>150</v>
      </c>
      <c r="J926" s="57"/>
      <c r="K926" s="11">
        <v>0</v>
      </c>
      <c r="L926" s="353" t="s">
        <v>19</v>
      </c>
    </row>
    <row r="927" spans="1:12" hidden="1">
      <c r="A927" s="353"/>
      <c r="B927" s="7" t="s">
        <v>1876</v>
      </c>
      <c r="C927" s="103" t="s">
        <v>4344</v>
      </c>
      <c r="D927" s="57">
        <v>46082</v>
      </c>
      <c r="F927" s="353" t="s">
        <v>16</v>
      </c>
      <c r="G927" s="11">
        <v>58.8</v>
      </c>
      <c r="H927" s="353" t="s">
        <v>1116</v>
      </c>
      <c r="I927" s="353" t="s">
        <v>150</v>
      </c>
      <c r="J927" s="57"/>
      <c r="K927" s="11">
        <v>58.8</v>
      </c>
      <c r="L927" s="353" t="s">
        <v>19</v>
      </c>
    </row>
    <row r="928" spans="1:12" hidden="1">
      <c r="A928" s="353"/>
      <c r="B928" s="7" t="s">
        <v>1876</v>
      </c>
      <c r="C928" s="103" t="s">
        <v>4318</v>
      </c>
      <c r="D928" s="57">
        <v>46082</v>
      </c>
      <c r="F928" s="353" t="s">
        <v>16</v>
      </c>
      <c r="G928" s="11">
        <v>51.4</v>
      </c>
      <c r="H928" s="353" t="s">
        <v>4300</v>
      </c>
      <c r="I928" s="353" t="s">
        <v>150</v>
      </c>
      <c r="J928" s="57"/>
      <c r="K928" s="11">
        <v>51.4</v>
      </c>
      <c r="L928" s="353" t="s">
        <v>19</v>
      </c>
    </row>
    <row r="929" spans="1:12" hidden="1">
      <c r="A929" s="353"/>
      <c r="B929" s="7" t="s">
        <v>1876</v>
      </c>
      <c r="C929" s="103" t="s">
        <v>4317</v>
      </c>
      <c r="D929" s="57">
        <v>46082</v>
      </c>
      <c r="F929" s="353" t="s">
        <v>16</v>
      </c>
      <c r="G929" s="11">
        <v>57.78</v>
      </c>
      <c r="H929" s="353" t="s">
        <v>1250</v>
      </c>
      <c r="I929" s="353" t="s">
        <v>150</v>
      </c>
      <c r="J929" s="57"/>
      <c r="K929" s="11">
        <v>57.78</v>
      </c>
      <c r="L929" s="353" t="s">
        <v>19</v>
      </c>
    </row>
    <row r="930" spans="1:12" hidden="1">
      <c r="A930" s="353" t="s">
        <v>13</v>
      </c>
      <c r="B930" s="7" t="s">
        <v>1969</v>
      </c>
      <c r="C930" s="103" t="s">
        <v>3291</v>
      </c>
      <c r="D930" s="57">
        <v>45948</v>
      </c>
      <c r="E930" s="57" t="s">
        <v>1971</v>
      </c>
      <c r="F930" s="353" t="s">
        <v>16</v>
      </c>
      <c r="G930" s="11">
        <v>701.77</v>
      </c>
      <c r="H930" s="353" t="s">
        <v>1972</v>
      </c>
      <c r="I930" s="353" t="s">
        <v>75</v>
      </c>
      <c r="J930" s="57">
        <v>45947</v>
      </c>
      <c r="K930" s="11">
        <v>701.77</v>
      </c>
      <c r="L930" s="353" t="s">
        <v>1973</v>
      </c>
    </row>
    <row r="931" spans="1:12" hidden="1">
      <c r="A931" s="353" t="s">
        <v>13</v>
      </c>
      <c r="B931" s="7" t="s">
        <v>1969</v>
      </c>
      <c r="C931" s="103" t="s">
        <v>3291</v>
      </c>
      <c r="D931" s="57">
        <v>45948</v>
      </c>
      <c r="E931" s="57">
        <v>45948</v>
      </c>
      <c r="F931" s="353" t="s">
        <v>16</v>
      </c>
      <c r="G931" s="11">
        <v>98.48</v>
      </c>
      <c r="H931" s="353" t="s">
        <v>1972</v>
      </c>
      <c r="I931" s="353" t="s">
        <v>75</v>
      </c>
      <c r="J931" s="57">
        <v>45951</v>
      </c>
      <c r="K931" s="11">
        <v>98.48</v>
      </c>
      <c r="L931" s="353" t="s">
        <v>1974</v>
      </c>
    </row>
    <row r="932" spans="1:12" hidden="1">
      <c r="A932" s="353" t="s">
        <v>13</v>
      </c>
      <c r="B932" s="7" t="s">
        <v>1975</v>
      </c>
      <c r="C932" s="103" t="s">
        <v>343</v>
      </c>
      <c r="D932" s="57">
        <v>45670</v>
      </c>
      <c r="E932" s="57">
        <v>45670</v>
      </c>
      <c r="F932" s="353" t="s">
        <v>16</v>
      </c>
      <c r="G932" s="11">
        <v>830.72</v>
      </c>
      <c r="H932" s="353" t="s">
        <v>1977</v>
      </c>
      <c r="I932" s="353" t="s">
        <v>105</v>
      </c>
      <c r="J932" s="57"/>
      <c r="K932" s="11"/>
      <c r="L932" s="353" t="s">
        <v>1978</v>
      </c>
    </row>
    <row r="933" spans="1:12" hidden="1">
      <c r="A933" s="353" t="s">
        <v>13</v>
      </c>
      <c r="B933" s="7" t="s">
        <v>1975</v>
      </c>
      <c r="C933" s="103" t="s">
        <v>343</v>
      </c>
      <c r="D933" s="57">
        <v>45670</v>
      </c>
      <c r="E933" s="57">
        <v>45670</v>
      </c>
      <c r="F933" s="353" t="s">
        <v>16</v>
      </c>
      <c r="G933" s="11">
        <v>256.2</v>
      </c>
      <c r="H933" s="353" t="s">
        <v>1977</v>
      </c>
      <c r="I933" s="353" t="s">
        <v>56</v>
      </c>
      <c r="J933" s="57"/>
      <c r="K933" s="11"/>
      <c r="L933" s="353"/>
    </row>
    <row r="934" spans="1:12" hidden="1">
      <c r="A934" s="353" t="s">
        <v>13</v>
      </c>
      <c r="B934" s="7" t="s">
        <v>1975</v>
      </c>
      <c r="C934" s="103" t="s">
        <v>1979</v>
      </c>
      <c r="D934" s="57">
        <v>45688</v>
      </c>
      <c r="E934" s="57">
        <v>45688</v>
      </c>
      <c r="F934" s="353" t="s">
        <v>16</v>
      </c>
      <c r="G934" s="11">
        <v>-180.56</v>
      </c>
      <c r="H934" s="353" t="s">
        <v>1981</v>
      </c>
      <c r="I934" s="353"/>
      <c r="J934" s="57"/>
      <c r="K934" s="11"/>
      <c r="L934" s="353"/>
    </row>
    <row r="935" spans="1:12" hidden="1">
      <c r="A935" s="353" t="s">
        <v>13</v>
      </c>
      <c r="B935" s="7" t="s">
        <v>1975</v>
      </c>
      <c r="C935" s="103" t="s">
        <v>1982</v>
      </c>
      <c r="D935" s="57">
        <v>45731</v>
      </c>
      <c r="F935" s="353" t="s">
        <v>16</v>
      </c>
      <c r="G935" s="11">
        <v>194.71</v>
      </c>
      <c r="H935" s="353" t="s">
        <v>1984</v>
      </c>
      <c r="I935" s="353" t="s">
        <v>751</v>
      </c>
      <c r="J935" s="57"/>
      <c r="K935" s="11"/>
      <c r="L935" s="353"/>
    </row>
    <row r="936" spans="1:12" hidden="1">
      <c r="A936" s="353" t="s">
        <v>13</v>
      </c>
      <c r="B936" s="7" t="s">
        <v>1975</v>
      </c>
      <c r="C936" s="103" t="s">
        <v>1985</v>
      </c>
      <c r="D936" s="57">
        <v>45747</v>
      </c>
      <c r="F936" s="353" t="s">
        <v>16</v>
      </c>
      <c r="G936" s="11">
        <v>179.55</v>
      </c>
      <c r="H936" s="353" t="s">
        <v>1384</v>
      </c>
      <c r="I936" s="353" t="s">
        <v>66</v>
      </c>
      <c r="J936" s="57"/>
      <c r="K936" s="11"/>
      <c r="L936" s="353"/>
    </row>
    <row r="937" spans="1:12" hidden="1">
      <c r="A937" s="353" t="s">
        <v>13</v>
      </c>
      <c r="B937" s="7" t="s">
        <v>1975</v>
      </c>
      <c r="C937" s="103" t="s">
        <v>1987</v>
      </c>
      <c r="D937" s="57">
        <v>45800</v>
      </c>
      <c r="F937" s="353" t="s">
        <v>16</v>
      </c>
      <c r="G937" s="11">
        <v>213.5</v>
      </c>
      <c r="H937" s="353" t="s">
        <v>1989</v>
      </c>
      <c r="I937" s="353" t="s">
        <v>56</v>
      </c>
      <c r="J937" s="57">
        <v>45868</v>
      </c>
      <c r="K937" s="11"/>
      <c r="L937" s="353" t="s">
        <v>345</v>
      </c>
    </row>
    <row r="938" spans="1:12" hidden="1">
      <c r="A938" s="353" t="s">
        <v>13</v>
      </c>
      <c r="B938" s="7" t="s">
        <v>1975</v>
      </c>
      <c r="C938" s="103" t="s">
        <v>3292</v>
      </c>
      <c r="D938" s="57">
        <v>45868</v>
      </c>
      <c r="F938" s="353" t="s">
        <v>16</v>
      </c>
      <c r="G938" s="11">
        <v>1166.31</v>
      </c>
      <c r="H938" s="353"/>
      <c r="I938" s="353" t="s">
        <v>66</v>
      </c>
      <c r="J938" s="57"/>
      <c r="K938" s="11"/>
      <c r="L938" s="353"/>
    </row>
    <row r="939" spans="1:12" hidden="1">
      <c r="A939" s="353" t="s">
        <v>13</v>
      </c>
      <c r="B939" s="7" t="s">
        <v>1975</v>
      </c>
      <c r="C939" s="103" t="s">
        <v>1991</v>
      </c>
      <c r="D939" s="57">
        <v>45874</v>
      </c>
      <c r="E939" s="57">
        <v>45910</v>
      </c>
      <c r="F939" s="353" t="s">
        <v>16</v>
      </c>
      <c r="G939" s="11">
        <v>1383.41</v>
      </c>
      <c r="H939" s="353" t="s">
        <v>1993</v>
      </c>
      <c r="I939" s="353" t="s">
        <v>66</v>
      </c>
      <c r="J939" s="57"/>
      <c r="K939" s="11"/>
      <c r="L939" s="353"/>
    </row>
    <row r="940" spans="1:12" hidden="1">
      <c r="A940" s="353" t="s">
        <v>13</v>
      </c>
      <c r="B940" s="7" t="s">
        <v>1975</v>
      </c>
      <c r="C940" s="103" t="s">
        <v>1994</v>
      </c>
      <c r="D940" s="57">
        <v>45909</v>
      </c>
      <c r="F940" s="353" t="s">
        <v>16</v>
      </c>
      <c r="G940" s="11">
        <v>63.44</v>
      </c>
      <c r="H940" s="353" t="s">
        <v>1996</v>
      </c>
      <c r="I940" s="353" t="s">
        <v>56</v>
      </c>
      <c r="J940" s="57"/>
      <c r="K940" s="11"/>
      <c r="L940" s="353"/>
    </row>
    <row r="941" spans="1:12" hidden="1">
      <c r="A941" s="353" t="s">
        <v>1997</v>
      </c>
      <c r="B941" s="7" t="s">
        <v>1975</v>
      </c>
      <c r="C941" s="103" t="s">
        <v>1998</v>
      </c>
      <c r="D941" s="57">
        <v>45951</v>
      </c>
      <c r="E941" s="57">
        <v>45951</v>
      </c>
      <c r="F941" s="353" t="s">
        <v>16</v>
      </c>
      <c r="G941" s="11">
        <v>360.88</v>
      </c>
      <c r="H941" s="353" t="s">
        <v>1999</v>
      </c>
      <c r="I941" s="353" t="s">
        <v>354</v>
      </c>
      <c r="J941" s="57">
        <v>45950</v>
      </c>
      <c r="K941" s="11">
        <v>295.8</v>
      </c>
      <c r="L941" s="353" t="s">
        <v>394</v>
      </c>
    </row>
    <row r="942" spans="1:12" hidden="1">
      <c r="A942" s="353" t="s">
        <v>2000</v>
      </c>
      <c r="B942" s="7" t="s">
        <v>1975</v>
      </c>
      <c r="C942" s="103" t="s">
        <v>1998</v>
      </c>
      <c r="D942" s="57">
        <v>45951</v>
      </c>
      <c r="E942" s="57">
        <v>45951</v>
      </c>
      <c r="F942" s="353"/>
      <c r="G942" s="11">
        <v>65.08</v>
      </c>
      <c r="H942" s="353" t="s">
        <v>1999</v>
      </c>
      <c r="I942" s="353" t="s">
        <v>83</v>
      </c>
      <c r="J942" s="57"/>
      <c r="K942" s="11"/>
      <c r="L942" s="353"/>
    </row>
    <row r="943" spans="1:12" hidden="1">
      <c r="A943" s="353" t="s">
        <v>2001</v>
      </c>
      <c r="B943" s="7" t="s">
        <v>1975</v>
      </c>
      <c r="C943" s="103" t="s">
        <v>2002</v>
      </c>
      <c r="D943" s="57">
        <v>45996</v>
      </c>
      <c r="E943" s="57">
        <v>45667</v>
      </c>
      <c r="F943" s="353" t="s">
        <v>16</v>
      </c>
      <c r="G943" s="11">
        <v>5155.1099999999997</v>
      </c>
      <c r="H943" s="353" t="s">
        <v>1999</v>
      </c>
      <c r="I943" s="353" t="s">
        <v>142</v>
      </c>
      <c r="J943" s="57"/>
      <c r="K943" s="11">
        <v>5155.1099999999997</v>
      </c>
      <c r="L943" s="353" t="s">
        <v>2003</v>
      </c>
    </row>
    <row r="944" spans="1:12" hidden="1">
      <c r="A944" s="353" t="s">
        <v>2000</v>
      </c>
      <c r="B944" s="7" t="s">
        <v>1975</v>
      </c>
      <c r="C944" s="103" t="s">
        <v>2002</v>
      </c>
      <c r="D944" s="57">
        <v>45996</v>
      </c>
      <c r="E944" s="57">
        <v>45667</v>
      </c>
      <c r="F944" s="353"/>
      <c r="G944" s="11">
        <v>36.6</v>
      </c>
      <c r="H944" s="353" t="s">
        <v>1999</v>
      </c>
      <c r="I944" s="353" t="s">
        <v>83</v>
      </c>
      <c r="J944" s="57"/>
      <c r="K944" s="11"/>
      <c r="L944" s="353"/>
    </row>
    <row r="945" spans="1:12" hidden="1">
      <c r="A945" s="353" t="s">
        <v>2004</v>
      </c>
      <c r="B945" s="7" t="s">
        <v>2005</v>
      </c>
      <c r="C945" s="103" t="s">
        <v>3294</v>
      </c>
      <c r="D945" s="57">
        <v>45838</v>
      </c>
      <c r="E945" s="57">
        <v>45838</v>
      </c>
      <c r="F945" s="353" t="s">
        <v>16</v>
      </c>
      <c r="G945" s="11">
        <v>572</v>
      </c>
      <c r="H945" s="353" t="s">
        <v>2007</v>
      </c>
      <c r="I945" s="353" t="s">
        <v>56</v>
      </c>
      <c r="J945" s="57">
        <v>45950</v>
      </c>
      <c r="K945" s="11">
        <v>582</v>
      </c>
      <c r="L945" s="353" t="s">
        <v>2008</v>
      </c>
    </row>
    <row r="946" spans="1:12" hidden="1">
      <c r="A946" s="353"/>
      <c r="B946" s="7" t="s">
        <v>2009</v>
      </c>
      <c r="C946" s="103" t="s">
        <v>2010</v>
      </c>
      <c r="D946" s="57">
        <v>45817</v>
      </c>
      <c r="F946" s="353" t="s">
        <v>16</v>
      </c>
      <c r="G946" s="11">
        <v>180.84</v>
      </c>
      <c r="H946" s="353" t="s">
        <v>1863</v>
      </c>
      <c r="I946" s="353" t="s">
        <v>215</v>
      </c>
      <c r="J946" s="57"/>
      <c r="K946" s="11"/>
      <c r="L946" s="353"/>
    </row>
    <row r="947" spans="1:12" hidden="1">
      <c r="A947" s="353" t="s">
        <v>13</v>
      </c>
      <c r="B947" s="7" t="s">
        <v>2012</v>
      </c>
      <c r="C947" s="103" t="s">
        <v>1063</v>
      </c>
      <c r="D947" s="57">
        <v>45950</v>
      </c>
      <c r="E947" s="57">
        <v>45950</v>
      </c>
      <c r="F947" s="353" t="s">
        <v>16</v>
      </c>
      <c r="G947" s="11">
        <v>1989</v>
      </c>
      <c r="H947" s="353" t="s">
        <v>2013</v>
      </c>
      <c r="I947" s="353" t="s">
        <v>142</v>
      </c>
      <c r="J947" s="57"/>
      <c r="K947" s="11">
        <v>1989</v>
      </c>
      <c r="L947" s="353" t="s">
        <v>111</v>
      </c>
    </row>
    <row r="948" spans="1:12" hidden="1">
      <c r="A948" s="353" t="s">
        <v>13</v>
      </c>
      <c r="B948" s="7" t="s">
        <v>2014</v>
      </c>
      <c r="C948" s="103" t="s">
        <v>2015</v>
      </c>
      <c r="D948" s="57">
        <v>45201</v>
      </c>
      <c r="F948" s="353" t="s">
        <v>16</v>
      </c>
      <c r="G948" s="11">
        <v>269.63</v>
      </c>
      <c r="H948" s="353" t="s">
        <v>2017</v>
      </c>
      <c r="I948" s="353" t="s">
        <v>56</v>
      </c>
      <c r="J948" s="57"/>
      <c r="K948" s="11"/>
      <c r="L948" s="353" t="s">
        <v>2018</v>
      </c>
    </row>
    <row r="949" spans="1:12" hidden="1">
      <c r="A949" s="353" t="s">
        <v>13</v>
      </c>
      <c r="B949" s="7" t="s">
        <v>2014</v>
      </c>
      <c r="C949" s="103" t="s">
        <v>2019</v>
      </c>
      <c r="D949" s="57">
        <v>45203</v>
      </c>
      <c r="F949" s="353" t="s">
        <v>16</v>
      </c>
      <c r="G949" s="11">
        <v>94.28</v>
      </c>
      <c r="H949" s="353" t="s">
        <v>2017</v>
      </c>
      <c r="I949" s="353" t="s">
        <v>56</v>
      </c>
      <c r="J949" s="57">
        <v>45853</v>
      </c>
      <c r="K949" s="11"/>
      <c r="L949" s="353" t="s">
        <v>2021</v>
      </c>
    </row>
    <row r="950" spans="1:12" hidden="1">
      <c r="A950" s="353" t="s">
        <v>13</v>
      </c>
      <c r="B950" s="7" t="s">
        <v>2014</v>
      </c>
      <c r="C950" s="103" t="s">
        <v>2022</v>
      </c>
      <c r="D950" s="57">
        <v>45203</v>
      </c>
      <c r="F950" s="353" t="s">
        <v>16</v>
      </c>
      <c r="G950" s="11">
        <v>1236.82</v>
      </c>
      <c r="H950" s="353" t="s">
        <v>2017</v>
      </c>
      <c r="I950" s="353" t="s">
        <v>56</v>
      </c>
      <c r="J950" s="57"/>
      <c r="K950" s="11"/>
      <c r="L950" s="353" t="s">
        <v>2024</v>
      </c>
    </row>
    <row r="951" spans="1:12" hidden="1">
      <c r="A951" s="353" t="s">
        <v>13</v>
      </c>
      <c r="B951" s="7" t="s">
        <v>2014</v>
      </c>
      <c r="C951" s="103" t="s">
        <v>2022</v>
      </c>
      <c r="D951" s="57">
        <v>45203</v>
      </c>
      <c r="F951" s="353" t="s">
        <v>16</v>
      </c>
      <c r="G951" s="11">
        <v>1636.99</v>
      </c>
      <c r="H951" s="353" t="s">
        <v>2017</v>
      </c>
      <c r="I951" s="353" t="s">
        <v>56</v>
      </c>
      <c r="J951" s="57"/>
      <c r="K951" s="11"/>
      <c r="L951" s="353" t="s">
        <v>2025</v>
      </c>
    </row>
    <row r="952" spans="1:12" hidden="1">
      <c r="A952" s="353" t="s">
        <v>13</v>
      </c>
      <c r="B952" s="7" t="s">
        <v>2014</v>
      </c>
      <c r="C952" s="103" t="s">
        <v>2019</v>
      </c>
      <c r="D952" s="57">
        <v>45965</v>
      </c>
      <c r="F952" s="353" t="s">
        <v>16</v>
      </c>
      <c r="G952" s="11">
        <v>472.74</v>
      </c>
      <c r="H952" s="353" t="s">
        <v>2026</v>
      </c>
      <c r="I952" s="353" t="s">
        <v>83</v>
      </c>
      <c r="J952" s="57"/>
      <c r="K952" s="11"/>
      <c r="L952" s="353" t="s">
        <v>2027</v>
      </c>
    </row>
    <row r="953" spans="1:12" hidden="1">
      <c r="A953" s="353"/>
      <c r="B953" s="7" t="s">
        <v>2028</v>
      </c>
      <c r="C953" s="103" t="s">
        <v>2029</v>
      </c>
      <c r="D953" s="57">
        <v>45804</v>
      </c>
      <c r="F953" s="353" t="s">
        <v>16</v>
      </c>
      <c r="G953" s="11">
        <v>71.790000000000006</v>
      </c>
      <c r="H953" s="353" t="s">
        <v>1455</v>
      </c>
      <c r="I953" s="353" t="s">
        <v>47</v>
      </c>
      <c r="J953" s="57"/>
      <c r="K953" s="11"/>
      <c r="L953" s="353"/>
    </row>
    <row r="954" spans="1:12" hidden="1">
      <c r="A954" s="353"/>
      <c r="B954" s="7" t="s">
        <v>2028</v>
      </c>
      <c r="C954" s="103" t="s">
        <v>2031</v>
      </c>
      <c r="D954" s="57">
        <v>45974</v>
      </c>
      <c r="E954" s="57">
        <v>45974</v>
      </c>
      <c r="F954" s="353" t="s">
        <v>16</v>
      </c>
      <c r="G954" s="11">
        <v>85.18</v>
      </c>
      <c r="H954" s="353" t="s">
        <v>1455</v>
      </c>
      <c r="I954" s="353" t="s">
        <v>47</v>
      </c>
      <c r="J954" s="57">
        <v>45974</v>
      </c>
      <c r="K954" s="11">
        <v>85.18</v>
      </c>
      <c r="L954" s="353" t="s">
        <v>47</v>
      </c>
    </row>
    <row r="955" spans="1:12" hidden="1">
      <c r="A955" s="353"/>
      <c r="B955" s="7" t="s">
        <v>2028</v>
      </c>
      <c r="C955" s="103" t="s">
        <v>3391</v>
      </c>
      <c r="D955" s="57">
        <v>46009</v>
      </c>
      <c r="E955" s="57">
        <v>46009</v>
      </c>
      <c r="F955" s="353" t="s">
        <v>16</v>
      </c>
      <c r="G955" s="11">
        <v>66.67</v>
      </c>
      <c r="H955" s="353" t="s">
        <v>218</v>
      </c>
      <c r="I955" s="353" t="s">
        <v>47</v>
      </c>
      <c r="J955" s="57">
        <v>46009</v>
      </c>
      <c r="K955" s="11">
        <v>66.67</v>
      </c>
      <c r="L955" s="353" t="s">
        <v>47</v>
      </c>
    </row>
    <row r="956" spans="1:12" hidden="1">
      <c r="A956" s="353"/>
      <c r="B956" s="7" t="s">
        <v>2032</v>
      </c>
      <c r="C956" s="103" t="s">
        <v>2033</v>
      </c>
      <c r="D956" s="57">
        <v>45688</v>
      </c>
      <c r="E956" s="57">
        <v>45716</v>
      </c>
      <c r="F956" s="353" t="s">
        <v>16</v>
      </c>
      <c r="G956" s="11">
        <v>152.38999999999999</v>
      </c>
      <c r="H956" s="353" t="s">
        <v>312</v>
      </c>
      <c r="I956" s="353" t="s">
        <v>110</v>
      </c>
      <c r="J956" s="57">
        <v>45716</v>
      </c>
      <c r="K956" s="11">
        <v>152.38999999999999</v>
      </c>
      <c r="L956" s="353"/>
    </row>
    <row r="957" spans="1:12" hidden="1">
      <c r="A957" s="353"/>
      <c r="B957" s="7" t="s">
        <v>2032</v>
      </c>
      <c r="C957" s="103" t="s">
        <v>2033</v>
      </c>
      <c r="D957" s="57">
        <v>45688</v>
      </c>
      <c r="E957" s="57">
        <v>45747</v>
      </c>
      <c r="F957" s="353" t="s">
        <v>16</v>
      </c>
      <c r="G957" s="11">
        <v>152.38999999999999</v>
      </c>
      <c r="H957" s="353" t="s">
        <v>312</v>
      </c>
      <c r="I957" s="353" t="s">
        <v>66</v>
      </c>
      <c r="J957" s="57">
        <v>45775</v>
      </c>
      <c r="K957" s="11">
        <v>152.38999999999999</v>
      </c>
      <c r="L957" s="353"/>
    </row>
    <row r="958" spans="1:12" hidden="1">
      <c r="A958" s="353"/>
      <c r="B958" s="7" t="s">
        <v>2032</v>
      </c>
      <c r="C958" s="103" t="s">
        <v>2035</v>
      </c>
      <c r="D958" s="57">
        <v>45650</v>
      </c>
      <c r="E958" s="57">
        <v>45716</v>
      </c>
      <c r="F958" s="353" t="s">
        <v>16</v>
      </c>
      <c r="G958" s="11">
        <v>694.17</v>
      </c>
      <c r="H958" s="353"/>
      <c r="I958" s="353" t="s">
        <v>110</v>
      </c>
      <c r="J958" s="57">
        <v>45775</v>
      </c>
      <c r="K958" s="11">
        <v>694.17</v>
      </c>
      <c r="L958" s="353"/>
    </row>
    <row r="959" spans="1:12" hidden="1">
      <c r="A959" s="353"/>
      <c r="B959" s="7" t="s">
        <v>2037</v>
      </c>
      <c r="C959" s="103" t="s">
        <v>338</v>
      </c>
      <c r="D959" s="57">
        <v>45685</v>
      </c>
      <c r="F959" s="353" t="s">
        <v>16</v>
      </c>
      <c r="G959" s="11">
        <v>1300</v>
      </c>
      <c r="H959" s="353" t="s">
        <v>337</v>
      </c>
      <c r="I959" s="353" t="s">
        <v>56</v>
      </c>
      <c r="J959" s="57"/>
      <c r="K959" s="11"/>
      <c r="L959" s="353"/>
    </row>
    <row r="960" spans="1:12" hidden="1">
      <c r="A960" s="353"/>
      <c r="F960" s="353"/>
      <c r="H960" s="353"/>
      <c r="I960" s="353"/>
      <c r="J960" s="57"/>
      <c r="K960" s="11"/>
      <c r="L960" s="353"/>
    </row>
    <row r="961" spans="1:12" hidden="1">
      <c r="A961" s="353"/>
      <c r="F961" s="353"/>
      <c r="H961" s="353"/>
      <c r="I961" s="353"/>
      <c r="J961" s="57"/>
      <c r="K961" s="11"/>
      <c r="L961" s="353"/>
    </row>
    <row r="962" spans="1:12" hidden="1">
      <c r="A962" s="353"/>
      <c r="F962" s="353"/>
      <c r="H962" s="353"/>
      <c r="I962" s="353"/>
      <c r="J962" s="57"/>
      <c r="K962" s="11"/>
      <c r="L962" s="353"/>
    </row>
    <row r="963" spans="1:12" hidden="1">
      <c r="A963" s="353"/>
      <c r="F963" s="353"/>
      <c r="H963" s="353"/>
      <c r="I963" s="353"/>
      <c r="J963" s="57"/>
      <c r="K963" s="11"/>
      <c r="L963" s="353"/>
    </row>
    <row r="964" spans="1:12" hidden="1">
      <c r="A964" s="353"/>
      <c r="F964" s="353"/>
      <c r="H964" s="353"/>
      <c r="I964" s="353"/>
      <c r="J964" s="57"/>
      <c r="K964" s="11"/>
      <c r="L964" s="353"/>
    </row>
    <row r="965" spans="1:12" hidden="1">
      <c r="A965" s="353"/>
      <c r="F965" s="353"/>
      <c r="H965" s="353"/>
      <c r="I965" s="353"/>
      <c r="J965" s="57"/>
      <c r="K965" s="11"/>
      <c r="L965" s="353"/>
    </row>
    <row r="966" spans="1:12" hidden="1">
      <c r="A966" s="353"/>
      <c r="F966" s="353"/>
      <c r="H966" s="353"/>
      <c r="I966" s="353"/>
      <c r="J966" s="57"/>
      <c r="K966" s="11"/>
      <c r="L966" s="353"/>
    </row>
    <row r="967" spans="1:12" hidden="1">
      <c r="A967" s="353"/>
      <c r="F967" s="353"/>
      <c r="H967" s="353"/>
      <c r="I967" s="353"/>
      <c r="J967" s="57"/>
      <c r="K967" s="11"/>
      <c r="L967" s="353"/>
    </row>
    <row r="968" spans="1:12" hidden="1">
      <c r="A968" s="353"/>
      <c r="F968" s="353"/>
      <c r="H968" s="353"/>
      <c r="I968" s="353"/>
      <c r="J968" s="57"/>
      <c r="K968" s="11"/>
      <c r="L968" s="353"/>
    </row>
    <row r="969" spans="1:12" hidden="1">
      <c r="A969" s="353"/>
      <c r="F969" s="353"/>
      <c r="H969" s="353"/>
      <c r="I969" s="353"/>
      <c r="J969" s="57"/>
      <c r="K969" s="11"/>
      <c r="L969" s="353"/>
    </row>
    <row r="970" spans="1:12" hidden="1">
      <c r="A970" s="353"/>
      <c r="F970" s="353"/>
      <c r="H970" s="353"/>
      <c r="I970" s="353"/>
      <c r="J970" s="57"/>
      <c r="K970" s="11"/>
      <c r="L970" s="353"/>
    </row>
    <row r="971" spans="1:12" hidden="1">
      <c r="A971" s="353"/>
      <c r="F971" s="353"/>
      <c r="H971" s="353"/>
      <c r="I971" s="353"/>
      <c r="J971" s="57"/>
      <c r="K971" s="11"/>
      <c r="L971" s="353"/>
    </row>
    <row r="972" spans="1:12" hidden="1">
      <c r="A972" s="353"/>
      <c r="F972" s="353"/>
      <c r="H972" s="353"/>
      <c r="I972" s="353"/>
      <c r="J972" s="57"/>
      <c r="K972" s="11"/>
      <c r="L972" s="353"/>
    </row>
    <row r="973" spans="1:12" hidden="1">
      <c r="A973" s="353"/>
      <c r="F973" s="353"/>
      <c r="H973" s="353"/>
      <c r="I973" s="353"/>
      <c r="J973" s="57"/>
      <c r="K973" s="11"/>
      <c r="L973" s="353"/>
    </row>
    <row r="974" spans="1:12" hidden="1">
      <c r="A974" s="353"/>
      <c r="F974" s="353"/>
      <c r="H974" s="353"/>
      <c r="I974" s="353"/>
      <c r="J974" s="57"/>
      <c r="K974" s="11"/>
      <c r="L974" s="353"/>
    </row>
    <row r="975" spans="1:12" hidden="1">
      <c r="A975" s="353"/>
      <c r="F975" s="353"/>
      <c r="H975" s="353"/>
      <c r="I975" s="353"/>
      <c r="J975" s="57"/>
      <c r="K975" s="11"/>
      <c r="L975" s="353"/>
    </row>
    <row r="976" spans="1:12" hidden="1">
      <c r="A976" s="353"/>
      <c r="F976" s="353"/>
      <c r="H976" s="353"/>
      <c r="I976" s="353"/>
      <c r="J976" s="57"/>
      <c r="K976" s="11"/>
      <c r="L976" s="353"/>
    </row>
    <row r="977" spans="1:12" hidden="1">
      <c r="A977" s="353"/>
      <c r="F977" s="353"/>
      <c r="H977" s="353"/>
      <c r="I977" s="353"/>
      <c r="J977" s="57"/>
      <c r="K977" s="11"/>
      <c r="L977" s="353"/>
    </row>
    <row r="978" spans="1:12" hidden="1">
      <c r="A978" s="353"/>
      <c r="F978" s="353"/>
      <c r="H978" s="353"/>
      <c r="I978" s="353"/>
      <c r="J978" s="57"/>
      <c r="K978" s="11"/>
      <c r="L978" s="353"/>
    </row>
    <row r="979" spans="1:12" hidden="1">
      <c r="A979" s="353"/>
      <c r="F979" s="353"/>
      <c r="H979" s="353"/>
      <c r="I979" s="353"/>
      <c r="J979" s="57"/>
      <c r="K979" s="11"/>
      <c r="L979" s="353"/>
    </row>
    <row r="980" spans="1:12" hidden="1">
      <c r="A980" s="353"/>
      <c r="F980" s="353"/>
      <c r="H980" s="353"/>
      <c r="I980" s="353"/>
      <c r="J980" s="57"/>
      <c r="K980" s="11"/>
      <c r="L980" s="353"/>
    </row>
    <row r="981" spans="1:12" hidden="1">
      <c r="A981" s="353"/>
      <c r="F981" s="353"/>
      <c r="H981" s="353"/>
      <c r="I981" s="353"/>
      <c r="J981" s="57"/>
      <c r="K981" s="11"/>
      <c r="L981" s="353"/>
    </row>
    <row r="982" spans="1:12" hidden="1">
      <c r="A982" s="353"/>
      <c r="F982" s="353"/>
      <c r="H982" s="353"/>
      <c r="I982" s="353"/>
      <c r="J982" s="57"/>
      <c r="K982" s="11"/>
      <c r="L982" s="353"/>
    </row>
    <row r="983" spans="1:12" hidden="1">
      <c r="A983" s="353"/>
      <c r="F983" s="353"/>
      <c r="H983" s="353"/>
      <c r="I983" s="353"/>
      <c r="J983" s="57"/>
      <c r="K983" s="11"/>
      <c r="L983" s="353"/>
    </row>
    <row r="984" spans="1:12" hidden="1">
      <c r="A984" s="353"/>
      <c r="F984" s="353"/>
      <c r="H984" s="353"/>
      <c r="I984" s="353"/>
      <c r="J984" s="57"/>
      <c r="K984" s="11"/>
      <c r="L984" s="353"/>
    </row>
    <row r="985" spans="1:12" hidden="1">
      <c r="A985" s="353"/>
      <c r="F985" s="353"/>
      <c r="H985" s="353"/>
      <c r="I985" s="353"/>
      <c r="J985" s="57"/>
      <c r="K985" s="11"/>
      <c r="L985" s="353"/>
    </row>
    <row r="986" spans="1:12" hidden="1">
      <c r="A986" s="353"/>
      <c r="F986" s="353"/>
      <c r="H986" s="353"/>
      <c r="I986" s="353"/>
      <c r="J986" s="57"/>
      <c r="K986" s="11"/>
      <c r="L986" s="353"/>
    </row>
    <row r="987" spans="1:12" hidden="1">
      <c r="A987" s="353"/>
      <c r="F987" s="353"/>
      <c r="H987" s="353"/>
      <c r="I987" s="353"/>
      <c r="J987" s="57"/>
      <c r="K987" s="11"/>
      <c r="L987" s="353"/>
    </row>
    <row r="988" spans="1:12" hidden="1">
      <c r="A988" s="353"/>
      <c r="F988" s="353"/>
      <c r="H988" s="353"/>
      <c r="I988" s="353"/>
      <c r="J988" s="57"/>
      <c r="K988" s="11"/>
      <c r="L988" s="353"/>
    </row>
    <row r="989" spans="1:12" hidden="1">
      <c r="A989" s="353"/>
      <c r="F989" s="353"/>
      <c r="H989" s="353"/>
      <c r="I989" s="353"/>
      <c r="J989" s="57"/>
      <c r="K989" s="11"/>
      <c r="L989" s="353"/>
    </row>
    <row r="990" spans="1:12" hidden="1">
      <c r="A990" s="353"/>
      <c r="F990" s="353"/>
      <c r="H990" s="353"/>
      <c r="I990" s="353"/>
      <c r="J990" s="57"/>
      <c r="K990" s="11"/>
      <c r="L990" s="353"/>
    </row>
    <row r="991" spans="1:12" hidden="1">
      <c r="A991" s="353"/>
      <c r="F991" s="353"/>
      <c r="H991" s="353"/>
      <c r="I991" s="353"/>
      <c r="J991" s="57"/>
      <c r="K991" s="11"/>
      <c r="L991" s="353"/>
    </row>
    <row r="992" spans="1:12" hidden="1">
      <c r="A992" s="353"/>
      <c r="F992" s="353"/>
      <c r="H992" s="353"/>
      <c r="I992" s="353"/>
      <c r="J992" s="57"/>
      <c r="K992" s="11"/>
      <c r="L992" s="353"/>
    </row>
    <row r="993" spans="1:12" hidden="1">
      <c r="A993" s="353"/>
      <c r="F993" s="353"/>
      <c r="H993" s="353"/>
      <c r="I993" s="353"/>
      <c r="J993" s="57"/>
      <c r="K993" s="11"/>
      <c r="L993" s="353"/>
    </row>
    <row r="994" spans="1:12" hidden="1">
      <c r="A994" s="353"/>
      <c r="F994" s="353"/>
      <c r="H994" s="353"/>
      <c r="I994" s="353"/>
      <c r="J994" s="57"/>
      <c r="K994" s="11"/>
      <c r="L994" s="353"/>
    </row>
    <row r="995" spans="1:12" hidden="1">
      <c r="A995" s="353"/>
      <c r="F995" s="353"/>
      <c r="H995" s="353"/>
      <c r="I995" s="353"/>
      <c r="J995" s="57"/>
      <c r="K995" s="11"/>
      <c r="L995" s="353"/>
    </row>
    <row r="996" spans="1:12" hidden="1">
      <c r="A996" s="353"/>
      <c r="F996" s="353"/>
      <c r="H996" s="353"/>
      <c r="I996" s="353"/>
      <c r="J996" s="57"/>
      <c r="K996" s="11"/>
      <c r="L996" s="353"/>
    </row>
    <row r="997" spans="1:12" hidden="1">
      <c r="A997" s="353"/>
      <c r="F997" s="353"/>
      <c r="H997" s="353"/>
      <c r="I997" s="353"/>
      <c r="J997" s="57"/>
      <c r="K997" s="11"/>
      <c r="L997" s="353"/>
    </row>
    <row r="998" spans="1:12" hidden="1">
      <c r="A998" s="353"/>
      <c r="F998" s="353"/>
      <c r="H998" s="353"/>
      <c r="I998" s="353"/>
      <c r="J998" s="57"/>
      <c r="K998" s="11"/>
      <c r="L998" s="353"/>
    </row>
    <row r="999" spans="1:12" hidden="1">
      <c r="A999" s="353"/>
      <c r="F999" s="353"/>
      <c r="H999" s="353"/>
      <c r="I999" s="353"/>
      <c r="J999" s="57"/>
      <c r="K999" s="11"/>
      <c r="L999" s="353"/>
    </row>
    <row r="1000" spans="1:12" hidden="1">
      <c r="A1000" s="353"/>
      <c r="F1000" s="353"/>
      <c r="H1000" s="353"/>
      <c r="I1000" s="353"/>
      <c r="J1000" s="57"/>
      <c r="K1000" s="11"/>
      <c r="L1000" s="353"/>
    </row>
    <row r="1001" spans="1:12" hidden="1">
      <c r="A1001" s="353"/>
      <c r="F1001" s="353"/>
      <c r="H1001" s="353"/>
      <c r="I1001" s="353"/>
      <c r="J1001" s="57"/>
      <c r="K1001" s="11"/>
      <c r="L1001" s="353"/>
    </row>
    <row r="1002" spans="1:12" hidden="1">
      <c r="A1002" s="353"/>
      <c r="F1002" s="353"/>
      <c r="H1002" s="353"/>
      <c r="I1002" s="353"/>
      <c r="J1002" s="57"/>
      <c r="K1002" s="11"/>
      <c r="L1002" s="353"/>
    </row>
    <row r="1003" spans="1:12" hidden="1">
      <c r="A1003" s="353"/>
      <c r="F1003" s="353"/>
      <c r="H1003" s="353"/>
      <c r="I1003" s="353"/>
      <c r="J1003" s="57"/>
      <c r="K1003" s="11"/>
      <c r="L1003" s="353"/>
    </row>
    <row r="1004" spans="1:12" hidden="1">
      <c r="A1004" s="353"/>
      <c r="F1004" s="353"/>
      <c r="H1004" s="353"/>
      <c r="I1004" s="353"/>
      <c r="J1004" s="57"/>
      <c r="K1004" s="11"/>
      <c r="L1004" s="353"/>
    </row>
    <row r="1005" spans="1:12" hidden="1">
      <c r="A1005" s="353"/>
      <c r="F1005" s="353"/>
      <c r="H1005" s="353"/>
      <c r="I1005" s="353"/>
      <c r="J1005" s="57"/>
      <c r="K1005" s="11"/>
      <c r="L1005" s="353"/>
    </row>
    <row r="1006" spans="1:12" hidden="1">
      <c r="A1006" s="353"/>
      <c r="F1006" s="353"/>
      <c r="H1006" s="353"/>
      <c r="I1006" s="353"/>
      <c r="J1006" s="57"/>
      <c r="K1006" s="11"/>
      <c r="L1006" s="353"/>
    </row>
    <row r="1007" spans="1:12" hidden="1">
      <c r="A1007" s="353"/>
      <c r="F1007" s="353"/>
      <c r="H1007" s="353"/>
      <c r="I1007" s="353"/>
      <c r="J1007" s="57"/>
      <c r="K1007" s="11"/>
      <c r="L1007" s="353"/>
    </row>
    <row r="1008" spans="1:12" hidden="1">
      <c r="A1008" s="353"/>
      <c r="F1008" s="353"/>
      <c r="H1008" s="353"/>
      <c r="I1008" s="353"/>
      <c r="J1008" s="57"/>
      <c r="K1008" s="11"/>
      <c r="L1008" s="353"/>
    </row>
    <row r="1009" spans="1:12" hidden="1">
      <c r="A1009" s="353"/>
      <c r="F1009" s="353"/>
      <c r="H1009" s="353"/>
      <c r="I1009" s="353"/>
      <c r="J1009" s="57"/>
      <c r="K1009" s="11"/>
      <c r="L1009" s="353"/>
    </row>
    <row r="1010" spans="1:12" hidden="1">
      <c r="A1010" s="353"/>
      <c r="F1010" s="353"/>
      <c r="H1010" s="353"/>
      <c r="I1010" s="353"/>
      <c r="J1010" s="57"/>
      <c r="K1010" s="11"/>
      <c r="L1010" s="353"/>
    </row>
    <row r="1011" spans="1:12" hidden="1">
      <c r="A1011" s="353"/>
      <c r="F1011" s="353"/>
      <c r="H1011" s="353"/>
      <c r="I1011" s="353"/>
      <c r="J1011" s="57"/>
      <c r="K1011" s="11"/>
      <c r="L1011" s="353"/>
    </row>
    <row r="1012" spans="1:12" hidden="1">
      <c r="A1012" s="353"/>
      <c r="F1012" s="353"/>
      <c r="H1012" s="353"/>
      <c r="I1012" s="353"/>
      <c r="J1012" s="57"/>
      <c r="K1012" s="11"/>
      <c r="L1012" s="353"/>
    </row>
    <row r="1013" spans="1:12" hidden="1">
      <c r="A1013" s="353"/>
      <c r="F1013" s="353"/>
      <c r="H1013" s="353"/>
      <c r="I1013" s="353"/>
      <c r="J1013" s="57"/>
      <c r="K1013" s="11"/>
      <c r="L1013" s="353"/>
    </row>
    <row r="1014" spans="1:12" hidden="1">
      <c r="A1014" s="353"/>
      <c r="F1014" s="353"/>
      <c r="H1014" s="353"/>
      <c r="I1014" s="353"/>
      <c r="J1014" s="57"/>
      <c r="K1014" s="11"/>
      <c r="L1014" s="353"/>
    </row>
    <row r="1015" spans="1:12" hidden="1">
      <c r="A1015" s="353"/>
      <c r="F1015" s="353"/>
      <c r="H1015" s="353"/>
      <c r="I1015" s="353"/>
      <c r="J1015" s="57"/>
      <c r="K1015" s="11"/>
      <c r="L1015" s="353"/>
    </row>
    <row r="1016" spans="1:12" hidden="1">
      <c r="A1016" s="353"/>
      <c r="F1016" s="353"/>
      <c r="H1016" s="353"/>
      <c r="I1016" s="353"/>
      <c r="J1016" s="57"/>
      <c r="K1016" s="11"/>
      <c r="L1016" s="353"/>
    </row>
    <row r="1017" spans="1:12" hidden="1">
      <c r="A1017" s="353"/>
      <c r="F1017" s="353"/>
      <c r="H1017" s="353"/>
      <c r="I1017" s="353"/>
      <c r="J1017" s="57"/>
      <c r="K1017" s="11"/>
      <c r="L1017" s="353"/>
    </row>
    <row r="1018" spans="1:12" hidden="1">
      <c r="A1018" s="353"/>
      <c r="F1018" s="353"/>
      <c r="H1018" s="353"/>
      <c r="I1018" s="353"/>
      <c r="J1018" s="57"/>
      <c r="K1018" s="11"/>
      <c r="L1018" s="353"/>
    </row>
    <row r="1019" spans="1:12" hidden="1">
      <c r="A1019" s="353"/>
      <c r="F1019" s="353"/>
      <c r="H1019" s="353"/>
      <c r="I1019" s="353"/>
      <c r="J1019" s="57"/>
      <c r="K1019" s="11"/>
      <c r="L1019" s="353"/>
    </row>
    <row r="1020" spans="1:12" hidden="1">
      <c r="A1020" s="353"/>
      <c r="F1020" s="353"/>
      <c r="H1020" s="353"/>
      <c r="I1020" s="353"/>
      <c r="J1020" s="57"/>
      <c r="K1020" s="11"/>
      <c r="L1020" s="353"/>
    </row>
    <row r="1021" spans="1:12" hidden="1">
      <c r="A1021" s="353"/>
      <c r="F1021" s="353"/>
      <c r="H1021" s="353"/>
      <c r="I1021" s="353"/>
      <c r="J1021" s="57"/>
      <c r="K1021" s="11"/>
      <c r="L1021" s="353"/>
    </row>
    <row r="1022" spans="1:12" hidden="1">
      <c r="A1022" s="353"/>
      <c r="F1022" s="353"/>
      <c r="H1022" s="353"/>
      <c r="I1022" s="353"/>
      <c r="J1022" s="57"/>
      <c r="K1022" s="11"/>
      <c r="L1022" s="353"/>
    </row>
    <row r="1023" spans="1:12" hidden="1">
      <c r="A1023" s="353"/>
      <c r="F1023" s="353"/>
      <c r="H1023" s="353"/>
      <c r="I1023" s="353"/>
      <c r="J1023" s="57"/>
      <c r="K1023" s="11"/>
      <c r="L1023" s="353"/>
    </row>
    <row r="1024" spans="1:12" hidden="1">
      <c r="A1024" s="353"/>
      <c r="F1024" s="353"/>
      <c r="H1024" s="353"/>
      <c r="I1024" s="353"/>
      <c r="J1024" s="57"/>
      <c r="K1024" s="11"/>
      <c r="L1024" s="353"/>
    </row>
    <row r="1025" spans="1:12" hidden="1">
      <c r="A1025" s="353"/>
      <c r="F1025" s="353"/>
      <c r="H1025" s="353"/>
      <c r="I1025" s="353"/>
      <c r="J1025" s="57"/>
      <c r="K1025" s="11"/>
      <c r="L1025" s="353"/>
    </row>
    <row r="1026" spans="1:12" hidden="1">
      <c r="A1026" s="353"/>
      <c r="F1026" s="353"/>
      <c r="H1026" s="353"/>
      <c r="I1026" s="353"/>
      <c r="J1026" s="57"/>
      <c r="K1026" s="11"/>
      <c r="L1026" s="353"/>
    </row>
    <row r="1027" spans="1:12" hidden="1">
      <c r="A1027" s="353"/>
      <c r="F1027" s="353"/>
      <c r="H1027" s="353"/>
      <c r="I1027" s="353"/>
      <c r="J1027" s="57"/>
      <c r="K1027" s="11"/>
      <c r="L1027" s="353"/>
    </row>
    <row r="1028" spans="1:12" hidden="1">
      <c r="A1028" s="353"/>
      <c r="F1028" s="353"/>
      <c r="H1028" s="353"/>
      <c r="I1028" s="353"/>
      <c r="J1028" s="57"/>
      <c r="K1028" s="11"/>
      <c r="L1028" s="353"/>
    </row>
    <row r="1029" spans="1:12" hidden="1">
      <c r="A1029" s="353"/>
      <c r="F1029" s="353"/>
      <c r="H1029" s="353"/>
      <c r="I1029" s="353"/>
      <c r="J1029" s="57"/>
      <c r="K1029" s="11"/>
      <c r="L1029" s="353"/>
    </row>
    <row r="1030" spans="1:12" hidden="1">
      <c r="A1030" s="353"/>
      <c r="F1030" s="353"/>
      <c r="H1030" s="353"/>
      <c r="I1030" s="353"/>
      <c r="J1030" s="57"/>
      <c r="K1030" s="11"/>
      <c r="L1030" s="353"/>
    </row>
    <row r="1031" spans="1:12" hidden="1">
      <c r="A1031" s="353"/>
      <c r="F1031" s="353"/>
      <c r="H1031" s="353"/>
      <c r="I1031" s="353"/>
      <c r="J1031" s="57"/>
      <c r="K1031" s="11"/>
      <c r="L1031" s="353"/>
    </row>
    <row r="1032" spans="1:12" hidden="1">
      <c r="A1032" s="353"/>
      <c r="F1032" s="353"/>
      <c r="H1032" s="353"/>
      <c r="I1032" s="353"/>
      <c r="J1032" s="57"/>
      <c r="K1032" s="11"/>
      <c r="L1032" s="353"/>
    </row>
    <row r="1033" spans="1:12" hidden="1">
      <c r="A1033" s="353"/>
      <c r="F1033" s="353"/>
      <c r="H1033" s="353"/>
      <c r="I1033" s="353"/>
      <c r="J1033" s="57"/>
      <c r="K1033" s="11"/>
      <c r="L1033" s="353"/>
    </row>
    <row r="1034" spans="1:12" hidden="1">
      <c r="A1034" s="353"/>
      <c r="F1034" s="353"/>
      <c r="H1034" s="353"/>
      <c r="I1034" s="353"/>
      <c r="J1034" s="57"/>
      <c r="K1034" s="11"/>
      <c r="L1034" s="353"/>
    </row>
    <row r="1035" spans="1:12" hidden="1">
      <c r="A1035" s="353"/>
      <c r="F1035" s="353"/>
      <c r="H1035" s="353"/>
      <c r="I1035" s="353"/>
      <c r="J1035" s="57"/>
      <c r="K1035" s="11"/>
      <c r="L1035" s="353"/>
    </row>
    <row r="1036" spans="1:12" hidden="1">
      <c r="A1036" s="353"/>
      <c r="F1036" s="353"/>
      <c r="H1036" s="353"/>
      <c r="I1036" s="353"/>
      <c r="J1036" s="57"/>
      <c r="K1036" s="11"/>
      <c r="L1036" s="353"/>
    </row>
    <row r="1037" spans="1:12" hidden="1">
      <c r="A1037" s="353"/>
      <c r="F1037" s="353"/>
      <c r="H1037" s="353"/>
      <c r="I1037" s="353"/>
      <c r="J1037" s="57"/>
      <c r="K1037" s="11"/>
      <c r="L1037" s="353"/>
    </row>
    <row r="1038" spans="1:12" hidden="1">
      <c r="A1038" s="353"/>
      <c r="F1038" s="353"/>
      <c r="H1038" s="353"/>
      <c r="I1038" s="353"/>
      <c r="J1038" s="57"/>
      <c r="K1038" s="11"/>
      <c r="L1038" s="353"/>
    </row>
    <row r="1039" spans="1:12" hidden="1">
      <c r="A1039" s="353"/>
      <c r="F1039" s="353"/>
      <c r="H1039" s="353"/>
      <c r="I1039" s="353"/>
      <c r="J1039" s="57"/>
      <c r="K1039" s="11"/>
      <c r="L1039" s="353"/>
    </row>
    <row r="1040" spans="1:12" hidden="1">
      <c r="A1040" s="353"/>
      <c r="F1040" s="353"/>
      <c r="H1040" s="353"/>
      <c r="I1040" s="353"/>
      <c r="J1040" s="57"/>
      <c r="K1040" s="11"/>
      <c r="L1040" s="353"/>
    </row>
    <row r="1041" spans="1:12" hidden="1">
      <c r="A1041" s="353"/>
      <c r="F1041" s="353"/>
      <c r="H1041" s="353"/>
      <c r="I1041" s="353"/>
      <c r="J1041" s="57"/>
      <c r="K1041" s="11"/>
      <c r="L1041" s="353"/>
    </row>
    <row r="1042" spans="1:12" hidden="1">
      <c r="A1042" s="353"/>
      <c r="F1042" s="353"/>
      <c r="H1042" s="353"/>
      <c r="I1042" s="353"/>
      <c r="J1042" s="57"/>
      <c r="K1042" s="11"/>
      <c r="L1042" s="353"/>
    </row>
    <row r="1043" spans="1:12" hidden="1">
      <c r="A1043" s="353"/>
      <c r="F1043" s="353"/>
      <c r="H1043" s="353"/>
      <c r="I1043" s="353"/>
      <c r="J1043" s="57"/>
      <c r="K1043" s="11"/>
      <c r="L1043" s="353"/>
    </row>
    <row r="1044" spans="1:12" hidden="1">
      <c r="A1044" s="353"/>
      <c r="F1044" s="353"/>
      <c r="H1044" s="353"/>
      <c r="I1044" s="353"/>
      <c r="J1044" s="57"/>
      <c r="K1044" s="11"/>
      <c r="L1044" s="353"/>
    </row>
    <row r="1045" spans="1:12" hidden="1">
      <c r="A1045" s="353"/>
      <c r="F1045" s="353"/>
      <c r="H1045" s="353"/>
      <c r="I1045" s="353"/>
      <c r="J1045" s="57"/>
      <c r="K1045" s="11"/>
      <c r="L1045" s="353"/>
    </row>
    <row r="1046" spans="1:12" hidden="1">
      <c r="A1046" s="353"/>
      <c r="F1046" s="353"/>
      <c r="H1046" s="353"/>
      <c r="I1046" s="353"/>
      <c r="J1046" s="57"/>
      <c r="K1046" s="11"/>
      <c r="L1046" s="353"/>
    </row>
    <row r="1047" spans="1:12" hidden="1">
      <c r="A1047" s="353"/>
      <c r="F1047" s="353"/>
      <c r="H1047" s="353"/>
      <c r="I1047" s="353"/>
      <c r="J1047" s="57"/>
      <c r="K1047" s="11"/>
      <c r="L1047" s="353"/>
    </row>
    <row r="1048" spans="1:12" hidden="1">
      <c r="A1048" s="353"/>
      <c r="F1048" s="353"/>
      <c r="H1048" s="353"/>
      <c r="I1048" s="353"/>
      <c r="J1048" s="57"/>
      <c r="K1048" s="11"/>
      <c r="L1048" s="353"/>
    </row>
    <row r="1049" spans="1:12" hidden="1">
      <c r="A1049" s="353"/>
      <c r="F1049" s="353"/>
      <c r="H1049" s="353"/>
      <c r="I1049" s="353"/>
      <c r="J1049" s="57"/>
      <c r="K1049" s="11"/>
      <c r="L1049" s="353"/>
    </row>
    <row r="1050" spans="1:12" hidden="1">
      <c r="A1050" s="353"/>
      <c r="F1050" s="353"/>
      <c r="H1050" s="353"/>
      <c r="I1050" s="353"/>
      <c r="J1050" s="57"/>
      <c r="K1050" s="11"/>
      <c r="L1050" s="353"/>
    </row>
    <row r="1051" spans="1:12" hidden="1">
      <c r="A1051" s="353"/>
      <c r="F1051" s="353"/>
      <c r="H1051" s="353"/>
      <c r="I1051" s="353"/>
      <c r="J1051" s="57"/>
      <c r="K1051" s="11"/>
      <c r="L1051" s="353"/>
    </row>
    <row r="1052" spans="1:12" hidden="1">
      <c r="A1052" s="353"/>
      <c r="F1052" s="353"/>
      <c r="H1052" s="353"/>
      <c r="I1052" s="353"/>
      <c r="J1052" s="57"/>
      <c r="K1052" s="11"/>
      <c r="L1052" s="353"/>
    </row>
    <row r="1053" spans="1:12" hidden="1">
      <c r="A1053" s="353"/>
      <c r="F1053" s="353"/>
      <c r="H1053" s="353"/>
      <c r="I1053" s="353"/>
      <c r="J1053" s="57"/>
      <c r="K1053" s="11"/>
      <c r="L1053" s="353"/>
    </row>
    <row r="1054" spans="1:12" hidden="1">
      <c r="A1054" s="353"/>
      <c r="F1054" s="353"/>
      <c r="H1054" s="353"/>
      <c r="I1054" s="353"/>
      <c r="J1054" s="57"/>
      <c r="K1054" s="11"/>
      <c r="L1054" s="353"/>
    </row>
    <row r="1055" spans="1:12" hidden="1">
      <c r="A1055" s="353"/>
      <c r="F1055" s="353"/>
      <c r="H1055" s="353"/>
      <c r="I1055" s="353"/>
      <c r="J1055" s="57"/>
      <c r="K1055" s="11"/>
      <c r="L1055" s="353"/>
    </row>
    <row r="1056" spans="1:12" hidden="1">
      <c r="A1056" s="353"/>
      <c r="F1056" s="353"/>
      <c r="H1056" s="353"/>
      <c r="I1056" s="353"/>
      <c r="J1056" s="57"/>
      <c r="K1056" s="11"/>
      <c r="L1056" s="353"/>
    </row>
    <row r="1057" spans="1:12" hidden="1">
      <c r="A1057" s="353"/>
      <c r="F1057" s="353"/>
      <c r="H1057" s="353"/>
      <c r="I1057" s="353"/>
      <c r="J1057" s="57"/>
      <c r="K1057" s="11"/>
      <c r="L1057" s="353"/>
    </row>
    <row r="1058" spans="1:12" hidden="1">
      <c r="A1058" s="353"/>
      <c r="F1058" s="353"/>
      <c r="H1058" s="353"/>
      <c r="I1058" s="353"/>
      <c r="J1058" s="57"/>
      <c r="K1058" s="11"/>
      <c r="L1058" s="353"/>
    </row>
    <row r="1059" spans="1:12" hidden="1">
      <c r="A1059" s="353"/>
      <c r="F1059" s="353"/>
      <c r="H1059" s="353"/>
      <c r="I1059" s="353"/>
      <c r="J1059" s="57"/>
      <c r="K1059" s="11"/>
      <c r="L1059" s="353"/>
    </row>
    <row r="1060" spans="1:12" hidden="1">
      <c r="A1060" s="353"/>
      <c r="F1060" s="353"/>
      <c r="H1060" s="353"/>
      <c r="I1060" s="353"/>
      <c r="J1060" s="57"/>
      <c r="K1060" s="11"/>
      <c r="L1060" s="353"/>
    </row>
    <row r="1061" spans="1:12" hidden="1">
      <c r="A1061" s="353"/>
      <c r="F1061" s="353"/>
      <c r="H1061" s="353"/>
      <c r="I1061" s="353"/>
      <c r="J1061" s="57"/>
      <c r="K1061" s="11"/>
      <c r="L1061" s="353"/>
    </row>
    <row r="1062" spans="1:12" hidden="1">
      <c r="A1062" s="353"/>
      <c r="F1062" s="353"/>
      <c r="H1062" s="353"/>
      <c r="I1062" s="353"/>
      <c r="J1062" s="57"/>
      <c r="K1062" s="11"/>
      <c r="L1062" s="353"/>
    </row>
    <row r="1063" spans="1:12" hidden="1">
      <c r="A1063" s="353"/>
      <c r="F1063" s="353"/>
      <c r="H1063" s="353"/>
      <c r="I1063" s="353"/>
      <c r="J1063" s="57"/>
      <c r="K1063" s="11"/>
      <c r="L1063" s="353"/>
    </row>
    <row r="1064" spans="1:12" hidden="1">
      <c r="A1064" s="353"/>
      <c r="F1064" s="353"/>
      <c r="H1064" s="353"/>
      <c r="I1064" s="353"/>
      <c r="J1064" s="57"/>
      <c r="K1064" s="11"/>
      <c r="L1064" s="353"/>
    </row>
    <row r="1065" spans="1:12" hidden="1">
      <c r="A1065" s="353"/>
      <c r="F1065" s="353"/>
      <c r="H1065" s="353"/>
      <c r="I1065" s="353"/>
      <c r="J1065" s="57"/>
      <c r="K1065" s="11"/>
      <c r="L1065" s="353"/>
    </row>
    <row r="1066" spans="1:12" hidden="1">
      <c r="A1066" s="353"/>
      <c r="F1066" s="353"/>
      <c r="H1066" s="353"/>
      <c r="I1066" s="353"/>
      <c r="J1066" s="57"/>
      <c r="K1066" s="11"/>
      <c r="L1066" s="353"/>
    </row>
    <row r="1067" spans="1:12" hidden="1">
      <c r="A1067" s="353"/>
      <c r="F1067" s="353"/>
      <c r="H1067" s="353"/>
      <c r="I1067" s="353"/>
      <c r="J1067" s="57"/>
      <c r="K1067" s="11"/>
      <c r="L1067" s="353"/>
    </row>
    <row r="1068" spans="1:12" hidden="1">
      <c r="A1068" s="353"/>
      <c r="F1068" s="353"/>
      <c r="H1068" s="353"/>
      <c r="I1068" s="353"/>
      <c r="J1068" s="57"/>
      <c r="K1068" s="11"/>
      <c r="L1068" s="353"/>
    </row>
    <row r="1069" spans="1:12" hidden="1">
      <c r="A1069" s="353"/>
      <c r="F1069" s="353"/>
      <c r="H1069" s="353"/>
      <c r="I1069" s="353"/>
      <c r="J1069" s="57"/>
      <c r="K1069" s="11"/>
      <c r="L1069" s="353"/>
    </row>
    <row r="1070" spans="1:12" hidden="1">
      <c r="A1070" s="353"/>
      <c r="F1070" s="353"/>
      <c r="H1070" s="353"/>
      <c r="I1070" s="353"/>
      <c r="J1070" s="57"/>
      <c r="K1070" s="11"/>
      <c r="L1070" s="353"/>
    </row>
    <row r="1071" spans="1:12" hidden="1">
      <c r="A1071" s="353"/>
      <c r="F1071" s="353"/>
      <c r="H1071" s="353"/>
      <c r="I1071" s="353"/>
      <c r="J1071" s="57"/>
      <c r="K1071" s="11"/>
      <c r="L1071" s="353"/>
    </row>
    <row r="1072" spans="1:12" hidden="1">
      <c r="A1072" s="353"/>
      <c r="F1072" s="353"/>
      <c r="H1072" s="353"/>
      <c r="I1072" s="353"/>
      <c r="J1072" s="57"/>
      <c r="K1072" s="11"/>
      <c r="L1072" s="353"/>
    </row>
    <row r="1073" spans="1:12" hidden="1">
      <c r="A1073" s="353"/>
      <c r="F1073" s="353"/>
      <c r="H1073" s="353"/>
      <c r="I1073" s="353"/>
      <c r="J1073" s="57"/>
      <c r="K1073" s="11"/>
      <c r="L1073" s="353"/>
    </row>
    <row r="1074" spans="1:12" hidden="1">
      <c r="A1074" s="353"/>
      <c r="F1074" s="353"/>
      <c r="H1074" s="353"/>
      <c r="I1074" s="353"/>
      <c r="J1074" s="57"/>
      <c r="K1074" s="11"/>
      <c r="L1074" s="353"/>
    </row>
    <row r="1075" spans="1:12" hidden="1">
      <c r="A1075" s="353"/>
      <c r="F1075" s="353"/>
      <c r="H1075" s="353"/>
      <c r="I1075" s="353"/>
      <c r="J1075" s="57"/>
      <c r="K1075" s="11"/>
      <c r="L1075" s="353"/>
    </row>
    <row r="1076" spans="1:12" hidden="1">
      <c r="A1076" s="353"/>
      <c r="F1076" s="353"/>
      <c r="H1076" s="353"/>
      <c r="I1076" s="353"/>
      <c r="J1076" s="57"/>
      <c r="K1076" s="11"/>
      <c r="L1076" s="353"/>
    </row>
    <row r="1077" spans="1:12" hidden="1">
      <c r="A1077" s="353"/>
      <c r="F1077" s="353"/>
      <c r="H1077" s="353"/>
      <c r="I1077" s="353"/>
      <c r="J1077" s="57"/>
      <c r="K1077" s="11"/>
      <c r="L1077" s="353"/>
    </row>
    <row r="1078" spans="1:12" hidden="1">
      <c r="A1078" s="353"/>
      <c r="F1078" s="353"/>
      <c r="H1078" s="353"/>
      <c r="I1078" s="353"/>
      <c r="J1078" s="57"/>
      <c r="K1078" s="11"/>
      <c r="L1078" s="353"/>
    </row>
    <row r="1079" spans="1:12" hidden="1">
      <c r="A1079" s="353"/>
      <c r="F1079" s="353"/>
      <c r="H1079" s="353"/>
      <c r="I1079" s="353"/>
      <c r="J1079" s="57"/>
      <c r="K1079" s="11"/>
      <c r="L1079" s="353"/>
    </row>
    <row r="1080" spans="1:12" hidden="1">
      <c r="A1080" s="353"/>
      <c r="F1080" s="353"/>
      <c r="H1080" s="353"/>
      <c r="I1080" s="353"/>
      <c r="J1080" s="57"/>
      <c r="K1080" s="11"/>
      <c r="L1080" s="353"/>
    </row>
    <row r="1081" spans="1:12" hidden="1">
      <c r="A1081" s="353"/>
      <c r="F1081" s="353"/>
      <c r="H1081" s="353"/>
      <c r="I1081" s="353"/>
      <c r="J1081" s="57"/>
      <c r="K1081" s="11"/>
      <c r="L1081" s="353"/>
    </row>
    <row r="1082" spans="1:12" hidden="1">
      <c r="A1082" s="353"/>
      <c r="F1082" s="353"/>
      <c r="H1082" s="353"/>
      <c r="I1082" s="353"/>
      <c r="J1082" s="57"/>
      <c r="K1082" s="11"/>
      <c r="L1082" s="353"/>
    </row>
    <row r="1083" spans="1:12" hidden="1">
      <c r="A1083" s="353"/>
      <c r="F1083" s="353"/>
      <c r="H1083" s="353"/>
      <c r="I1083" s="353"/>
      <c r="J1083" s="57"/>
      <c r="K1083" s="11"/>
      <c r="L1083" s="353"/>
    </row>
    <row r="1084" spans="1:12" hidden="1">
      <c r="A1084" s="353"/>
      <c r="F1084" s="353"/>
      <c r="H1084" s="353"/>
      <c r="I1084" s="353"/>
      <c r="J1084" s="57"/>
      <c r="K1084" s="11"/>
      <c r="L1084" s="353"/>
    </row>
    <row r="1085" spans="1:12" hidden="1">
      <c r="A1085" s="353"/>
      <c r="F1085" s="353"/>
      <c r="H1085" s="353"/>
      <c r="I1085" s="353"/>
      <c r="J1085" s="57"/>
      <c r="K1085" s="11"/>
      <c r="L1085" s="353"/>
    </row>
    <row r="1086" spans="1:12" hidden="1">
      <c r="A1086" s="353"/>
      <c r="F1086" s="353"/>
      <c r="H1086" s="353"/>
      <c r="I1086" s="353"/>
      <c r="J1086" s="57"/>
      <c r="K1086" s="11"/>
      <c r="L1086" s="353"/>
    </row>
    <row r="1087" spans="1:12" hidden="1">
      <c r="A1087" s="353"/>
      <c r="F1087" s="353"/>
      <c r="H1087" s="353"/>
      <c r="I1087" s="353"/>
      <c r="J1087" s="57"/>
      <c r="K1087" s="11"/>
      <c r="L1087" s="353"/>
    </row>
    <row r="1088" spans="1:12" hidden="1">
      <c r="A1088" s="353"/>
      <c r="F1088" s="353"/>
      <c r="H1088" s="353"/>
      <c r="I1088" s="353"/>
      <c r="J1088" s="57"/>
      <c r="K1088" s="11"/>
      <c r="L1088" s="353"/>
    </row>
    <row r="1089" spans="1:12" hidden="1">
      <c r="A1089" s="353"/>
      <c r="F1089" s="353"/>
      <c r="H1089" s="353"/>
      <c r="I1089" s="353"/>
      <c r="J1089" s="57"/>
      <c r="K1089" s="11"/>
      <c r="L1089" s="353"/>
    </row>
    <row r="1090" spans="1:12" hidden="1">
      <c r="A1090" s="353"/>
      <c r="F1090" s="353"/>
      <c r="H1090" s="353"/>
      <c r="I1090" s="353"/>
      <c r="J1090" s="57"/>
      <c r="K1090" s="11"/>
      <c r="L1090" s="353"/>
    </row>
    <row r="1091" spans="1:12" hidden="1">
      <c r="A1091" s="353"/>
      <c r="F1091" s="353"/>
      <c r="H1091" s="353"/>
      <c r="I1091" s="353"/>
      <c r="J1091" s="57"/>
      <c r="K1091" s="11"/>
      <c r="L1091" s="353"/>
    </row>
    <row r="1092" spans="1:12" hidden="1">
      <c r="A1092" s="353"/>
      <c r="F1092" s="353"/>
      <c r="H1092" s="353"/>
      <c r="I1092" s="353"/>
      <c r="J1092" s="57"/>
      <c r="K1092" s="11"/>
      <c r="L1092" s="353"/>
    </row>
    <row r="1093" spans="1:12" hidden="1">
      <c r="A1093" s="353"/>
      <c r="F1093" s="353"/>
      <c r="H1093" s="353"/>
      <c r="I1093" s="353"/>
      <c r="J1093" s="57"/>
      <c r="K1093" s="11"/>
      <c r="L1093" s="353"/>
    </row>
    <row r="1094" spans="1:12" hidden="1">
      <c r="A1094" s="353"/>
      <c r="F1094" s="353"/>
      <c r="H1094" s="353"/>
      <c r="I1094" s="353"/>
      <c r="J1094" s="57"/>
      <c r="K1094" s="11"/>
      <c r="L1094" s="353"/>
    </row>
    <row r="1095" spans="1:12" hidden="1">
      <c r="A1095" s="353"/>
      <c r="F1095" s="353"/>
      <c r="H1095" s="353"/>
      <c r="I1095" s="353"/>
      <c r="J1095" s="57"/>
      <c r="K1095" s="11"/>
      <c r="L1095" s="353"/>
    </row>
    <row r="1096" spans="1:12" hidden="1">
      <c r="A1096" s="353"/>
      <c r="F1096" s="353"/>
      <c r="H1096" s="353"/>
      <c r="I1096" s="353"/>
      <c r="J1096" s="57"/>
      <c r="K1096" s="11"/>
      <c r="L1096" s="353"/>
    </row>
    <row r="1097" spans="1:12" hidden="1">
      <c r="A1097" s="353"/>
      <c r="F1097" s="353"/>
      <c r="H1097" s="353"/>
      <c r="I1097" s="353"/>
      <c r="J1097" s="57"/>
      <c r="K1097" s="11"/>
      <c r="L1097" s="353"/>
    </row>
    <row r="1098" spans="1:12" hidden="1">
      <c r="A1098" s="353"/>
      <c r="F1098" s="353"/>
      <c r="H1098" s="353"/>
      <c r="I1098" s="353"/>
      <c r="J1098" s="57"/>
      <c r="K1098" s="11"/>
      <c r="L1098" s="353"/>
    </row>
    <row r="1099" spans="1:12" hidden="1">
      <c r="A1099" s="353"/>
      <c r="F1099" s="353"/>
      <c r="H1099" s="353"/>
      <c r="I1099" s="353"/>
      <c r="J1099" s="57"/>
      <c r="K1099" s="11"/>
      <c r="L1099" s="353"/>
    </row>
    <row r="1100" spans="1:12" hidden="1">
      <c r="A1100" s="353"/>
      <c r="F1100" s="353"/>
      <c r="H1100" s="353"/>
      <c r="I1100" s="353"/>
      <c r="J1100" s="57"/>
      <c r="K1100" s="11"/>
      <c r="L1100" s="353"/>
    </row>
    <row r="1101" spans="1:12" hidden="1">
      <c r="A1101" s="353"/>
      <c r="F1101" s="353"/>
      <c r="H1101" s="353"/>
      <c r="I1101" s="353"/>
      <c r="J1101" s="57"/>
      <c r="K1101" s="11"/>
      <c r="L1101" s="353"/>
    </row>
    <row r="1102" spans="1:12" hidden="1">
      <c r="A1102" s="353"/>
      <c r="F1102" s="353"/>
      <c r="H1102" s="353"/>
      <c r="I1102" s="353"/>
      <c r="J1102" s="57"/>
      <c r="K1102" s="11"/>
      <c r="L1102" s="353"/>
    </row>
    <row r="1103" spans="1:12" hidden="1">
      <c r="A1103" s="353"/>
      <c r="F1103" s="353"/>
      <c r="H1103" s="353"/>
      <c r="I1103" s="353"/>
      <c r="J1103" s="57"/>
      <c r="K1103" s="11"/>
      <c r="L1103" s="353"/>
    </row>
    <row r="1104" spans="1:12" hidden="1">
      <c r="A1104" s="353"/>
      <c r="F1104" s="353"/>
      <c r="H1104" s="353"/>
      <c r="I1104" s="353"/>
      <c r="J1104" s="57"/>
      <c r="K1104" s="11"/>
      <c r="L1104" s="353"/>
    </row>
    <row r="1105" spans="1:12" hidden="1">
      <c r="A1105" s="353"/>
      <c r="F1105" s="353"/>
      <c r="H1105" s="353"/>
      <c r="I1105" s="353"/>
      <c r="J1105" s="57"/>
      <c r="K1105" s="11"/>
      <c r="L1105" s="353"/>
    </row>
    <row r="1106" spans="1:12" hidden="1">
      <c r="A1106" s="353"/>
      <c r="F1106" s="353"/>
      <c r="H1106" s="353"/>
      <c r="I1106" s="353"/>
      <c r="J1106" s="57"/>
      <c r="K1106" s="11"/>
      <c r="L1106" s="353"/>
    </row>
    <row r="1107" spans="1:12" hidden="1">
      <c r="A1107" s="353"/>
      <c r="F1107" s="353"/>
      <c r="H1107" s="353"/>
      <c r="I1107" s="353"/>
      <c r="J1107" s="57"/>
      <c r="K1107" s="11"/>
      <c r="L1107" s="353"/>
    </row>
    <row r="1108" spans="1:12" hidden="1">
      <c r="A1108" s="353"/>
      <c r="F1108" s="353"/>
      <c r="H1108" s="353"/>
      <c r="I1108" s="353"/>
      <c r="J1108" s="57"/>
      <c r="K1108" s="11"/>
      <c r="L1108" s="353"/>
    </row>
    <row r="1109" spans="1:12" hidden="1">
      <c r="A1109" s="353"/>
      <c r="F1109" s="353"/>
      <c r="H1109" s="353"/>
      <c r="I1109" s="353"/>
      <c r="J1109" s="57"/>
      <c r="K1109" s="11"/>
      <c r="L1109" s="353"/>
    </row>
    <row r="1110" spans="1:12" hidden="1">
      <c r="A1110" s="353"/>
      <c r="F1110" s="353"/>
      <c r="H1110" s="353"/>
      <c r="I1110" s="353"/>
      <c r="J1110" s="57"/>
      <c r="K1110" s="11"/>
      <c r="L1110" s="353"/>
    </row>
    <row r="1111" spans="1:12" hidden="1">
      <c r="A1111" s="353"/>
      <c r="F1111" s="353"/>
      <c r="H1111" s="353"/>
      <c r="I1111" s="353"/>
      <c r="J1111" s="57"/>
      <c r="K1111" s="11"/>
      <c r="L1111" s="353"/>
    </row>
    <row r="1112" spans="1:12" hidden="1">
      <c r="A1112" s="353"/>
      <c r="F1112" s="353"/>
      <c r="H1112" s="353"/>
      <c r="I1112" s="353"/>
      <c r="J1112" s="57"/>
      <c r="K1112" s="11"/>
      <c r="L1112" s="353"/>
    </row>
    <row r="1113" spans="1:12" hidden="1">
      <c r="A1113" s="353"/>
      <c r="F1113" s="353"/>
      <c r="H1113" s="353"/>
      <c r="I1113" s="353"/>
      <c r="J1113" s="57"/>
      <c r="K1113" s="11"/>
      <c r="L1113" s="353"/>
    </row>
    <row r="1114" spans="1:12" hidden="1">
      <c r="A1114" s="353"/>
      <c r="F1114" s="353"/>
      <c r="H1114" s="353"/>
      <c r="I1114" s="353"/>
      <c r="J1114" s="57"/>
      <c r="K1114" s="11"/>
      <c r="L1114" s="353"/>
    </row>
    <row r="1115" spans="1:12" hidden="1">
      <c r="A1115" s="353"/>
      <c r="F1115" s="353"/>
      <c r="H1115" s="353"/>
      <c r="I1115" s="353"/>
      <c r="J1115" s="57"/>
      <c r="K1115" s="11"/>
      <c r="L1115" s="353"/>
    </row>
    <row r="1116" spans="1:12" hidden="1">
      <c r="A1116" s="353"/>
      <c r="F1116" s="353"/>
      <c r="H1116" s="353"/>
      <c r="I1116" s="353"/>
      <c r="J1116" s="57"/>
      <c r="K1116" s="11"/>
      <c r="L1116" s="353"/>
    </row>
    <row r="1117" spans="1:12" hidden="1">
      <c r="A1117" s="353"/>
      <c r="F1117" s="353"/>
      <c r="H1117" s="353"/>
      <c r="I1117" s="353"/>
      <c r="J1117" s="57"/>
      <c r="K1117" s="11"/>
      <c r="L1117" s="353"/>
    </row>
    <row r="1118" spans="1:12" hidden="1">
      <c r="A1118" s="353"/>
      <c r="F1118" s="353"/>
      <c r="H1118" s="353"/>
      <c r="I1118" s="353"/>
      <c r="J1118" s="57"/>
      <c r="K1118" s="11"/>
      <c r="L1118" s="353"/>
    </row>
    <row r="1119" spans="1:12" hidden="1">
      <c r="A1119" s="353"/>
      <c r="F1119" s="353"/>
      <c r="H1119" s="353"/>
      <c r="I1119" s="353"/>
      <c r="J1119" s="57"/>
      <c r="K1119" s="11"/>
      <c r="L1119" s="353"/>
    </row>
    <row r="1120" spans="1:12" hidden="1">
      <c r="A1120" s="353"/>
      <c r="F1120" s="353"/>
      <c r="H1120" s="353"/>
      <c r="I1120" s="353"/>
      <c r="J1120" s="57"/>
      <c r="K1120" s="11"/>
      <c r="L1120" s="353"/>
    </row>
    <row r="1121" spans="1:12" hidden="1">
      <c r="A1121" s="353"/>
      <c r="F1121" s="353"/>
      <c r="H1121" s="353"/>
      <c r="I1121" s="353"/>
      <c r="J1121" s="57"/>
      <c r="K1121" s="11"/>
      <c r="L1121" s="353"/>
    </row>
    <row r="1122" spans="1:12" hidden="1">
      <c r="A1122" s="353"/>
      <c r="F1122" s="353"/>
      <c r="H1122" s="353"/>
      <c r="I1122" s="353"/>
      <c r="J1122" s="57"/>
      <c r="K1122" s="11"/>
      <c r="L1122" s="353"/>
    </row>
    <row r="1123" spans="1:12" hidden="1">
      <c r="A1123" s="353"/>
      <c r="F1123" s="353"/>
      <c r="H1123" s="353"/>
      <c r="I1123" s="353"/>
      <c r="J1123" s="57"/>
      <c r="K1123" s="11"/>
      <c r="L1123" s="353"/>
    </row>
    <row r="1124" spans="1:12" hidden="1">
      <c r="A1124" s="353"/>
      <c r="F1124" s="353"/>
      <c r="H1124" s="353"/>
      <c r="I1124" s="353"/>
      <c r="J1124" s="57"/>
      <c r="K1124" s="11"/>
      <c r="L1124" s="353"/>
    </row>
    <row r="1125" spans="1:12" hidden="1">
      <c r="A1125" s="353"/>
      <c r="F1125" s="353"/>
      <c r="H1125" s="353"/>
      <c r="I1125" s="353"/>
      <c r="J1125" s="57"/>
      <c r="K1125" s="11"/>
      <c r="L1125" s="353"/>
    </row>
    <row r="1126" spans="1:12" hidden="1">
      <c r="A1126" s="353"/>
      <c r="F1126" s="353"/>
      <c r="H1126" s="353"/>
      <c r="I1126" s="353"/>
      <c r="J1126" s="57"/>
      <c r="K1126" s="11"/>
      <c r="L1126" s="353"/>
    </row>
    <row r="1127" spans="1:12" hidden="1">
      <c r="A1127" s="353"/>
      <c r="F1127" s="353"/>
      <c r="H1127" s="353"/>
      <c r="I1127" s="353"/>
      <c r="J1127" s="57"/>
      <c r="K1127" s="11"/>
      <c r="L1127" s="353"/>
    </row>
    <row r="1128" spans="1:12" hidden="1">
      <c r="A1128" s="353"/>
      <c r="F1128" s="353"/>
      <c r="H1128" s="353"/>
      <c r="I1128" s="353"/>
      <c r="J1128" s="57"/>
      <c r="K1128" s="11"/>
      <c r="L1128" s="353"/>
    </row>
    <row r="1129" spans="1:12" hidden="1">
      <c r="A1129" s="353"/>
      <c r="F1129" s="353"/>
      <c r="H1129" s="353"/>
      <c r="I1129" s="353"/>
      <c r="J1129" s="57"/>
      <c r="K1129" s="11"/>
      <c r="L1129" s="353"/>
    </row>
    <row r="1130" spans="1:12" hidden="1">
      <c r="A1130" s="353"/>
      <c r="F1130" s="353"/>
      <c r="H1130" s="353"/>
      <c r="I1130" s="353"/>
      <c r="J1130" s="57"/>
      <c r="K1130" s="11"/>
      <c r="L1130" s="353"/>
    </row>
    <row r="1131" spans="1:12" hidden="1">
      <c r="A1131" s="353"/>
      <c r="F1131" s="353"/>
      <c r="H1131" s="353"/>
      <c r="I1131" s="353"/>
      <c r="J1131" s="57"/>
      <c r="K1131" s="11"/>
      <c r="L1131" s="353"/>
    </row>
    <row r="1132" spans="1:12" hidden="1">
      <c r="A1132" s="353"/>
      <c r="F1132" s="353"/>
      <c r="H1132" s="353"/>
      <c r="I1132" s="353"/>
      <c r="J1132" s="57"/>
      <c r="K1132" s="11"/>
      <c r="L1132" s="353"/>
    </row>
    <row r="1133" spans="1:12" hidden="1">
      <c r="A1133" s="353"/>
      <c r="F1133" s="353"/>
      <c r="H1133" s="353"/>
      <c r="I1133" s="353"/>
      <c r="J1133" s="57"/>
      <c r="K1133" s="11"/>
      <c r="L1133" s="353"/>
    </row>
    <row r="1134" spans="1:12" hidden="1">
      <c r="A1134" s="353"/>
      <c r="F1134" s="353"/>
      <c r="H1134" s="353"/>
      <c r="I1134" s="353"/>
      <c r="J1134" s="57"/>
      <c r="K1134" s="11"/>
      <c r="L1134" s="353"/>
    </row>
    <row r="1135" spans="1:12" hidden="1">
      <c r="A1135" s="353"/>
      <c r="F1135" s="353"/>
      <c r="H1135" s="353"/>
      <c r="I1135" s="353"/>
      <c r="J1135" s="57"/>
      <c r="K1135" s="11"/>
      <c r="L1135" s="353"/>
    </row>
    <row r="1136" spans="1:12" hidden="1">
      <c r="A1136" s="353"/>
      <c r="F1136" s="353"/>
      <c r="H1136" s="353"/>
      <c r="I1136" s="353"/>
      <c r="J1136" s="57"/>
      <c r="K1136" s="11"/>
      <c r="L1136" s="353"/>
    </row>
    <row r="1137" spans="1:12" hidden="1">
      <c r="A1137" s="353"/>
      <c r="F1137" s="353"/>
      <c r="H1137" s="353"/>
      <c r="I1137" s="353"/>
      <c r="J1137" s="57"/>
      <c r="K1137" s="11"/>
      <c r="L1137" s="353"/>
    </row>
    <row r="1138" spans="1:12" hidden="1">
      <c r="A1138" s="353"/>
      <c r="F1138" s="353"/>
      <c r="H1138" s="353"/>
      <c r="I1138" s="353"/>
      <c r="J1138" s="57"/>
      <c r="K1138" s="11"/>
      <c r="L1138" s="353"/>
    </row>
    <row r="1139" spans="1:12" hidden="1">
      <c r="A1139" s="353"/>
      <c r="F1139" s="353"/>
      <c r="H1139" s="353"/>
      <c r="I1139" s="353"/>
      <c r="J1139" s="57"/>
      <c r="K1139" s="11"/>
      <c r="L1139" s="353"/>
    </row>
    <row r="1140" spans="1:12" hidden="1">
      <c r="A1140" s="353"/>
      <c r="F1140" s="353"/>
      <c r="H1140" s="353"/>
      <c r="I1140" s="353"/>
      <c r="J1140" s="57"/>
      <c r="K1140" s="11"/>
      <c r="L1140" s="353"/>
    </row>
    <row r="1141" spans="1:12" hidden="1">
      <c r="A1141" s="353"/>
      <c r="F1141" s="353"/>
      <c r="H1141" s="353"/>
      <c r="I1141" s="353"/>
      <c r="J1141" s="57"/>
      <c r="K1141" s="11"/>
      <c r="L1141" s="353"/>
    </row>
    <row r="1142" spans="1:12" hidden="1">
      <c r="A1142" s="353"/>
      <c r="F1142" s="353"/>
      <c r="H1142" s="353"/>
      <c r="I1142" s="353"/>
      <c r="J1142" s="57"/>
      <c r="K1142" s="11"/>
      <c r="L1142" s="353"/>
    </row>
    <row r="1143" spans="1:12" hidden="1">
      <c r="A1143" s="353"/>
      <c r="F1143" s="353"/>
      <c r="H1143" s="353"/>
      <c r="I1143" s="353"/>
      <c r="J1143" s="57"/>
      <c r="K1143" s="11"/>
      <c r="L1143" s="353"/>
    </row>
    <row r="1144" spans="1:12" hidden="1">
      <c r="A1144" s="353"/>
      <c r="F1144" s="353"/>
      <c r="H1144" s="353"/>
      <c r="I1144" s="353"/>
      <c r="J1144" s="57"/>
      <c r="K1144" s="11"/>
      <c r="L1144" s="353"/>
    </row>
    <row r="1145" spans="1:12" hidden="1">
      <c r="A1145" s="353"/>
      <c r="F1145" s="353"/>
      <c r="H1145" s="353"/>
      <c r="I1145" s="353"/>
      <c r="J1145" s="57"/>
      <c r="K1145" s="11"/>
      <c r="L1145" s="353"/>
    </row>
    <row r="1146" spans="1:12" hidden="1">
      <c r="A1146" s="353"/>
      <c r="F1146" s="353"/>
      <c r="H1146" s="353"/>
      <c r="I1146" s="353"/>
      <c r="J1146" s="57"/>
      <c r="K1146" s="11"/>
      <c r="L1146" s="353"/>
    </row>
    <row r="1147" spans="1:12" hidden="1">
      <c r="A1147" s="353"/>
      <c r="F1147" s="353"/>
      <c r="H1147" s="353"/>
      <c r="I1147" s="353"/>
      <c r="J1147" s="57"/>
      <c r="K1147" s="11"/>
      <c r="L1147" s="353"/>
    </row>
    <row r="1148" spans="1:12" hidden="1">
      <c r="A1148" s="353"/>
      <c r="F1148" s="353"/>
      <c r="H1148" s="353"/>
      <c r="I1148" s="353"/>
      <c r="J1148" s="57"/>
      <c r="K1148" s="11"/>
      <c r="L1148" s="353"/>
    </row>
    <row r="1149" spans="1:12" hidden="1">
      <c r="A1149" s="353"/>
      <c r="F1149" s="353"/>
      <c r="H1149" s="353"/>
      <c r="I1149" s="353"/>
      <c r="J1149" s="57"/>
      <c r="K1149" s="11"/>
      <c r="L1149" s="353"/>
    </row>
    <row r="1150" spans="1:12" hidden="1">
      <c r="A1150" s="353"/>
      <c r="F1150" s="353"/>
      <c r="H1150" s="353"/>
      <c r="I1150" s="353"/>
      <c r="J1150" s="57"/>
      <c r="K1150" s="11"/>
      <c r="L1150" s="353"/>
    </row>
    <row r="1151" spans="1:12" hidden="1">
      <c r="A1151" s="353"/>
      <c r="F1151" s="353"/>
      <c r="H1151" s="353"/>
      <c r="I1151" s="353"/>
      <c r="J1151" s="57"/>
      <c r="K1151" s="11"/>
      <c r="L1151" s="353"/>
    </row>
    <row r="1152" spans="1:12" hidden="1">
      <c r="A1152" s="353"/>
      <c r="F1152" s="353"/>
      <c r="H1152" s="353"/>
      <c r="I1152" s="353"/>
      <c r="J1152" s="57"/>
      <c r="K1152" s="11"/>
      <c r="L1152" s="353"/>
    </row>
    <row r="1153" spans="1:12" hidden="1">
      <c r="A1153" s="353"/>
      <c r="F1153" s="353"/>
      <c r="H1153" s="353"/>
      <c r="I1153" s="353"/>
      <c r="J1153" s="57"/>
      <c r="K1153" s="11"/>
      <c r="L1153" s="353"/>
    </row>
    <row r="1154" spans="1:12" hidden="1">
      <c r="A1154" s="353"/>
      <c r="F1154" s="353"/>
      <c r="H1154" s="353"/>
      <c r="I1154" s="353"/>
      <c r="J1154" s="57"/>
      <c r="K1154" s="11"/>
      <c r="L1154" s="353"/>
    </row>
    <row r="1155" spans="1:12" hidden="1">
      <c r="A1155" s="353"/>
      <c r="F1155" s="353"/>
      <c r="H1155" s="353"/>
      <c r="I1155" s="353"/>
      <c r="J1155" s="57"/>
      <c r="K1155" s="11"/>
      <c r="L1155" s="353"/>
    </row>
    <row r="1156" spans="1:12" hidden="1">
      <c r="A1156" s="353"/>
      <c r="F1156" s="353"/>
      <c r="H1156" s="353"/>
      <c r="I1156" s="353"/>
      <c r="J1156" s="57"/>
      <c r="K1156" s="11"/>
      <c r="L1156" s="353"/>
    </row>
    <row r="1157" spans="1:12" hidden="1">
      <c r="A1157" s="353"/>
      <c r="F1157" s="353"/>
      <c r="H1157" s="353"/>
      <c r="I1157" s="353"/>
      <c r="J1157" s="57"/>
      <c r="K1157" s="11"/>
      <c r="L1157" s="353"/>
    </row>
    <row r="1158" spans="1:12" hidden="1">
      <c r="A1158" s="353"/>
      <c r="F1158" s="353"/>
      <c r="H1158" s="353"/>
      <c r="I1158" s="353"/>
      <c r="J1158" s="57"/>
      <c r="K1158" s="11"/>
      <c r="L1158" s="353"/>
    </row>
    <row r="1159" spans="1:12" hidden="1">
      <c r="A1159" s="353"/>
      <c r="F1159" s="353"/>
      <c r="H1159" s="353"/>
      <c r="I1159" s="353"/>
      <c r="J1159" s="57"/>
      <c r="K1159" s="11"/>
      <c r="L1159" s="353"/>
    </row>
    <row r="1160" spans="1:12" hidden="1">
      <c r="A1160" s="353"/>
      <c r="F1160" s="353"/>
      <c r="H1160" s="353"/>
      <c r="I1160" s="353"/>
      <c r="J1160" s="57"/>
      <c r="K1160" s="11"/>
      <c r="L1160" s="353"/>
    </row>
    <row r="1161" spans="1:12" hidden="1">
      <c r="A1161" s="353"/>
      <c r="F1161" s="353"/>
      <c r="H1161" s="353"/>
      <c r="I1161" s="353"/>
      <c r="J1161" s="57"/>
      <c r="K1161" s="11"/>
      <c r="L1161" s="353"/>
    </row>
    <row r="1162" spans="1:12" hidden="1">
      <c r="A1162" s="353"/>
      <c r="F1162" s="353"/>
      <c r="H1162" s="353"/>
      <c r="I1162" s="353"/>
      <c r="J1162" s="57"/>
      <c r="K1162" s="11"/>
      <c r="L1162" s="353"/>
    </row>
    <row r="1163" spans="1:12" hidden="1">
      <c r="A1163" s="353"/>
      <c r="F1163" s="353"/>
      <c r="H1163" s="353"/>
      <c r="I1163" s="353"/>
      <c r="J1163" s="57"/>
      <c r="K1163" s="11"/>
      <c r="L1163" s="353"/>
    </row>
    <row r="1164" spans="1:12" hidden="1">
      <c r="A1164" s="353"/>
      <c r="F1164" s="353"/>
      <c r="H1164" s="353"/>
      <c r="I1164" s="353"/>
      <c r="J1164" s="57"/>
      <c r="K1164" s="11"/>
      <c r="L1164" s="353"/>
    </row>
    <row r="1165" spans="1:12" hidden="1">
      <c r="A1165" s="353"/>
      <c r="F1165" s="353"/>
      <c r="H1165" s="353"/>
      <c r="I1165" s="353"/>
      <c r="J1165" s="57"/>
      <c r="K1165" s="11"/>
      <c r="L1165" s="353"/>
    </row>
    <row r="1166" spans="1:12" hidden="1">
      <c r="A1166" s="353"/>
      <c r="F1166" s="353"/>
      <c r="H1166" s="353"/>
      <c r="I1166" s="353"/>
      <c r="J1166" s="57"/>
      <c r="K1166" s="11"/>
      <c r="L1166" s="353"/>
    </row>
    <row r="1167" spans="1:12" hidden="1">
      <c r="A1167" s="353"/>
      <c r="F1167" s="353"/>
      <c r="H1167" s="353"/>
      <c r="I1167" s="353"/>
      <c r="J1167" s="57"/>
      <c r="K1167" s="11"/>
      <c r="L1167" s="353"/>
    </row>
    <row r="1168" spans="1:12" hidden="1">
      <c r="A1168" s="353"/>
      <c r="F1168" s="353"/>
      <c r="H1168" s="353"/>
      <c r="I1168" s="353"/>
      <c r="J1168" s="57"/>
      <c r="K1168" s="11"/>
      <c r="L1168" s="353"/>
    </row>
    <row r="1169" spans="1:12" hidden="1">
      <c r="A1169" s="353"/>
      <c r="F1169" s="353"/>
      <c r="H1169" s="353"/>
      <c r="I1169" s="353"/>
      <c r="J1169" s="57"/>
      <c r="K1169" s="11"/>
      <c r="L1169" s="353"/>
    </row>
    <row r="1170" spans="1:12" hidden="1">
      <c r="A1170" s="353"/>
      <c r="F1170" s="353"/>
      <c r="H1170" s="353"/>
      <c r="I1170" s="353"/>
      <c r="J1170" s="57"/>
      <c r="K1170" s="11"/>
      <c r="L1170" s="353"/>
    </row>
    <row r="1171" spans="1:12" hidden="1">
      <c r="A1171" s="353"/>
      <c r="F1171" s="353"/>
      <c r="H1171" s="353"/>
      <c r="I1171" s="353"/>
      <c r="J1171" s="57"/>
      <c r="K1171" s="11"/>
      <c r="L1171" s="353"/>
    </row>
    <row r="1172" spans="1:12" hidden="1">
      <c r="A1172" s="353"/>
      <c r="F1172" s="353"/>
      <c r="H1172" s="353"/>
      <c r="I1172" s="353"/>
      <c r="J1172" s="57"/>
      <c r="K1172" s="11"/>
      <c r="L1172" s="353"/>
    </row>
    <row r="1173" spans="1:12" hidden="1">
      <c r="A1173" s="353"/>
      <c r="F1173" s="353"/>
      <c r="H1173" s="353"/>
      <c r="I1173" s="353"/>
      <c r="J1173" s="57"/>
      <c r="K1173" s="11"/>
      <c r="L1173" s="353"/>
    </row>
    <row r="1174" spans="1:12" hidden="1">
      <c r="A1174" s="353"/>
      <c r="F1174" s="353"/>
      <c r="H1174" s="353"/>
      <c r="I1174" s="353"/>
      <c r="J1174" s="57"/>
      <c r="K1174" s="11"/>
      <c r="L1174" s="353"/>
    </row>
    <row r="1175" spans="1:12" hidden="1">
      <c r="A1175" s="353"/>
      <c r="F1175" s="353"/>
      <c r="H1175" s="353"/>
      <c r="I1175" s="353"/>
      <c r="J1175" s="57"/>
      <c r="K1175" s="11"/>
      <c r="L1175" s="353"/>
    </row>
    <row r="1176" spans="1:12" hidden="1">
      <c r="A1176" s="353"/>
      <c r="F1176" s="353"/>
      <c r="H1176" s="353"/>
      <c r="I1176" s="353"/>
      <c r="J1176" s="57"/>
      <c r="K1176" s="11"/>
      <c r="L1176" s="353"/>
    </row>
    <row r="1177" spans="1:12" hidden="1">
      <c r="A1177" s="353"/>
      <c r="F1177" s="353"/>
      <c r="H1177" s="353"/>
      <c r="I1177" s="353"/>
      <c r="J1177" s="57"/>
      <c r="K1177" s="11"/>
      <c r="L1177" s="353"/>
    </row>
    <row r="1178" spans="1:12" hidden="1">
      <c r="A1178" s="353"/>
      <c r="F1178" s="353"/>
      <c r="H1178" s="353"/>
      <c r="I1178" s="353"/>
      <c r="J1178" s="57"/>
      <c r="K1178" s="11"/>
      <c r="L1178" s="353"/>
    </row>
    <row r="1179" spans="1:12" hidden="1">
      <c r="A1179" s="353"/>
      <c r="F1179" s="353"/>
      <c r="H1179" s="353"/>
      <c r="I1179" s="353"/>
      <c r="J1179" s="57"/>
      <c r="K1179" s="11"/>
      <c r="L1179" s="353"/>
    </row>
    <row r="1180" spans="1:12" hidden="1">
      <c r="A1180" s="353"/>
      <c r="F1180" s="353"/>
      <c r="H1180" s="353"/>
      <c r="I1180" s="353"/>
      <c r="J1180" s="57"/>
      <c r="K1180" s="11"/>
      <c r="L1180" s="353"/>
    </row>
    <row r="1181" spans="1:12" hidden="1">
      <c r="A1181" s="353"/>
      <c r="F1181" s="353"/>
      <c r="H1181" s="353"/>
      <c r="I1181" s="353"/>
      <c r="J1181" s="57"/>
      <c r="K1181" s="11"/>
      <c r="L1181" s="353"/>
    </row>
    <row r="1182" spans="1:12" hidden="1">
      <c r="A1182" s="353"/>
      <c r="F1182" s="353"/>
      <c r="H1182" s="353"/>
      <c r="I1182" s="353"/>
      <c r="J1182" s="57"/>
      <c r="K1182" s="11"/>
      <c r="L1182" s="353"/>
    </row>
    <row r="1183" spans="1:12" hidden="1">
      <c r="A1183" s="353"/>
      <c r="F1183" s="353"/>
      <c r="H1183" s="353"/>
      <c r="I1183" s="353"/>
      <c r="J1183" s="57"/>
      <c r="K1183" s="11"/>
      <c r="L1183" s="353"/>
    </row>
    <row r="1184" spans="1:12" hidden="1">
      <c r="A1184" s="353"/>
      <c r="F1184" s="353"/>
      <c r="H1184" s="353"/>
      <c r="I1184" s="353"/>
      <c r="J1184" s="57"/>
      <c r="K1184" s="11"/>
      <c r="L1184" s="353"/>
    </row>
    <row r="1185" spans="1:12" hidden="1">
      <c r="A1185" s="353"/>
      <c r="F1185" s="353"/>
      <c r="H1185" s="353"/>
      <c r="I1185" s="353"/>
      <c r="J1185" s="57"/>
      <c r="K1185" s="11"/>
      <c r="L1185" s="353"/>
    </row>
    <row r="1186" spans="1:12" hidden="1">
      <c r="A1186" s="353"/>
      <c r="F1186" s="353"/>
      <c r="H1186" s="353"/>
      <c r="I1186" s="353"/>
      <c r="J1186" s="57"/>
      <c r="K1186" s="11"/>
      <c r="L1186" s="353"/>
    </row>
    <row r="1187" spans="1:12" hidden="1">
      <c r="A1187" s="353"/>
      <c r="F1187" s="353"/>
      <c r="H1187" s="353"/>
      <c r="I1187" s="353"/>
      <c r="J1187" s="57"/>
      <c r="K1187" s="11"/>
      <c r="L1187" s="353"/>
    </row>
    <row r="1188" spans="1:12" hidden="1">
      <c r="A1188" s="353"/>
      <c r="F1188" s="353"/>
      <c r="H1188" s="353"/>
      <c r="I1188" s="353"/>
      <c r="J1188" s="57"/>
      <c r="K1188" s="11"/>
      <c r="L1188" s="353"/>
    </row>
    <row r="1189" spans="1:12" hidden="1">
      <c r="A1189" s="353"/>
      <c r="F1189" s="353"/>
      <c r="H1189" s="353"/>
      <c r="I1189" s="353"/>
      <c r="J1189" s="57"/>
      <c r="K1189" s="11"/>
      <c r="L1189" s="353"/>
    </row>
    <row r="1190" spans="1:12" hidden="1">
      <c r="A1190" s="353"/>
      <c r="F1190" s="353"/>
      <c r="H1190" s="353"/>
      <c r="I1190" s="353"/>
      <c r="J1190" s="57"/>
      <c r="K1190" s="11"/>
      <c r="L1190" s="353"/>
    </row>
    <row r="1191" spans="1:12" hidden="1">
      <c r="A1191" s="353"/>
      <c r="F1191" s="353"/>
      <c r="H1191" s="353"/>
      <c r="I1191" s="353"/>
      <c r="J1191" s="57"/>
      <c r="K1191" s="11"/>
      <c r="L1191" s="353"/>
    </row>
    <row r="1192" spans="1:12" hidden="1">
      <c r="A1192" s="353"/>
      <c r="F1192" s="353"/>
      <c r="H1192" s="353"/>
      <c r="I1192" s="353"/>
      <c r="J1192" s="57"/>
      <c r="K1192" s="11"/>
      <c r="L1192" s="353"/>
    </row>
    <row r="1193" spans="1:12" hidden="1">
      <c r="A1193" s="353"/>
      <c r="F1193" s="353"/>
      <c r="H1193" s="353"/>
      <c r="I1193" s="353"/>
      <c r="J1193" s="57"/>
      <c r="K1193" s="11"/>
      <c r="L1193" s="353"/>
    </row>
    <row r="1194" spans="1:12" hidden="1">
      <c r="A1194" s="353"/>
      <c r="F1194" s="353"/>
      <c r="H1194" s="353"/>
      <c r="I1194" s="353"/>
      <c r="J1194" s="57"/>
      <c r="K1194" s="11"/>
      <c r="L1194" s="353"/>
    </row>
    <row r="1195" spans="1:12" hidden="1">
      <c r="A1195" s="353"/>
      <c r="F1195" s="353"/>
      <c r="H1195" s="353"/>
      <c r="I1195" s="353"/>
      <c r="J1195" s="57"/>
      <c r="K1195" s="11"/>
      <c r="L1195" s="353"/>
    </row>
    <row r="1196" spans="1:12" hidden="1">
      <c r="A1196" s="353"/>
      <c r="F1196" s="353"/>
      <c r="H1196" s="353"/>
      <c r="I1196" s="353"/>
      <c r="J1196" s="57"/>
      <c r="K1196" s="11"/>
      <c r="L1196" s="353"/>
    </row>
    <row r="1197" spans="1:12" hidden="1">
      <c r="A1197" s="353"/>
      <c r="F1197" s="353"/>
      <c r="H1197" s="353"/>
      <c r="I1197" s="353"/>
      <c r="J1197" s="57"/>
      <c r="K1197" s="11"/>
      <c r="L1197" s="353"/>
    </row>
    <row r="1198" spans="1:12" hidden="1">
      <c r="A1198" s="353"/>
      <c r="F1198" s="353"/>
      <c r="H1198" s="353"/>
      <c r="I1198" s="353"/>
      <c r="J1198" s="57"/>
      <c r="K1198" s="11"/>
      <c r="L1198" s="353"/>
    </row>
    <row r="1199" spans="1:12" hidden="1">
      <c r="A1199" s="353"/>
      <c r="F1199" s="353"/>
      <c r="H1199" s="353"/>
      <c r="I1199" s="353"/>
      <c r="J1199" s="57"/>
      <c r="K1199" s="11"/>
      <c r="L1199" s="353"/>
    </row>
    <row r="1200" spans="1:12" hidden="1">
      <c r="A1200" s="353"/>
      <c r="F1200" s="353"/>
      <c r="H1200" s="353"/>
      <c r="I1200" s="353"/>
      <c r="J1200" s="57"/>
      <c r="K1200" s="11"/>
      <c r="L1200" s="353"/>
    </row>
    <row r="1201" spans="1:12" hidden="1">
      <c r="A1201" s="353"/>
      <c r="F1201" s="353"/>
      <c r="H1201" s="353"/>
      <c r="I1201" s="353"/>
      <c r="J1201" s="57"/>
      <c r="K1201" s="11"/>
      <c r="L1201" s="353"/>
    </row>
    <row r="1202" spans="1:12" hidden="1">
      <c r="A1202" s="353"/>
      <c r="F1202" s="353"/>
      <c r="H1202" s="353"/>
      <c r="I1202" s="353"/>
      <c r="J1202" s="57"/>
      <c r="K1202" s="11"/>
      <c r="L1202" s="353"/>
    </row>
    <row r="1203" spans="1:12" hidden="1">
      <c r="A1203" s="353"/>
      <c r="F1203" s="353"/>
      <c r="H1203" s="353"/>
      <c r="I1203" s="353"/>
      <c r="J1203" s="57"/>
      <c r="K1203" s="11"/>
      <c r="L1203" s="353"/>
    </row>
    <row r="1204" spans="1:12" hidden="1">
      <c r="A1204" s="353"/>
      <c r="F1204" s="353"/>
      <c r="H1204" s="353"/>
      <c r="I1204" s="353"/>
      <c r="J1204" s="57"/>
      <c r="K1204" s="11"/>
      <c r="L1204" s="353"/>
    </row>
    <row r="1205" spans="1:12" hidden="1">
      <c r="A1205" s="353"/>
      <c r="F1205" s="353"/>
      <c r="H1205" s="353"/>
      <c r="I1205" s="353"/>
      <c r="J1205" s="57"/>
      <c r="K1205" s="11"/>
      <c r="L1205" s="353"/>
    </row>
    <row r="1206" spans="1:12" hidden="1">
      <c r="A1206" s="353"/>
      <c r="F1206" s="353"/>
      <c r="H1206" s="353"/>
      <c r="I1206" s="353"/>
      <c r="J1206" s="57"/>
      <c r="K1206" s="11"/>
      <c r="L1206" s="353"/>
    </row>
    <row r="1207" spans="1:12" hidden="1">
      <c r="A1207" s="353"/>
      <c r="F1207" s="353"/>
      <c r="H1207" s="353"/>
      <c r="I1207" s="353"/>
      <c r="J1207" s="57"/>
      <c r="K1207" s="11"/>
      <c r="L1207" s="353"/>
    </row>
    <row r="1208" spans="1:12" hidden="1">
      <c r="A1208" s="353"/>
      <c r="F1208" s="353"/>
      <c r="H1208" s="353"/>
      <c r="I1208" s="353"/>
      <c r="J1208" s="57"/>
      <c r="K1208" s="11"/>
      <c r="L1208" s="353"/>
    </row>
    <row r="1209" spans="1:12" hidden="1">
      <c r="A1209" s="353"/>
      <c r="F1209" s="353"/>
      <c r="H1209" s="353"/>
      <c r="I1209" s="353"/>
      <c r="J1209" s="57"/>
      <c r="K1209" s="11"/>
      <c r="L1209" s="353"/>
    </row>
    <row r="1210" spans="1:12" hidden="1">
      <c r="A1210" s="353"/>
      <c r="F1210" s="353"/>
      <c r="H1210" s="353"/>
      <c r="I1210" s="353"/>
      <c r="J1210" s="57"/>
      <c r="K1210" s="11"/>
      <c r="L1210" s="353"/>
    </row>
    <row r="1211" spans="1:12" hidden="1">
      <c r="A1211" s="353"/>
      <c r="F1211" s="353"/>
      <c r="H1211" s="353"/>
      <c r="I1211" s="353"/>
      <c r="J1211" s="57"/>
      <c r="K1211" s="11"/>
      <c r="L1211" s="353"/>
    </row>
    <row r="1212" spans="1:12" hidden="1">
      <c r="A1212" s="353"/>
      <c r="F1212" s="353"/>
      <c r="H1212" s="353"/>
      <c r="I1212" s="353"/>
      <c r="J1212" s="57"/>
      <c r="K1212" s="11"/>
      <c r="L1212" s="353"/>
    </row>
    <row r="1213" spans="1:12" hidden="1">
      <c r="A1213" s="353"/>
      <c r="F1213" s="353"/>
      <c r="H1213" s="353"/>
      <c r="I1213" s="353"/>
      <c r="J1213" s="57"/>
      <c r="K1213" s="11"/>
      <c r="L1213" s="353"/>
    </row>
    <row r="1214" spans="1:12" hidden="1">
      <c r="A1214" s="353"/>
      <c r="F1214" s="353"/>
      <c r="H1214" s="353"/>
      <c r="I1214" s="353"/>
      <c r="J1214" s="57"/>
      <c r="K1214" s="11"/>
      <c r="L1214" s="353"/>
    </row>
    <row r="1215" spans="1:12" hidden="1">
      <c r="A1215" s="353"/>
      <c r="F1215" s="353"/>
      <c r="H1215" s="353"/>
      <c r="I1215" s="353"/>
      <c r="J1215" s="57"/>
      <c r="K1215" s="11"/>
      <c r="L1215" s="353"/>
    </row>
    <row r="1216" spans="1:12" hidden="1">
      <c r="A1216" s="353"/>
      <c r="F1216" s="353"/>
      <c r="H1216" s="353"/>
      <c r="I1216" s="353"/>
      <c r="J1216" s="57"/>
      <c r="K1216" s="11"/>
      <c r="L1216" s="353"/>
    </row>
    <row r="1217" spans="1:12" hidden="1">
      <c r="A1217" s="353"/>
      <c r="F1217" s="353"/>
      <c r="H1217" s="353"/>
      <c r="I1217" s="353"/>
      <c r="J1217" s="57"/>
      <c r="K1217" s="11"/>
      <c r="L1217" s="353"/>
    </row>
    <row r="1218" spans="1:12" hidden="1">
      <c r="A1218" s="353"/>
      <c r="F1218" s="353"/>
      <c r="H1218" s="353"/>
      <c r="I1218" s="353"/>
      <c r="J1218" s="57"/>
      <c r="K1218" s="11"/>
      <c r="L1218" s="353"/>
    </row>
    <row r="1219" spans="1:12" hidden="1">
      <c r="A1219" s="353"/>
      <c r="F1219" s="353"/>
      <c r="H1219" s="353"/>
      <c r="I1219" s="353"/>
      <c r="J1219" s="57"/>
      <c r="K1219" s="11"/>
      <c r="L1219" s="353"/>
    </row>
    <row r="1220" spans="1:12" hidden="1">
      <c r="A1220" s="353"/>
      <c r="F1220" s="353"/>
      <c r="H1220" s="353"/>
      <c r="I1220" s="353"/>
      <c r="J1220" s="57"/>
      <c r="K1220" s="11"/>
      <c r="L1220" s="353"/>
    </row>
    <row r="1221" spans="1:12" hidden="1">
      <c r="A1221" s="353"/>
      <c r="F1221" s="353"/>
      <c r="H1221" s="353"/>
      <c r="I1221" s="353"/>
      <c r="J1221" s="57"/>
      <c r="K1221" s="11"/>
      <c r="L1221" s="353"/>
    </row>
    <row r="1222" spans="1:12" hidden="1">
      <c r="A1222" s="353"/>
      <c r="F1222" s="353"/>
      <c r="H1222" s="353"/>
      <c r="I1222" s="353"/>
      <c r="J1222" s="57"/>
      <c r="K1222" s="11"/>
      <c r="L1222" s="353"/>
    </row>
    <row r="1223" spans="1:12" hidden="1">
      <c r="A1223" s="353"/>
      <c r="F1223" s="353"/>
      <c r="H1223" s="353"/>
      <c r="I1223" s="353"/>
      <c r="J1223" s="57"/>
      <c r="K1223" s="11"/>
      <c r="L1223" s="353"/>
    </row>
    <row r="1224" spans="1:12" hidden="1">
      <c r="A1224" s="353"/>
      <c r="F1224" s="353"/>
      <c r="H1224" s="353"/>
      <c r="I1224" s="353"/>
      <c r="J1224" s="57"/>
      <c r="K1224" s="11"/>
      <c r="L1224" s="353"/>
    </row>
    <row r="1225" spans="1:12" hidden="1">
      <c r="A1225" s="353"/>
      <c r="F1225" s="353"/>
      <c r="H1225" s="353"/>
      <c r="I1225" s="353"/>
      <c r="J1225" s="57"/>
      <c r="K1225" s="11"/>
      <c r="L1225" s="353"/>
    </row>
    <row r="1226" spans="1:12" hidden="1">
      <c r="A1226" s="353"/>
      <c r="F1226" s="353"/>
      <c r="H1226" s="353"/>
      <c r="I1226" s="353"/>
      <c r="J1226" s="57"/>
      <c r="K1226" s="11"/>
      <c r="L1226" s="353"/>
    </row>
    <row r="1227" spans="1:12" hidden="1">
      <c r="A1227" s="353"/>
      <c r="F1227" s="353"/>
      <c r="H1227" s="353"/>
      <c r="I1227" s="353"/>
      <c r="J1227" s="57"/>
      <c r="K1227" s="11"/>
      <c r="L1227" s="353"/>
    </row>
    <row r="1228" spans="1:12" hidden="1">
      <c r="A1228" s="353"/>
      <c r="F1228" s="353"/>
      <c r="H1228" s="353"/>
      <c r="I1228" s="353"/>
      <c r="J1228" s="57"/>
      <c r="K1228" s="11"/>
      <c r="L1228" s="353"/>
    </row>
    <row r="1229" spans="1:12" hidden="1">
      <c r="A1229" s="353"/>
      <c r="F1229" s="353"/>
      <c r="H1229" s="353"/>
      <c r="I1229" s="353"/>
      <c r="J1229" s="57"/>
      <c r="K1229" s="11"/>
      <c r="L1229" s="353"/>
    </row>
    <row r="1230" spans="1:12" hidden="1">
      <c r="A1230" s="353"/>
      <c r="F1230" s="353"/>
      <c r="H1230" s="353"/>
      <c r="I1230" s="353"/>
      <c r="J1230" s="57"/>
      <c r="K1230" s="11"/>
      <c r="L1230" s="353"/>
    </row>
    <row r="1231" spans="1:12" hidden="1">
      <c r="A1231" s="353"/>
      <c r="F1231" s="353"/>
      <c r="H1231" s="353"/>
      <c r="I1231" s="353"/>
      <c r="J1231" s="57"/>
      <c r="K1231" s="11"/>
      <c r="L1231" s="353"/>
    </row>
    <row r="1232" spans="1:12" hidden="1">
      <c r="A1232" s="353"/>
      <c r="F1232" s="353"/>
      <c r="H1232" s="353"/>
      <c r="I1232" s="353"/>
      <c r="J1232" s="57"/>
      <c r="K1232" s="11"/>
      <c r="L1232" s="353"/>
    </row>
    <row r="1233" spans="1:12" hidden="1">
      <c r="A1233" s="353"/>
      <c r="F1233" s="353"/>
      <c r="H1233" s="353"/>
      <c r="I1233" s="353"/>
      <c r="J1233" s="57"/>
      <c r="K1233" s="11"/>
      <c r="L1233" s="353"/>
    </row>
    <row r="1234" spans="1:12" hidden="1">
      <c r="A1234" s="353"/>
      <c r="F1234" s="353"/>
      <c r="H1234" s="353"/>
      <c r="I1234" s="353"/>
      <c r="J1234" s="57"/>
      <c r="K1234" s="11"/>
      <c r="L1234" s="353"/>
    </row>
    <row r="1235" spans="1:12" hidden="1">
      <c r="A1235" s="353"/>
      <c r="F1235" s="353"/>
      <c r="H1235" s="353"/>
      <c r="I1235" s="353"/>
      <c r="J1235" s="57"/>
      <c r="K1235" s="11"/>
      <c r="L1235" s="353"/>
    </row>
    <row r="1236" spans="1:12" hidden="1">
      <c r="A1236" s="353"/>
      <c r="F1236" s="353"/>
      <c r="H1236" s="353"/>
      <c r="I1236" s="353"/>
      <c r="J1236" s="57"/>
      <c r="K1236" s="11"/>
      <c r="L1236" s="353"/>
    </row>
    <row r="1237" spans="1:12" hidden="1">
      <c r="A1237" s="353"/>
      <c r="F1237" s="353"/>
      <c r="H1237" s="353"/>
      <c r="I1237" s="353"/>
      <c r="J1237" s="57"/>
      <c r="K1237" s="11"/>
      <c r="L1237" s="353"/>
    </row>
    <row r="1238" spans="1:12" hidden="1">
      <c r="A1238" s="353"/>
      <c r="F1238" s="353"/>
      <c r="H1238" s="353"/>
      <c r="I1238" s="353"/>
      <c r="J1238" s="57"/>
      <c r="K1238" s="11"/>
      <c r="L1238" s="353"/>
    </row>
    <row r="1239" spans="1:12" hidden="1">
      <c r="A1239" s="353"/>
      <c r="F1239" s="353"/>
      <c r="H1239" s="353"/>
      <c r="I1239" s="353"/>
      <c r="J1239" s="57"/>
      <c r="K1239" s="11"/>
      <c r="L1239" s="353"/>
    </row>
    <row r="1240" spans="1:12" hidden="1">
      <c r="A1240" s="353"/>
      <c r="F1240" s="353"/>
      <c r="H1240" s="353"/>
      <c r="I1240" s="353"/>
      <c r="J1240" s="57"/>
      <c r="K1240" s="11"/>
      <c r="L1240" s="35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CA05-E5D6-4F79-8C75-C1AB59BFC84E}">
  <sheetPr codeName="Foglio4"/>
  <dimension ref="A1:J702"/>
  <sheetViews>
    <sheetView workbookViewId="0">
      <selection activeCell="B279" sqref="B279"/>
    </sheetView>
  </sheetViews>
  <sheetFormatPr defaultRowHeight="15"/>
  <cols>
    <col min="1" max="1" width="59.140625" bestFit="1" customWidth="1"/>
    <col min="2" max="2" width="19.7109375" bestFit="1" customWidth="1"/>
    <col min="3" max="3" width="10.7109375" style="57" bestFit="1" customWidth="1"/>
    <col min="4" max="4" width="11.42578125" style="57" bestFit="1" customWidth="1"/>
    <col min="5" max="5" width="7.140625" bestFit="1" customWidth="1"/>
    <col min="6" max="6" width="12" style="11" bestFit="1" customWidth="1"/>
    <col min="7" max="7" width="81.140625" bestFit="1" customWidth="1"/>
    <col min="8" max="8" width="25.28515625" bestFit="1" customWidth="1"/>
    <col min="9" max="9" width="11" style="11" bestFit="1" customWidth="1"/>
    <col min="10" max="10" width="11.42578125" style="57" bestFit="1" customWidth="1"/>
  </cols>
  <sheetData>
    <row r="1" spans="1:10">
      <c r="A1" t="s">
        <v>3394</v>
      </c>
      <c r="B1" t="s">
        <v>3395</v>
      </c>
      <c r="C1" s="57" t="s">
        <v>3396</v>
      </c>
      <c r="D1" s="57" t="s">
        <v>4</v>
      </c>
      <c r="E1" t="s">
        <v>3397</v>
      </c>
      <c r="F1" s="11" t="s">
        <v>6</v>
      </c>
      <c r="G1" t="s">
        <v>8</v>
      </c>
      <c r="H1" t="s">
        <v>3398</v>
      </c>
      <c r="I1" s="11" t="s">
        <v>3399</v>
      </c>
      <c r="J1" s="57" t="s">
        <v>3400</v>
      </c>
    </row>
    <row r="2" spans="1:10" hidden="1">
      <c r="A2" t="s">
        <v>3401</v>
      </c>
      <c r="B2" t="s">
        <v>3402</v>
      </c>
      <c r="C2" s="57">
        <v>46003</v>
      </c>
      <c r="D2" s="57">
        <v>46003</v>
      </c>
      <c r="F2" s="11">
        <v>40</v>
      </c>
      <c r="G2" t="s">
        <v>3403</v>
      </c>
      <c r="H2" t="s">
        <v>350</v>
      </c>
      <c r="I2" s="11">
        <v>7.21</v>
      </c>
      <c r="J2" s="57">
        <v>46063</v>
      </c>
    </row>
    <row r="3" spans="1:10" hidden="1">
      <c r="A3" t="s">
        <v>20</v>
      </c>
      <c r="B3" t="s">
        <v>21</v>
      </c>
      <c r="C3" s="57">
        <v>45939</v>
      </c>
      <c r="F3" s="11">
        <v>85</v>
      </c>
      <c r="G3" t="s">
        <v>3930</v>
      </c>
      <c r="I3" s="11">
        <v>15.33</v>
      </c>
    </row>
    <row r="4" spans="1:10">
      <c r="A4" t="s">
        <v>25</v>
      </c>
      <c r="B4" t="s">
        <v>29</v>
      </c>
      <c r="C4" s="57">
        <v>45901</v>
      </c>
      <c r="D4" s="57">
        <v>45901</v>
      </c>
      <c r="F4" s="11">
        <v>240</v>
      </c>
      <c r="G4" t="s">
        <v>3931</v>
      </c>
      <c r="H4" t="s">
        <v>350</v>
      </c>
      <c r="I4" s="11">
        <v>21.82</v>
      </c>
      <c r="J4" s="57">
        <v>45961</v>
      </c>
    </row>
    <row r="5" spans="1:10">
      <c r="A5" t="s">
        <v>25</v>
      </c>
      <c r="B5" t="s">
        <v>26</v>
      </c>
      <c r="C5" s="57">
        <v>45675</v>
      </c>
      <c r="D5" s="57">
        <v>45675</v>
      </c>
      <c r="F5" s="11">
        <v>240</v>
      </c>
      <c r="G5" t="s">
        <v>3932</v>
      </c>
      <c r="H5" t="s">
        <v>350</v>
      </c>
      <c r="I5" s="11">
        <v>21.82</v>
      </c>
      <c r="J5" s="57">
        <v>45735</v>
      </c>
    </row>
    <row r="6" spans="1:10" hidden="1">
      <c r="A6" t="s">
        <v>3404</v>
      </c>
      <c r="B6" t="s">
        <v>37</v>
      </c>
      <c r="C6" s="57">
        <v>45699</v>
      </c>
      <c r="D6" s="57">
        <v>45699</v>
      </c>
      <c r="F6" s="11">
        <v>80</v>
      </c>
      <c r="G6" t="s">
        <v>3405</v>
      </c>
      <c r="H6" t="s">
        <v>350</v>
      </c>
      <c r="I6" s="11">
        <v>14.43</v>
      </c>
      <c r="J6" s="57">
        <v>45759</v>
      </c>
    </row>
    <row r="7" spans="1:10" hidden="1">
      <c r="A7" t="s">
        <v>3406</v>
      </c>
      <c r="B7" t="s">
        <v>40</v>
      </c>
      <c r="C7" s="57">
        <v>45800</v>
      </c>
      <c r="F7" s="11">
        <v>108</v>
      </c>
      <c r="G7" t="s">
        <v>3407</v>
      </c>
      <c r="H7" t="s">
        <v>350</v>
      </c>
      <c r="I7" s="11">
        <v>9.82</v>
      </c>
    </row>
    <row r="8" spans="1:10" hidden="1">
      <c r="A8" t="s">
        <v>4183</v>
      </c>
      <c r="B8" t="s">
        <v>4184</v>
      </c>
      <c r="C8" s="57">
        <v>46055</v>
      </c>
      <c r="F8" s="11">
        <v>104.8</v>
      </c>
      <c r="G8" t="s">
        <v>4185</v>
      </c>
      <c r="I8" s="11">
        <v>18.899999999999999</v>
      </c>
    </row>
    <row r="9" spans="1:10" hidden="1">
      <c r="A9" t="s">
        <v>3357</v>
      </c>
      <c r="B9" t="s">
        <v>48</v>
      </c>
      <c r="C9" s="57">
        <v>46007</v>
      </c>
      <c r="F9" s="11">
        <v>22.89</v>
      </c>
      <c r="G9" t="s">
        <v>3408</v>
      </c>
      <c r="H9" t="s">
        <v>350</v>
      </c>
      <c r="I9" s="11">
        <v>4.13</v>
      </c>
    </row>
    <row r="10" spans="1:10" hidden="1">
      <c r="A10" t="s">
        <v>3357</v>
      </c>
      <c r="B10" t="s">
        <v>51</v>
      </c>
      <c r="C10" s="57">
        <v>46007</v>
      </c>
      <c r="F10" s="11">
        <v>679.1</v>
      </c>
      <c r="G10" t="s">
        <v>3409</v>
      </c>
      <c r="H10" t="s">
        <v>350</v>
      </c>
      <c r="I10" s="11">
        <v>122.46</v>
      </c>
    </row>
    <row r="11" spans="1:10" hidden="1">
      <c r="A11" t="s">
        <v>3357</v>
      </c>
      <c r="B11" t="s">
        <v>45</v>
      </c>
      <c r="C11" s="57">
        <v>45987</v>
      </c>
      <c r="F11" s="11">
        <v>189.99</v>
      </c>
      <c r="G11" t="s">
        <v>3410</v>
      </c>
      <c r="H11" t="s">
        <v>350</v>
      </c>
      <c r="I11" s="11">
        <v>34.26</v>
      </c>
    </row>
    <row r="12" spans="1:10" hidden="1">
      <c r="A12" t="s">
        <v>3357</v>
      </c>
      <c r="B12" t="s">
        <v>3305</v>
      </c>
      <c r="C12" s="57">
        <v>46030</v>
      </c>
      <c r="F12" s="11">
        <v>141.44999999999999</v>
      </c>
      <c r="G12" t="s">
        <v>3306</v>
      </c>
      <c r="H12" t="s">
        <v>350</v>
      </c>
      <c r="I12" s="11">
        <v>25.5</v>
      </c>
    </row>
    <row r="13" spans="1:10" hidden="1">
      <c r="A13" t="s">
        <v>3357</v>
      </c>
      <c r="B13" t="s">
        <v>4119</v>
      </c>
      <c r="C13" s="57">
        <v>46038</v>
      </c>
      <c r="F13" s="11">
        <v>58</v>
      </c>
      <c r="G13" t="s">
        <v>4120</v>
      </c>
      <c r="H13" t="s">
        <v>350</v>
      </c>
      <c r="I13" s="11">
        <v>10.46</v>
      </c>
    </row>
    <row r="14" spans="1:10" hidden="1">
      <c r="A14" t="s">
        <v>62</v>
      </c>
      <c r="B14" t="s">
        <v>3411</v>
      </c>
      <c r="C14" s="57">
        <v>45869</v>
      </c>
      <c r="D14" s="57">
        <v>45869</v>
      </c>
      <c r="F14" s="11">
        <v>1633.83</v>
      </c>
      <c r="G14" t="s">
        <v>3412</v>
      </c>
      <c r="H14" t="s">
        <v>3314</v>
      </c>
      <c r="I14" s="11">
        <v>149.19</v>
      </c>
      <c r="J14" s="57">
        <v>45929</v>
      </c>
    </row>
    <row r="15" spans="1:10" hidden="1">
      <c r="A15" t="s">
        <v>3413</v>
      </c>
      <c r="B15" t="s">
        <v>3414</v>
      </c>
      <c r="C15" s="57">
        <v>45860</v>
      </c>
      <c r="D15" s="57">
        <v>45860</v>
      </c>
      <c r="F15" s="11">
        <v>1389.44</v>
      </c>
      <c r="G15" t="s">
        <v>3415</v>
      </c>
      <c r="H15" t="s">
        <v>3314</v>
      </c>
      <c r="I15" s="11">
        <v>297.44</v>
      </c>
      <c r="J15" s="57">
        <v>45920</v>
      </c>
    </row>
    <row r="16" spans="1:10" hidden="1">
      <c r="A16" t="s">
        <v>76</v>
      </c>
      <c r="B16" t="s">
        <v>3416</v>
      </c>
      <c r="C16" s="57">
        <v>45820</v>
      </c>
      <c r="D16" s="57">
        <v>45820</v>
      </c>
      <c r="F16" s="11">
        <v>602</v>
      </c>
      <c r="G16" t="s">
        <v>3417</v>
      </c>
      <c r="H16" t="s">
        <v>3314</v>
      </c>
      <c r="I16" s="11">
        <v>108.56</v>
      </c>
      <c r="J16" s="57">
        <v>45880</v>
      </c>
    </row>
    <row r="17" spans="1:10" hidden="1">
      <c r="A17" t="s">
        <v>84</v>
      </c>
      <c r="B17" t="s">
        <v>98</v>
      </c>
      <c r="C17" s="57">
        <v>45831</v>
      </c>
      <c r="F17" s="11">
        <v>32.21</v>
      </c>
      <c r="G17" t="s">
        <v>3933</v>
      </c>
      <c r="H17" t="s">
        <v>3934</v>
      </c>
      <c r="I17" s="11">
        <v>5.81</v>
      </c>
    </row>
    <row r="18" spans="1:10" hidden="1">
      <c r="A18" t="s">
        <v>84</v>
      </c>
      <c r="B18" t="s">
        <v>93</v>
      </c>
      <c r="C18" s="57">
        <v>45817</v>
      </c>
      <c r="D18" s="57">
        <v>45817</v>
      </c>
      <c r="F18" s="11">
        <v>219.6</v>
      </c>
      <c r="G18" t="s">
        <v>3935</v>
      </c>
      <c r="H18" t="s">
        <v>3314</v>
      </c>
      <c r="I18" s="11">
        <v>39.6</v>
      </c>
      <c r="J18" s="57">
        <v>45877</v>
      </c>
    </row>
    <row r="19" spans="1:10" hidden="1">
      <c r="A19" t="s">
        <v>3418</v>
      </c>
      <c r="B19" t="s">
        <v>144</v>
      </c>
      <c r="C19" s="57">
        <v>45930</v>
      </c>
      <c r="D19" s="57">
        <v>46001</v>
      </c>
      <c r="F19" s="11">
        <v>13.42</v>
      </c>
      <c r="G19" t="s">
        <v>3423</v>
      </c>
      <c r="H19" t="s">
        <v>125</v>
      </c>
      <c r="I19" s="11">
        <v>2.42</v>
      </c>
      <c r="J19" s="57">
        <v>46001</v>
      </c>
    </row>
    <row r="20" spans="1:10" hidden="1">
      <c r="A20" t="s">
        <v>3418</v>
      </c>
      <c r="B20" t="s">
        <v>136</v>
      </c>
      <c r="C20" s="57">
        <v>45900</v>
      </c>
      <c r="D20" s="57">
        <v>45971</v>
      </c>
      <c r="F20" s="11">
        <v>567.29999999999995</v>
      </c>
      <c r="G20" t="s">
        <v>3424</v>
      </c>
      <c r="H20" t="s">
        <v>125</v>
      </c>
      <c r="I20" s="11">
        <v>102.3</v>
      </c>
      <c r="J20" s="57">
        <v>45971</v>
      </c>
    </row>
    <row r="21" spans="1:10" hidden="1">
      <c r="A21" t="s">
        <v>3418</v>
      </c>
      <c r="B21" t="s">
        <v>139</v>
      </c>
      <c r="C21" s="57">
        <v>45869</v>
      </c>
      <c r="D21" s="57">
        <v>45940</v>
      </c>
      <c r="F21" s="11">
        <v>1244.74</v>
      </c>
      <c r="G21" t="s">
        <v>3426</v>
      </c>
      <c r="H21" t="s">
        <v>125</v>
      </c>
      <c r="I21" s="11">
        <v>224.46</v>
      </c>
      <c r="J21" s="57">
        <v>45940</v>
      </c>
    </row>
    <row r="22" spans="1:10" hidden="1">
      <c r="A22" t="s">
        <v>3418</v>
      </c>
      <c r="B22" t="s">
        <v>134</v>
      </c>
      <c r="C22" s="57">
        <v>45838</v>
      </c>
      <c r="D22" s="57">
        <v>45910</v>
      </c>
      <c r="F22" s="11">
        <v>2859.9</v>
      </c>
      <c r="G22" t="s">
        <v>3422</v>
      </c>
      <c r="H22" t="s">
        <v>125</v>
      </c>
      <c r="I22" s="11">
        <v>515.72</v>
      </c>
      <c r="J22" s="57">
        <v>45910</v>
      </c>
    </row>
    <row r="23" spans="1:10" hidden="1">
      <c r="A23" t="s">
        <v>3418</v>
      </c>
      <c r="B23" t="s">
        <v>130</v>
      </c>
      <c r="C23" s="57">
        <v>45808</v>
      </c>
      <c r="D23" s="57">
        <v>45879</v>
      </c>
      <c r="F23" s="11">
        <v>1923.2</v>
      </c>
      <c r="G23" t="s">
        <v>3421</v>
      </c>
      <c r="H23" t="s">
        <v>125</v>
      </c>
      <c r="I23" s="11">
        <v>346.81</v>
      </c>
      <c r="J23" s="57">
        <v>45879</v>
      </c>
    </row>
    <row r="24" spans="1:10" hidden="1">
      <c r="A24" t="s">
        <v>3418</v>
      </c>
      <c r="B24" t="s">
        <v>122</v>
      </c>
      <c r="C24" s="57">
        <v>45777</v>
      </c>
      <c r="D24" s="57">
        <v>45848</v>
      </c>
      <c r="F24" s="11">
        <v>629.75</v>
      </c>
      <c r="G24" t="s">
        <v>3420</v>
      </c>
      <c r="H24" t="s">
        <v>125</v>
      </c>
      <c r="I24" s="11">
        <v>113.56</v>
      </c>
      <c r="J24" s="57">
        <v>45848</v>
      </c>
    </row>
    <row r="25" spans="1:10" hidden="1">
      <c r="A25" t="s">
        <v>3418</v>
      </c>
      <c r="B25" t="s">
        <v>118</v>
      </c>
      <c r="C25" s="57">
        <v>45747</v>
      </c>
      <c r="D25" s="57">
        <v>45818</v>
      </c>
      <c r="F25" s="11">
        <v>3655.96</v>
      </c>
      <c r="G25" t="s">
        <v>3419</v>
      </c>
      <c r="H25" t="s">
        <v>125</v>
      </c>
      <c r="I25" s="11">
        <v>659.27</v>
      </c>
      <c r="J25" s="57">
        <v>45818</v>
      </c>
    </row>
    <row r="26" spans="1:10" hidden="1">
      <c r="A26" t="s">
        <v>3418</v>
      </c>
      <c r="B26" t="s">
        <v>115</v>
      </c>
      <c r="C26" s="57">
        <v>45716</v>
      </c>
      <c r="D26" s="57">
        <v>45787</v>
      </c>
      <c r="F26" s="11">
        <v>4933.58</v>
      </c>
      <c r="G26" t="s">
        <v>3425</v>
      </c>
      <c r="H26" t="s">
        <v>125</v>
      </c>
      <c r="I26" s="11">
        <v>889.66</v>
      </c>
      <c r="J26" s="57">
        <v>45787</v>
      </c>
    </row>
    <row r="27" spans="1:10" hidden="1">
      <c r="A27" t="s">
        <v>3418</v>
      </c>
      <c r="B27" t="s">
        <v>102</v>
      </c>
      <c r="C27" s="57">
        <v>45688</v>
      </c>
      <c r="D27" s="57">
        <v>45757</v>
      </c>
      <c r="F27" s="11">
        <v>5049.7299999999996</v>
      </c>
      <c r="G27" t="s">
        <v>3427</v>
      </c>
      <c r="H27" t="s">
        <v>125</v>
      </c>
      <c r="I27" s="11">
        <v>910.61</v>
      </c>
      <c r="J27" s="57">
        <v>45757</v>
      </c>
    </row>
    <row r="28" spans="1:10" hidden="1">
      <c r="A28" t="s">
        <v>3354</v>
      </c>
      <c r="B28" t="s">
        <v>3307</v>
      </c>
      <c r="C28" s="57">
        <v>46021</v>
      </c>
      <c r="D28" s="57">
        <v>46021</v>
      </c>
      <c r="F28" s="11">
        <v>181.1</v>
      </c>
      <c r="G28" t="s">
        <v>3308</v>
      </c>
      <c r="H28" t="s">
        <v>3309</v>
      </c>
      <c r="I28" s="11">
        <v>32.659999999999997</v>
      </c>
      <c r="J28" s="57">
        <v>46081</v>
      </c>
    </row>
    <row r="29" spans="1:10" hidden="1">
      <c r="A29" t="s">
        <v>3354</v>
      </c>
      <c r="B29" t="s">
        <v>3440</v>
      </c>
      <c r="C29" s="57">
        <v>45991</v>
      </c>
      <c r="D29" s="57">
        <v>45991</v>
      </c>
      <c r="F29" s="11">
        <v>111.9</v>
      </c>
      <c r="G29" t="s">
        <v>3308</v>
      </c>
      <c r="H29" t="s">
        <v>3309</v>
      </c>
      <c r="I29" s="11">
        <v>20.18</v>
      </c>
      <c r="J29" s="57">
        <v>46051</v>
      </c>
    </row>
    <row r="30" spans="1:10" hidden="1">
      <c r="A30" t="s">
        <v>3354</v>
      </c>
      <c r="B30" t="s">
        <v>3439</v>
      </c>
      <c r="C30" s="57">
        <v>45960</v>
      </c>
      <c r="D30" s="57">
        <v>45960</v>
      </c>
      <c r="F30" s="11">
        <v>116.4</v>
      </c>
      <c r="G30" t="s">
        <v>3308</v>
      </c>
      <c r="H30" t="s">
        <v>3309</v>
      </c>
      <c r="I30" s="11">
        <v>20.99</v>
      </c>
      <c r="J30" s="57">
        <v>46020</v>
      </c>
    </row>
    <row r="31" spans="1:10" hidden="1">
      <c r="A31" t="s">
        <v>3354</v>
      </c>
      <c r="B31" t="s">
        <v>3438</v>
      </c>
      <c r="C31" s="57">
        <v>45930</v>
      </c>
      <c r="D31" s="57">
        <v>45930</v>
      </c>
      <c r="F31" s="11">
        <v>229.8</v>
      </c>
      <c r="G31" t="s">
        <v>3308</v>
      </c>
      <c r="H31" t="s">
        <v>3309</v>
      </c>
      <c r="I31" s="11">
        <v>41.44</v>
      </c>
      <c r="J31" s="57">
        <v>45990</v>
      </c>
    </row>
    <row r="32" spans="1:10" hidden="1">
      <c r="A32" t="s">
        <v>3354</v>
      </c>
      <c r="B32" t="s">
        <v>3437</v>
      </c>
      <c r="C32" s="57">
        <v>45899</v>
      </c>
      <c r="D32" s="57">
        <v>45899</v>
      </c>
      <c r="F32" s="11">
        <v>267.16000000000003</v>
      </c>
      <c r="G32" t="s">
        <v>3308</v>
      </c>
      <c r="H32" t="s">
        <v>3309</v>
      </c>
      <c r="I32" s="11">
        <v>48.18</v>
      </c>
      <c r="J32" s="57">
        <v>45959</v>
      </c>
    </row>
    <row r="33" spans="1:10" hidden="1">
      <c r="A33" t="s">
        <v>3354</v>
      </c>
      <c r="B33" t="s">
        <v>3431</v>
      </c>
      <c r="C33" s="57">
        <v>45868</v>
      </c>
      <c r="D33" s="57">
        <v>45868</v>
      </c>
      <c r="F33" s="11">
        <v>390.35</v>
      </c>
      <c r="G33" t="s">
        <v>3430</v>
      </c>
      <c r="H33" t="s">
        <v>3309</v>
      </c>
      <c r="I33" s="11">
        <v>69.650000000000006</v>
      </c>
      <c r="J33" s="57">
        <v>45928</v>
      </c>
    </row>
    <row r="34" spans="1:10" hidden="1">
      <c r="A34" t="s">
        <v>3354</v>
      </c>
      <c r="B34" t="s">
        <v>3436</v>
      </c>
      <c r="C34" s="57">
        <v>45838</v>
      </c>
      <c r="D34" s="57">
        <v>45838</v>
      </c>
      <c r="F34" s="11">
        <v>211.2</v>
      </c>
      <c r="G34" t="s">
        <v>3430</v>
      </c>
      <c r="H34" t="s">
        <v>3309</v>
      </c>
      <c r="I34" s="11">
        <v>37.85</v>
      </c>
      <c r="J34" s="57">
        <v>45898</v>
      </c>
    </row>
    <row r="35" spans="1:10" hidden="1">
      <c r="A35" t="s">
        <v>3354</v>
      </c>
      <c r="B35" t="s">
        <v>3432</v>
      </c>
      <c r="C35" s="57">
        <v>45807</v>
      </c>
      <c r="D35" s="57">
        <v>45807</v>
      </c>
      <c r="F35" s="11">
        <v>400.85</v>
      </c>
      <c r="G35" t="s">
        <v>3308</v>
      </c>
      <c r="H35" t="s">
        <v>3309</v>
      </c>
      <c r="I35" s="11">
        <v>72.28</v>
      </c>
      <c r="J35" s="57">
        <v>45867</v>
      </c>
    </row>
    <row r="36" spans="1:10" hidden="1">
      <c r="A36" t="s">
        <v>3354</v>
      </c>
      <c r="B36" t="s">
        <v>3429</v>
      </c>
      <c r="C36" s="57">
        <v>45777</v>
      </c>
      <c r="D36" s="57">
        <v>45777</v>
      </c>
      <c r="F36" s="11">
        <v>247.8</v>
      </c>
      <c r="G36" t="s">
        <v>3430</v>
      </c>
      <c r="H36" t="s">
        <v>3309</v>
      </c>
      <c r="I36" s="11">
        <v>44.22</v>
      </c>
      <c r="J36" s="57">
        <v>45837</v>
      </c>
    </row>
    <row r="37" spans="1:10" hidden="1">
      <c r="A37" t="s">
        <v>3354</v>
      </c>
      <c r="B37" t="s">
        <v>3428</v>
      </c>
      <c r="C37" s="57">
        <v>45746</v>
      </c>
      <c r="D37" s="57">
        <v>45746</v>
      </c>
      <c r="F37" s="11">
        <v>180.66</v>
      </c>
      <c r="G37" t="s">
        <v>3308</v>
      </c>
      <c r="H37" t="s">
        <v>3309</v>
      </c>
      <c r="I37" s="11">
        <v>32.58</v>
      </c>
      <c r="J37" s="57">
        <v>45806</v>
      </c>
    </row>
    <row r="38" spans="1:10" hidden="1">
      <c r="A38" t="s">
        <v>3354</v>
      </c>
      <c r="B38" t="s">
        <v>3434</v>
      </c>
      <c r="C38" s="57">
        <v>45716</v>
      </c>
      <c r="D38" s="57">
        <v>45716</v>
      </c>
      <c r="F38" s="11">
        <v>244.6</v>
      </c>
      <c r="G38" t="s">
        <v>3435</v>
      </c>
      <c r="H38" t="s">
        <v>3309</v>
      </c>
      <c r="I38" s="11">
        <v>44.11</v>
      </c>
      <c r="J38" s="57">
        <v>45776</v>
      </c>
    </row>
    <row r="39" spans="1:10" hidden="1">
      <c r="A39" t="s">
        <v>3354</v>
      </c>
      <c r="B39" t="s">
        <v>3433</v>
      </c>
      <c r="C39" s="57">
        <v>45687</v>
      </c>
      <c r="D39" s="57">
        <v>45687</v>
      </c>
      <c r="F39" s="11">
        <v>333.48</v>
      </c>
      <c r="G39" t="s">
        <v>3308</v>
      </c>
      <c r="H39" t="s">
        <v>3309</v>
      </c>
      <c r="I39" s="11">
        <v>60.14</v>
      </c>
      <c r="J39" s="57">
        <v>45747</v>
      </c>
    </row>
    <row r="40" spans="1:10" hidden="1">
      <c r="A40" t="s">
        <v>3354</v>
      </c>
      <c r="B40" t="s">
        <v>4174</v>
      </c>
      <c r="C40" s="57">
        <v>46052</v>
      </c>
      <c r="D40" s="57">
        <v>46052</v>
      </c>
      <c r="F40" s="11">
        <v>251.38</v>
      </c>
      <c r="G40" t="s">
        <v>3308</v>
      </c>
      <c r="H40" t="s">
        <v>3309</v>
      </c>
      <c r="I40" s="11">
        <v>45.33</v>
      </c>
      <c r="J40" s="57">
        <v>46112</v>
      </c>
    </row>
    <row r="41" spans="1:10" hidden="1">
      <c r="A41" t="s">
        <v>3354</v>
      </c>
      <c r="B41" t="s">
        <v>4313</v>
      </c>
      <c r="C41" s="57">
        <v>46081</v>
      </c>
      <c r="D41" s="57">
        <v>46081</v>
      </c>
      <c r="F41" s="11">
        <v>274.39999999999998</v>
      </c>
      <c r="G41" t="s">
        <v>3308</v>
      </c>
      <c r="H41" t="s">
        <v>3309</v>
      </c>
      <c r="I41" s="11">
        <v>49.48</v>
      </c>
      <c r="J41" s="57">
        <v>46141</v>
      </c>
    </row>
    <row r="42" spans="1:10" hidden="1">
      <c r="A42" t="s">
        <v>3441</v>
      </c>
      <c r="B42" t="s">
        <v>3442</v>
      </c>
      <c r="C42" s="57">
        <v>45825</v>
      </c>
      <c r="D42" s="57">
        <v>45825</v>
      </c>
      <c r="F42" s="11">
        <v>196.24</v>
      </c>
      <c r="G42" t="s">
        <v>3443</v>
      </c>
      <c r="H42" t="s">
        <v>3314</v>
      </c>
      <c r="I42" s="11">
        <v>42.01</v>
      </c>
      <c r="J42" s="57">
        <v>45885</v>
      </c>
    </row>
    <row r="43" spans="1:10" hidden="1">
      <c r="A43" t="s">
        <v>4310</v>
      </c>
      <c r="B43" t="s">
        <v>26</v>
      </c>
      <c r="C43" s="57">
        <v>46079</v>
      </c>
      <c r="D43" s="57">
        <v>46079</v>
      </c>
      <c r="F43" s="11">
        <v>4100</v>
      </c>
      <c r="G43" t="s">
        <v>4311</v>
      </c>
      <c r="H43" t="s">
        <v>751</v>
      </c>
      <c r="I43" s="11">
        <v>0</v>
      </c>
      <c r="J43" s="57">
        <v>46139</v>
      </c>
    </row>
    <row r="44" spans="1:10" hidden="1">
      <c r="A44" t="s">
        <v>4264</v>
      </c>
      <c r="B44" t="s">
        <v>4308</v>
      </c>
      <c r="C44" s="57">
        <v>46076</v>
      </c>
      <c r="F44" s="11">
        <v>1330.36</v>
      </c>
      <c r="G44" t="s">
        <v>4309</v>
      </c>
      <c r="H44" t="s">
        <v>3314</v>
      </c>
      <c r="I44" s="11">
        <v>217.36</v>
      </c>
    </row>
    <row r="45" spans="1:10" hidden="1">
      <c r="A45" t="s">
        <v>186</v>
      </c>
      <c r="B45" t="s">
        <v>187</v>
      </c>
      <c r="C45" s="57">
        <v>45674</v>
      </c>
      <c r="D45" s="57">
        <v>45716</v>
      </c>
      <c r="F45" s="11">
        <v>12801.52</v>
      </c>
      <c r="G45" t="s">
        <v>3936</v>
      </c>
      <c r="H45" t="s">
        <v>3934</v>
      </c>
      <c r="I45" s="11">
        <v>4616.9399999999996</v>
      </c>
      <c r="J45" s="57">
        <v>45716</v>
      </c>
    </row>
    <row r="46" spans="1:10" hidden="1">
      <c r="A46" t="s">
        <v>186</v>
      </c>
      <c r="B46" t="s">
        <v>187</v>
      </c>
      <c r="C46" s="57">
        <v>45674</v>
      </c>
      <c r="D46" s="57">
        <v>45747</v>
      </c>
      <c r="F46" s="11">
        <v>12801.52</v>
      </c>
      <c r="G46" t="s">
        <v>3936</v>
      </c>
      <c r="H46" t="s">
        <v>3934</v>
      </c>
      <c r="I46" s="11">
        <v>4616.9399999999996</v>
      </c>
      <c r="J46" s="57">
        <v>45747</v>
      </c>
    </row>
    <row r="47" spans="1:10" hidden="1">
      <c r="A47" t="s">
        <v>3444</v>
      </c>
      <c r="B47" t="s">
        <v>208</v>
      </c>
      <c r="C47" s="57">
        <v>45937</v>
      </c>
      <c r="F47" s="11">
        <v>80.52</v>
      </c>
      <c r="G47" t="s">
        <v>3445</v>
      </c>
      <c r="H47" t="s">
        <v>3446</v>
      </c>
      <c r="I47" s="11">
        <v>14.52</v>
      </c>
    </row>
    <row r="48" spans="1:10" hidden="1">
      <c r="A48" t="s">
        <v>3444</v>
      </c>
      <c r="B48" t="s">
        <v>204</v>
      </c>
      <c r="C48" s="57">
        <v>45845</v>
      </c>
      <c r="F48" s="11">
        <v>80.52</v>
      </c>
      <c r="G48" t="s">
        <v>3445</v>
      </c>
      <c r="H48" t="s">
        <v>3446</v>
      </c>
      <c r="I48" s="11">
        <v>14.52</v>
      </c>
    </row>
    <row r="49" spans="1:10" hidden="1">
      <c r="A49" t="s">
        <v>3444</v>
      </c>
      <c r="B49" t="s">
        <v>202</v>
      </c>
      <c r="C49" s="57">
        <v>45754</v>
      </c>
      <c r="F49" s="11">
        <v>80.52</v>
      </c>
      <c r="G49" t="s">
        <v>3445</v>
      </c>
      <c r="H49" t="s">
        <v>3446</v>
      </c>
      <c r="I49" s="11">
        <v>14.52</v>
      </c>
    </row>
    <row r="50" spans="1:10" hidden="1">
      <c r="A50" t="s">
        <v>3444</v>
      </c>
      <c r="B50" t="s">
        <v>194</v>
      </c>
      <c r="C50" s="57">
        <v>45665</v>
      </c>
      <c r="F50" s="11">
        <v>80.52</v>
      </c>
      <c r="G50" t="s">
        <v>3445</v>
      </c>
      <c r="H50" t="s">
        <v>3446</v>
      </c>
      <c r="I50" s="11">
        <v>14.52</v>
      </c>
    </row>
    <row r="51" spans="1:10" hidden="1">
      <c r="A51" t="s">
        <v>3444</v>
      </c>
      <c r="B51" t="s">
        <v>4096</v>
      </c>
      <c r="C51" s="57">
        <v>46031</v>
      </c>
      <c r="F51" s="11">
        <v>80.52</v>
      </c>
      <c r="G51" t="s">
        <v>3445</v>
      </c>
      <c r="H51" t="s">
        <v>3446</v>
      </c>
      <c r="I51" s="11">
        <v>14.52</v>
      </c>
    </row>
    <row r="52" spans="1:10" hidden="1">
      <c r="A52" t="s">
        <v>211</v>
      </c>
      <c r="B52" t="s">
        <v>212</v>
      </c>
      <c r="C52" s="57">
        <v>45873</v>
      </c>
      <c r="F52" s="11">
        <v>218.16</v>
      </c>
      <c r="G52" t="s">
        <v>3937</v>
      </c>
      <c r="I52" s="11">
        <v>39.340000000000003</v>
      </c>
    </row>
    <row r="53" spans="1:10" hidden="1">
      <c r="A53" t="s">
        <v>3447</v>
      </c>
      <c r="B53" t="s">
        <v>3448</v>
      </c>
      <c r="C53" s="57">
        <v>45995</v>
      </c>
      <c r="D53" s="57">
        <v>45995</v>
      </c>
      <c r="F53" s="11">
        <v>51.2</v>
      </c>
      <c r="G53" t="s">
        <v>3449</v>
      </c>
      <c r="H53" t="s">
        <v>751</v>
      </c>
      <c r="I53" s="11">
        <v>9.23</v>
      </c>
      <c r="J53" s="57">
        <v>46055</v>
      </c>
    </row>
    <row r="54" spans="1:10" hidden="1">
      <c r="A54" t="s">
        <v>3447</v>
      </c>
      <c r="B54" t="s">
        <v>4094</v>
      </c>
      <c r="C54" s="57">
        <v>46034</v>
      </c>
      <c r="D54" s="57">
        <v>46034</v>
      </c>
      <c r="F54" s="11">
        <v>102.46</v>
      </c>
      <c r="G54" t="s">
        <v>4095</v>
      </c>
      <c r="H54" t="s">
        <v>751</v>
      </c>
      <c r="I54" s="11">
        <v>18.48</v>
      </c>
      <c r="J54" s="57">
        <v>46094</v>
      </c>
    </row>
    <row r="55" spans="1:10" hidden="1">
      <c r="A55" t="s">
        <v>220</v>
      </c>
      <c r="B55" t="s">
        <v>3310</v>
      </c>
      <c r="C55" s="57">
        <v>46022</v>
      </c>
      <c r="D55" s="57">
        <v>46022</v>
      </c>
      <c r="F55" s="11">
        <v>0.61</v>
      </c>
      <c r="G55" t="s">
        <v>3311</v>
      </c>
      <c r="H55" t="s">
        <v>751</v>
      </c>
      <c r="I55" s="11">
        <v>0.11</v>
      </c>
      <c r="J55" s="57">
        <v>46082</v>
      </c>
    </row>
    <row r="56" spans="1:10" hidden="1">
      <c r="A56" t="s">
        <v>220</v>
      </c>
      <c r="B56" t="s">
        <v>3459</v>
      </c>
      <c r="C56" s="57">
        <v>45989</v>
      </c>
      <c r="D56" s="57">
        <v>45989</v>
      </c>
      <c r="F56" s="11">
        <v>0.61</v>
      </c>
      <c r="G56" t="s">
        <v>3311</v>
      </c>
      <c r="H56" t="s">
        <v>751</v>
      </c>
      <c r="I56" s="11">
        <v>0.11</v>
      </c>
      <c r="J56" s="57">
        <v>46049</v>
      </c>
    </row>
    <row r="57" spans="1:10" hidden="1">
      <c r="A57" t="s">
        <v>220</v>
      </c>
      <c r="B57" t="s">
        <v>3458</v>
      </c>
      <c r="C57" s="57">
        <v>45961</v>
      </c>
      <c r="D57" s="57">
        <v>45961</v>
      </c>
      <c r="F57" s="11">
        <v>0.61</v>
      </c>
      <c r="G57" t="s">
        <v>3311</v>
      </c>
      <c r="H57" t="s">
        <v>751</v>
      </c>
      <c r="I57" s="11">
        <v>0.11</v>
      </c>
      <c r="J57" s="57">
        <v>46021</v>
      </c>
    </row>
    <row r="58" spans="1:10" hidden="1">
      <c r="A58" t="s">
        <v>220</v>
      </c>
      <c r="B58" t="s">
        <v>3457</v>
      </c>
      <c r="C58" s="57">
        <v>45930</v>
      </c>
      <c r="D58" s="57">
        <v>45930</v>
      </c>
      <c r="F58" s="11">
        <v>0.61</v>
      </c>
      <c r="G58" t="s">
        <v>3311</v>
      </c>
      <c r="H58" t="s">
        <v>751</v>
      </c>
      <c r="I58" s="11">
        <v>0.11</v>
      </c>
      <c r="J58" s="57">
        <v>45990</v>
      </c>
    </row>
    <row r="59" spans="1:10" hidden="1">
      <c r="A59" t="s">
        <v>220</v>
      </c>
      <c r="B59" t="s">
        <v>3460</v>
      </c>
      <c r="C59" s="57">
        <v>45898</v>
      </c>
      <c r="D59" s="57">
        <v>45898</v>
      </c>
      <c r="F59" s="11">
        <v>0.61</v>
      </c>
      <c r="G59" t="s">
        <v>3311</v>
      </c>
      <c r="H59" t="s">
        <v>751</v>
      </c>
      <c r="I59" s="11">
        <v>0.11</v>
      </c>
      <c r="J59" s="57">
        <v>45958</v>
      </c>
    </row>
    <row r="60" spans="1:10" hidden="1">
      <c r="A60" t="s">
        <v>220</v>
      </c>
      <c r="B60" t="s">
        <v>3455</v>
      </c>
      <c r="C60" s="57">
        <v>45869</v>
      </c>
      <c r="D60" s="57">
        <v>45869</v>
      </c>
      <c r="F60" s="11">
        <v>0.61</v>
      </c>
      <c r="G60" t="s">
        <v>3311</v>
      </c>
      <c r="H60" t="s">
        <v>751</v>
      </c>
      <c r="I60" s="11">
        <v>0.11</v>
      </c>
      <c r="J60" s="57">
        <v>45929</v>
      </c>
    </row>
    <row r="61" spans="1:10" hidden="1">
      <c r="A61" t="s">
        <v>220</v>
      </c>
      <c r="B61" t="s">
        <v>3450</v>
      </c>
      <c r="C61" s="57">
        <v>45838</v>
      </c>
      <c r="D61" s="57">
        <v>45838</v>
      </c>
      <c r="F61" s="11">
        <v>0.61</v>
      </c>
      <c r="G61" t="s">
        <v>3311</v>
      </c>
      <c r="H61" t="s">
        <v>751</v>
      </c>
      <c r="I61" s="11">
        <v>0.11</v>
      </c>
      <c r="J61" s="57">
        <v>45898</v>
      </c>
    </row>
    <row r="62" spans="1:10" hidden="1">
      <c r="A62" t="s">
        <v>220</v>
      </c>
      <c r="B62" t="s">
        <v>3453</v>
      </c>
      <c r="C62" s="57">
        <v>45807</v>
      </c>
      <c r="D62" s="57">
        <v>45807</v>
      </c>
      <c r="F62" s="11">
        <v>0.61</v>
      </c>
      <c r="G62" t="s">
        <v>3311</v>
      </c>
      <c r="H62" t="s">
        <v>751</v>
      </c>
      <c r="I62" s="11">
        <v>0.11</v>
      </c>
      <c r="J62" s="57">
        <v>45867</v>
      </c>
    </row>
    <row r="63" spans="1:10" hidden="1">
      <c r="A63" t="s">
        <v>220</v>
      </c>
      <c r="B63" t="s">
        <v>3456</v>
      </c>
      <c r="C63" s="57">
        <v>45777</v>
      </c>
      <c r="D63" s="57">
        <v>45777</v>
      </c>
      <c r="F63" s="11">
        <v>0.61</v>
      </c>
      <c r="G63" t="s">
        <v>3311</v>
      </c>
      <c r="H63" t="s">
        <v>751</v>
      </c>
      <c r="I63" s="11">
        <v>0.11</v>
      </c>
      <c r="J63" s="57">
        <v>45837</v>
      </c>
    </row>
    <row r="64" spans="1:10" hidden="1">
      <c r="A64" t="s">
        <v>220</v>
      </c>
      <c r="B64" t="s">
        <v>3452</v>
      </c>
      <c r="C64" s="57">
        <v>45747</v>
      </c>
      <c r="D64" s="57">
        <v>45747</v>
      </c>
      <c r="F64" s="11">
        <v>0.61</v>
      </c>
      <c r="G64" t="s">
        <v>3311</v>
      </c>
      <c r="H64" t="s">
        <v>751</v>
      </c>
      <c r="I64" s="11">
        <v>0.11</v>
      </c>
      <c r="J64" s="57">
        <v>45807</v>
      </c>
    </row>
    <row r="65" spans="1:10" hidden="1">
      <c r="A65" t="s">
        <v>220</v>
      </c>
      <c r="B65" t="s">
        <v>3454</v>
      </c>
      <c r="C65" s="57">
        <v>45716</v>
      </c>
      <c r="D65" s="57">
        <v>45716</v>
      </c>
      <c r="F65" s="11">
        <v>0.61</v>
      </c>
      <c r="G65" t="s">
        <v>3311</v>
      </c>
      <c r="H65" t="s">
        <v>751</v>
      </c>
      <c r="I65" s="11">
        <v>0.11</v>
      </c>
      <c r="J65" s="57">
        <v>45776</v>
      </c>
    </row>
    <row r="66" spans="1:10" hidden="1">
      <c r="A66" t="s">
        <v>220</v>
      </c>
      <c r="B66" t="s">
        <v>3451</v>
      </c>
      <c r="C66" s="57">
        <v>45688</v>
      </c>
      <c r="D66" s="57">
        <v>45688</v>
      </c>
      <c r="F66" s="11">
        <v>0.61</v>
      </c>
      <c r="G66" t="s">
        <v>3311</v>
      </c>
      <c r="H66" t="s">
        <v>751</v>
      </c>
      <c r="I66" s="11">
        <v>0.11</v>
      </c>
      <c r="J66" s="57">
        <v>45748</v>
      </c>
    </row>
    <row r="67" spans="1:10" hidden="1">
      <c r="A67" t="s">
        <v>220</v>
      </c>
      <c r="B67" t="s">
        <v>4177</v>
      </c>
      <c r="C67" s="57">
        <v>46052</v>
      </c>
      <c r="D67" s="57">
        <v>46052</v>
      </c>
      <c r="F67" s="11">
        <v>0.61</v>
      </c>
      <c r="G67" t="s">
        <v>3311</v>
      </c>
      <c r="H67" t="s">
        <v>751</v>
      </c>
      <c r="I67" s="11">
        <v>0.11</v>
      </c>
      <c r="J67" s="57">
        <v>46112</v>
      </c>
    </row>
    <row r="68" spans="1:10" hidden="1">
      <c r="A68" t="s">
        <v>220</v>
      </c>
      <c r="B68" t="s">
        <v>4323</v>
      </c>
      <c r="C68" s="57">
        <v>46080</v>
      </c>
      <c r="D68" s="57">
        <v>46080</v>
      </c>
      <c r="F68" s="11">
        <v>0.61</v>
      </c>
      <c r="G68" t="s">
        <v>3311</v>
      </c>
      <c r="H68" t="s">
        <v>751</v>
      </c>
      <c r="I68" s="11">
        <v>0.11</v>
      </c>
      <c r="J68" s="57">
        <v>46140</v>
      </c>
    </row>
    <row r="69" spans="1:10" hidden="1">
      <c r="A69" t="s">
        <v>3461</v>
      </c>
      <c r="B69" t="s">
        <v>3464</v>
      </c>
      <c r="C69" s="57">
        <v>45964</v>
      </c>
      <c r="D69" s="57">
        <v>45964</v>
      </c>
      <c r="F69" s="11">
        <v>2000</v>
      </c>
      <c r="G69" t="s">
        <v>3465</v>
      </c>
      <c r="H69" t="s">
        <v>3314</v>
      </c>
      <c r="I69" s="11">
        <v>427.76</v>
      </c>
      <c r="J69" s="57">
        <v>46024</v>
      </c>
    </row>
    <row r="70" spans="1:10" hidden="1">
      <c r="A70" t="s">
        <v>3461</v>
      </c>
      <c r="B70" t="s">
        <v>3462</v>
      </c>
      <c r="C70" s="57">
        <v>45946</v>
      </c>
      <c r="D70" s="57">
        <v>45946</v>
      </c>
      <c r="F70" s="11">
        <v>859.92</v>
      </c>
      <c r="G70" t="s">
        <v>3463</v>
      </c>
      <c r="H70" t="s">
        <v>3314</v>
      </c>
      <c r="I70" s="11">
        <v>183.92</v>
      </c>
      <c r="J70" s="57">
        <v>46006</v>
      </c>
    </row>
    <row r="71" spans="1:10" hidden="1">
      <c r="A71" t="s">
        <v>3461</v>
      </c>
      <c r="B71" t="s">
        <v>3466</v>
      </c>
      <c r="C71" s="57">
        <v>45946</v>
      </c>
      <c r="D71" s="57">
        <v>45946</v>
      </c>
      <c r="F71" s="11">
        <v>1140.08</v>
      </c>
      <c r="G71" t="s">
        <v>3467</v>
      </c>
      <c r="H71" t="s">
        <v>3314</v>
      </c>
      <c r="I71" s="11">
        <v>243.84</v>
      </c>
      <c r="J71" s="57">
        <v>46006</v>
      </c>
    </row>
    <row r="72" spans="1:10" hidden="1">
      <c r="A72" t="s">
        <v>251</v>
      </c>
      <c r="B72" t="s">
        <v>265</v>
      </c>
      <c r="C72" s="57">
        <v>45740</v>
      </c>
      <c r="D72" s="57">
        <v>45740</v>
      </c>
      <c r="F72" s="11">
        <v>1282.19</v>
      </c>
      <c r="G72" t="s">
        <v>3938</v>
      </c>
      <c r="H72" t="s">
        <v>3314</v>
      </c>
      <c r="I72" s="11">
        <v>226.28</v>
      </c>
      <c r="J72" s="57">
        <v>45800</v>
      </c>
    </row>
    <row r="73" spans="1:10" hidden="1">
      <c r="A73" t="s">
        <v>251</v>
      </c>
      <c r="B73" t="s">
        <v>310</v>
      </c>
      <c r="C73" s="57">
        <v>46038</v>
      </c>
      <c r="D73" s="57">
        <v>46038</v>
      </c>
      <c r="F73" s="11">
        <v>5955.05</v>
      </c>
      <c r="G73" t="s">
        <v>4131</v>
      </c>
      <c r="H73" t="s">
        <v>3314</v>
      </c>
      <c r="I73" s="11">
        <v>1036.79</v>
      </c>
      <c r="J73" s="57">
        <v>46098</v>
      </c>
    </row>
    <row r="74" spans="1:10" hidden="1">
      <c r="A74" t="s">
        <v>3468</v>
      </c>
      <c r="B74" t="s">
        <v>3469</v>
      </c>
      <c r="C74" s="57">
        <v>45787</v>
      </c>
      <c r="F74" s="11">
        <v>111</v>
      </c>
      <c r="G74" t="s">
        <v>3470</v>
      </c>
      <c r="I74" s="11">
        <v>20.010000000000002</v>
      </c>
    </row>
    <row r="75" spans="1:10" hidden="1">
      <c r="A75" t="s">
        <v>3471</v>
      </c>
      <c r="B75" t="s">
        <v>3312</v>
      </c>
      <c r="C75" s="57">
        <v>46006</v>
      </c>
      <c r="D75" s="57">
        <v>46053</v>
      </c>
      <c r="F75" s="11">
        <v>217.4</v>
      </c>
      <c r="G75" t="s">
        <v>3313</v>
      </c>
      <c r="H75" t="s">
        <v>3314</v>
      </c>
      <c r="I75" s="11">
        <v>39.200000000000003</v>
      </c>
      <c r="J75" s="57">
        <v>46053</v>
      </c>
    </row>
    <row r="76" spans="1:10" hidden="1">
      <c r="A76" t="s">
        <v>3471</v>
      </c>
      <c r="B76" t="s">
        <v>3472</v>
      </c>
      <c r="C76" s="57">
        <v>45807</v>
      </c>
      <c r="D76" s="57">
        <v>45838</v>
      </c>
      <c r="F76" s="11">
        <v>314.64</v>
      </c>
      <c r="G76" t="s">
        <v>3473</v>
      </c>
      <c r="H76" t="s">
        <v>3314</v>
      </c>
      <c r="I76" s="11">
        <v>56.74</v>
      </c>
      <c r="J76" s="57">
        <v>45838</v>
      </c>
    </row>
    <row r="77" spans="1:10" hidden="1">
      <c r="A77" t="s">
        <v>284</v>
      </c>
      <c r="B77" t="s">
        <v>303</v>
      </c>
      <c r="C77" s="57">
        <v>45897</v>
      </c>
      <c r="D77" s="57">
        <v>45897</v>
      </c>
      <c r="E77" t="s">
        <v>4191</v>
      </c>
      <c r="F77" s="11">
        <v>395.28</v>
      </c>
      <c r="G77" t="s">
        <v>3939</v>
      </c>
      <c r="H77" t="s">
        <v>3314</v>
      </c>
      <c r="I77" s="11">
        <v>71.28</v>
      </c>
      <c r="J77" s="57">
        <v>45957</v>
      </c>
    </row>
    <row r="78" spans="1:10" hidden="1">
      <c r="A78" t="s">
        <v>284</v>
      </c>
      <c r="B78" t="s">
        <v>3474</v>
      </c>
      <c r="C78" s="57">
        <v>45862</v>
      </c>
      <c r="D78" s="57">
        <v>45862</v>
      </c>
      <c r="F78" s="11">
        <v>68.319999999999993</v>
      </c>
      <c r="G78" t="s">
        <v>3475</v>
      </c>
      <c r="H78" t="s">
        <v>3314</v>
      </c>
      <c r="I78" s="11">
        <v>12.32</v>
      </c>
      <c r="J78" s="57">
        <v>45922</v>
      </c>
    </row>
    <row r="79" spans="1:10" hidden="1">
      <c r="A79" t="s">
        <v>284</v>
      </c>
      <c r="B79" t="s">
        <v>3476</v>
      </c>
      <c r="C79" s="57">
        <v>45841</v>
      </c>
      <c r="D79" s="57">
        <v>45841</v>
      </c>
      <c r="F79" s="11">
        <v>220.82</v>
      </c>
      <c r="G79" t="s">
        <v>3477</v>
      </c>
      <c r="H79" t="s">
        <v>3314</v>
      </c>
      <c r="I79" s="11">
        <v>39.82</v>
      </c>
      <c r="J79" s="57">
        <v>45901</v>
      </c>
    </row>
    <row r="80" spans="1:10" hidden="1">
      <c r="A80" t="s">
        <v>284</v>
      </c>
      <c r="B80" t="s">
        <v>293</v>
      </c>
      <c r="C80" s="57">
        <v>45824</v>
      </c>
      <c r="D80" s="57">
        <v>45824</v>
      </c>
      <c r="F80" s="11">
        <v>126.88</v>
      </c>
      <c r="G80" t="s">
        <v>3940</v>
      </c>
      <c r="H80" t="s">
        <v>3314</v>
      </c>
      <c r="I80" s="11">
        <v>22.88</v>
      </c>
      <c r="J80" s="57">
        <v>45884</v>
      </c>
    </row>
    <row r="81" spans="1:10" hidden="1">
      <c r="A81" t="s">
        <v>284</v>
      </c>
      <c r="B81" t="s">
        <v>289</v>
      </c>
      <c r="C81" s="57">
        <v>45777</v>
      </c>
      <c r="D81" s="57">
        <v>45777</v>
      </c>
      <c r="F81" s="11">
        <v>142.74</v>
      </c>
      <c r="G81" t="s">
        <v>3941</v>
      </c>
      <c r="H81" t="s">
        <v>3314</v>
      </c>
      <c r="I81" s="11">
        <v>25.74</v>
      </c>
      <c r="J81" s="57">
        <v>45837</v>
      </c>
    </row>
    <row r="82" spans="1:10" hidden="1">
      <c r="A82" t="s">
        <v>284</v>
      </c>
      <c r="B82" t="s">
        <v>285</v>
      </c>
      <c r="C82" s="57">
        <v>45733</v>
      </c>
      <c r="D82" s="57">
        <v>45733</v>
      </c>
      <c r="F82" s="11">
        <v>233.02</v>
      </c>
      <c r="G82" t="s">
        <v>3942</v>
      </c>
      <c r="H82" t="s">
        <v>3314</v>
      </c>
      <c r="I82" s="11">
        <v>42.02</v>
      </c>
      <c r="J82" s="57">
        <v>45793</v>
      </c>
    </row>
    <row r="83" spans="1:10" hidden="1">
      <c r="A83" t="s">
        <v>309</v>
      </c>
      <c r="B83" t="s">
        <v>317</v>
      </c>
      <c r="C83" s="57">
        <v>45978</v>
      </c>
      <c r="D83" s="57">
        <v>45978</v>
      </c>
      <c r="F83" s="11">
        <v>30000</v>
      </c>
      <c r="G83" t="s">
        <v>3943</v>
      </c>
      <c r="H83" t="s">
        <v>3314</v>
      </c>
      <c r="I83" s="11">
        <v>0</v>
      </c>
      <c r="J83" s="57">
        <v>46038</v>
      </c>
    </row>
    <row r="84" spans="1:10" hidden="1">
      <c r="A84" t="s">
        <v>309</v>
      </c>
      <c r="B84" t="s">
        <v>314</v>
      </c>
      <c r="C84" s="57">
        <v>45958</v>
      </c>
      <c r="D84" s="57">
        <v>45958</v>
      </c>
      <c r="F84" s="11">
        <v>30000</v>
      </c>
      <c r="G84" t="s">
        <v>3943</v>
      </c>
      <c r="H84" t="s">
        <v>3314</v>
      </c>
      <c r="I84" s="11">
        <v>0</v>
      </c>
      <c r="J84" s="57">
        <v>46018</v>
      </c>
    </row>
    <row r="85" spans="1:10" hidden="1">
      <c r="A85" t="s">
        <v>309</v>
      </c>
      <c r="B85" t="s">
        <v>310</v>
      </c>
      <c r="C85" s="57">
        <v>45868</v>
      </c>
      <c r="D85" s="57">
        <v>45868</v>
      </c>
      <c r="E85" t="s">
        <v>4191</v>
      </c>
      <c r="F85" s="11">
        <v>40000</v>
      </c>
      <c r="G85" t="s">
        <v>3943</v>
      </c>
      <c r="H85" t="s">
        <v>3314</v>
      </c>
      <c r="I85" s="11">
        <v>0</v>
      </c>
      <c r="J85" s="57">
        <v>45928</v>
      </c>
    </row>
    <row r="86" spans="1:10" hidden="1">
      <c r="A86" t="s">
        <v>318</v>
      </c>
      <c r="B86" t="s">
        <v>324</v>
      </c>
      <c r="C86" s="57">
        <v>45808</v>
      </c>
      <c r="D86" s="57">
        <v>45838</v>
      </c>
      <c r="E86" t="s">
        <v>4191</v>
      </c>
      <c r="F86" s="11">
        <v>1481.77</v>
      </c>
      <c r="G86" t="s">
        <v>3944</v>
      </c>
      <c r="H86" t="s">
        <v>3314</v>
      </c>
      <c r="I86" s="11">
        <v>534.41</v>
      </c>
      <c r="J86" s="57">
        <v>45838</v>
      </c>
    </row>
    <row r="87" spans="1:10" hidden="1">
      <c r="A87" t="s">
        <v>318</v>
      </c>
      <c r="B87" t="s">
        <v>324</v>
      </c>
      <c r="C87" s="57">
        <v>45808</v>
      </c>
      <c r="D87" s="57">
        <v>45869</v>
      </c>
      <c r="E87" t="s">
        <v>4191</v>
      </c>
      <c r="F87" s="11">
        <v>1481.77</v>
      </c>
      <c r="G87" t="s">
        <v>3944</v>
      </c>
      <c r="H87" t="s">
        <v>3314</v>
      </c>
      <c r="I87" s="11">
        <v>534.41</v>
      </c>
      <c r="J87" s="57">
        <v>45869</v>
      </c>
    </row>
    <row r="88" spans="1:10" hidden="1">
      <c r="A88" t="s">
        <v>318</v>
      </c>
      <c r="B88" t="s">
        <v>322</v>
      </c>
      <c r="C88" s="57">
        <v>45703</v>
      </c>
      <c r="D88" s="57">
        <v>45747</v>
      </c>
      <c r="E88" t="s">
        <v>4191</v>
      </c>
      <c r="F88" s="11">
        <v>1453.17</v>
      </c>
      <c r="G88" t="s">
        <v>3945</v>
      </c>
      <c r="H88" t="s">
        <v>3314</v>
      </c>
      <c r="I88" s="11">
        <v>524.1</v>
      </c>
      <c r="J88" s="57">
        <v>45747</v>
      </c>
    </row>
    <row r="89" spans="1:10" hidden="1">
      <c r="A89" t="s">
        <v>318</v>
      </c>
      <c r="B89" t="s">
        <v>322</v>
      </c>
      <c r="C89" s="57">
        <v>45703</v>
      </c>
      <c r="D89" s="57">
        <v>45777</v>
      </c>
      <c r="E89" t="s">
        <v>4191</v>
      </c>
      <c r="F89" s="11">
        <v>1453.18</v>
      </c>
      <c r="G89" t="s">
        <v>3945</v>
      </c>
      <c r="H89" t="s">
        <v>3314</v>
      </c>
      <c r="I89" s="11">
        <v>524.1</v>
      </c>
      <c r="J89" s="57">
        <v>45777</v>
      </c>
    </row>
    <row r="90" spans="1:10" hidden="1">
      <c r="A90" t="s">
        <v>318</v>
      </c>
      <c r="B90" t="s">
        <v>319</v>
      </c>
      <c r="C90" s="57">
        <v>45672</v>
      </c>
      <c r="D90" s="57">
        <v>45716</v>
      </c>
      <c r="E90" t="s">
        <v>4191</v>
      </c>
      <c r="F90" s="11">
        <v>1342.75</v>
      </c>
      <c r="G90" t="s">
        <v>3946</v>
      </c>
      <c r="H90" t="s">
        <v>3314</v>
      </c>
      <c r="I90" s="11">
        <v>484.27</v>
      </c>
      <c r="J90" s="57">
        <v>45716</v>
      </c>
    </row>
    <row r="91" spans="1:10" hidden="1">
      <c r="A91" t="s">
        <v>318</v>
      </c>
      <c r="B91" t="s">
        <v>319</v>
      </c>
      <c r="C91" s="57">
        <v>45672</v>
      </c>
      <c r="D91" s="57">
        <v>45747</v>
      </c>
      <c r="E91" t="s">
        <v>4191</v>
      </c>
      <c r="F91" s="11">
        <v>1342.75</v>
      </c>
      <c r="G91" t="s">
        <v>3946</v>
      </c>
      <c r="H91" t="s">
        <v>3314</v>
      </c>
      <c r="I91" s="11">
        <v>484.27</v>
      </c>
      <c r="J91" s="57">
        <v>45747</v>
      </c>
    </row>
    <row r="92" spans="1:10" hidden="1">
      <c r="A92" t="s">
        <v>3478</v>
      </c>
      <c r="B92" t="s">
        <v>343</v>
      </c>
      <c r="C92" s="57">
        <v>45798</v>
      </c>
      <c r="F92" s="11">
        <v>5000</v>
      </c>
      <c r="G92" t="s">
        <v>3479</v>
      </c>
      <c r="H92" t="s">
        <v>3314</v>
      </c>
      <c r="I92" s="11">
        <v>0</v>
      </c>
    </row>
    <row r="93" spans="1:10" hidden="1">
      <c r="A93" t="s">
        <v>3478</v>
      </c>
      <c r="B93" t="s">
        <v>340</v>
      </c>
      <c r="C93" s="57">
        <v>45687</v>
      </c>
      <c r="F93" s="11">
        <v>5345.42</v>
      </c>
      <c r="G93" t="s">
        <v>3480</v>
      </c>
      <c r="H93" t="s">
        <v>3314</v>
      </c>
      <c r="I93" s="11">
        <v>1064.25</v>
      </c>
    </row>
    <row r="94" spans="1:10" hidden="1">
      <c r="A94" t="s">
        <v>3478</v>
      </c>
      <c r="B94" t="s">
        <v>335</v>
      </c>
      <c r="C94" s="57">
        <v>45682</v>
      </c>
      <c r="F94" s="11">
        <v>5276.37</v>
      </c>
      <c r="G94" t="s">
        <v>3481</v>
      </c>
      <c r="H94" t="s">
        <v>3314</v>
      </c>
      <c r="I94" s="11">
        <v>1050.5</v>
      </c>
    </row>
    <row r="95" spans="1:10" hidden="1">
      <c r="A95" t="s">
        <v>3478</v>
      </c>
      <c r="B95" t="s">
        <v>338</v>
      </c>
      <c r="C95" s="57">
        <v>45680</v>
      </c>
      <c r="F95" s="11">
        <v>6008.44</v>
      </c>
      <c r="G95" t="s">
        <v>3482</v>
      </c>
      <c r="H95" t="s">
        <v>3314</v>
      </c>
      <c r="I95" s="11">
        <v>1196.25</v>
      </c>
    </row>
    <row r="96" spans="1:10" hidden="1">
      <c r="A96" t="s">
        <v>3483</v>
      </c>
      <c r="B96" t="s">
        <v>331</v>
      </c>
      <c r="C96" s="57">
        <v>45993</v>
      </c>
      <c r="F96" s="11">
        <v>8.5399999999999991</v>
      </c>
      <c r="G96" t="s">
        <v>3484</v>
      </c>
      <c r="I96" s="11">
        <v>1.54</v>
      </c>
    </row>
    <row r="97" spans="1:10" hidden="1">
      <c r="A97" t="s">
        <v>3483</v>
      </c>
      <c r="B97" t="s">
        <v>4136</v>
      </c>
      <c r="C97" s="57">
        <v>46027</v>
      </c>
      <c r="F97" s="11">
        <v>8.5399999999999991</v>
      </c>
      <c r="G97" t="s">
        <v>4137</v>
      </c>
      <c r="I97" s="11">
        <v>1.54</v>
      </c>
    </row>
    <row r="98" spans="1:10" hidden="1">
      <c r="A98" t="s">
        <v>3483</v>
      </c>
      <c r="B98" t="s">
        <v>4259</v>
      </c>
      <c r="C98" s="57">
        <v>46056</v>
      </c>
      <c r="F98" s="11">
        <v>8.5399999999999991</v>
      </c>
      <c r="G98" t="s">
        <v>4260</v>
      </c>
      <c r="I98" s="11">
        <v>1.54</v>
      </c>
    </row>
    <row r="99" spans="1:10" hidden="1">
      <c r="A99" t="s">
        <v>3485</v>
      </c>
      <c r="B99" t="s">
        <v>3486</v>
      </c>
      <c r="C99" s="57">
        <v>45757</v>
      </c>
      <c r="F99" s="11">
        <v>127.8</v>
      </c>
      <c r="G99" t="s">
        <v>3487</v>
      </c>
      <c r="I99" s="11">
        <v>23.05</v>
      </c>
    </row>
    <row r="100" spans="1:10" hidden="1">
      <c r="A100" t="s">
        <v>3488</v>
      </c>
      <c r="B100" t="s">
        <v>372</v>
      </c>
      <c r="C100" s="57">
        <v>45991</v>
      </c>
      <c r="D100" s="57">
        <v>46053</v>
      </c>
      <c r="F100" s="11">
        <v>92.92</v>
      </c>
      <c r="G100" t="s">
        <v>3489</v>
      </c>
      <c r="H100" t="s">
        <v>125</v>
      </c>
      <c r="I100" s="11">
        <v>16.760000000000002</v>
      </c>
      <c r="J100" s="57">
        <v>46053</v>
      </c>
    </row>
    <row r="101" spans="1:10" hidden="1">
      <c r="A101" t="s">
        <v>3488</v>
      </c>
      <c r="B101" t="s">
        <v>2102</v>
      </c>
      <c r="C101" s="57">
        <v>45987</v>
      </c>
      <c r="D101" s="57">
        <v>45987</v>
      </c>
      <c r="F101" s="11">
        <v>31.99</v>
      </c>
      <c r="G101" t="s">
        <v>3490</v>
      </c>
      <c r="H101" t="s">
        <v>751</v>
      </c>
      <c r="I101" s="11">
        <v>5.77</v>
      </c>
      <c r="J101" s="57">
        <v>46047</v>
      </c>
    </row>
    <row r="102" spans="1:10" hidden="1">
      <c r="A102" t="s">
        <v>3491</v>
      </c>
      <c r="B102" t="s">
        <v>368</v>
      </c>
      <c r="C102" s="57">
        <v>45869</v>
      </c>
      <c r="D102" s="57">
        <v>45869</v>
      </c>
      <c r="F102" s="11">
        <v>11.24</v>
      </c>
      <c r="G102" t="s">
        <v>3496</v>
      </c>
      <c r="H102" t="s">
        <v>3314</v>
      </c>
      <c r="I102" s="11">
        <v>2.0299999999999998</v>
      </c>
      <c r="J102" s="57">
        <v>45929</v>
      </c>
    </row>
    <row r="103" spans="1:10" hidden="1">
      <c r="A103" t="s">
        <v>3491</v>
      </c>
      <c r="B103" t="s">
        <v>366</v>
      </c>
      <c r="C103" s="57">
        <v>45838</v>
      </c>
      <c r="D103" s="57">
        <v>45905</v>
      </c>
      <c r="F103" s="11">
        <v>33.659999999999997</v>
      </c>
      <c r="G103" t="s">
        <v>3498</v>
      </c>
      <c r="H103" t="s">
        <v>125</v>
      </c>
      <c r="I103" s="11">
        <v>6.07</v>
      </c>
      <c r="J103" s="57">
        <v>45905</v>
      </c>
    </row>
    <row r="104" spans="1:10" hidden="1">
      <c r="A104" t="s">
        <v>3491</v>
      </c>
      <c r="B104" t="s">
        <v>362</v>
      </c>
      <c r="C104" s="57">
        <v>45831</v>
      </c>
      <c r="D104" s="57">
        <v>45831</v>
      </c>
      <c r="F104" s="11">
        <v>37.94</v>
      </c>
      <c r="G104" t="s">
        <v>3494</v>
      </c>
      <c r="H104" t="s">
        <v>751</v>
      </c>
      <c r="I104" s="11">
        <v>6.84</v>
      </c>
      <c r="J104" s="57">
        <v>45891</v>
      </c>
    </row>
    <row r="105" spans="1:10" hidden="1">
      <c r="A105" t="s">
        <v>3491</v>
      </c>
      <c r="B105" t="s">
        <v>359</v>
      </c>
      <c r="C105" s="57">
        <v>45828</v>
      </c>
      <c r="D105" s="57">
        <v>45828</v>
      </c>
      <c r="F105" s="11">
        <v>15.47</v>
      </c>
      <c r="G105" t="s">
        <v>3493</v>
      </c>
      <c r="H105" t="s">
        <v>751</v>
      </c>
      <c r="I105" s="11">
        <v>2.79</v>
      </c>
      <c r="J105" s="57">
        <v>45888</v>
      </c>
    </row>
    <row r="106" spans="1:10" hidden="1">
      <c r="A106" t="s">
        <v>3491</v>
      </c>
      <c r="B106" t="s">
        <v>357</v>
      </c>
      <c r="C106" s="57">
        <v>45771</v>
      </c>
      <c r="D106" s="57">
        <v>45771</v>
      </c>
      <c r="F106" s="11">
        <v>21.2</v>
      </c>
      <c r="G106" t="s">
        <v>3492</v>
      </c>
      <c r="H106" t="s">
        <v>751</v>
      </c>
      <c r="I106" s="11">
        <v>3.82</v>
      </c>
      <c r="J106" s="57">
        <v>45831</v>
      </c>
    </row>
    <row r="107" spans="1:10" hidden="1">
      <c r="A107" t="s">
        <v>3491</v>
      </c>
      <c r="B107" t="s">
        <v>355</v>
      </c>
      <c r="C107" s="57">
        <v>45716</v>
      </c>
      <c r="D107" s="57">
        <v>45716</v>
      </c>
      <c r="F107" s="11">
        <v>4.7</v>
      </c>
      <c r="G107" t="s">
        <v>3497</v>
      </c>
      <c r="H107" t="s">
        <v>3314</v>
      </c>
      <c r="I107" s="11">
        <v>0.85</v>
      </c>
      <c r="J107" s="57">
        <v>45776</v>
      </c>
    </row>
    <row r="108" spans="1:10" hidden="1">
      <c r="A108" t="s">
        <v>3491</v>
      </c>
      <c r="B108" t="s">
        <v>352</v>
      </c>
      <c r="C108" s="57">
        <v>45688</v>
      </c>
      <c r="D108" s="57">
        <v>45747</v>
      </c>
      <c r="F108" s="11">
        <v>218.72</v>
      </c>
      <c r="G108" t="s">
        <v>3495</v>
      </c>
      <c r="H108" t="s">
        <v>125</v>
      </c>
      <c r="I108" s="11">
        <v>39.44</v>
      </c>
      <c r="J108" s="57">
        <v>45747</v>
      </c>
    </row>
    <row r="109" spans="1:10" hidden="1">
      <c r="A109" t="s">
        <v>3499</v>
      </c>
      <c r="B109" t="s">
        <v>392</v>
      </c>
      <c r="C109" s="57">
        <v>45716</v>
      </c>
      <c r="D109" s="57">
        <v>45777</v>
      </c>
      <c r="F109" s="11">
        <v>12667.41</v>
      </c>
      <c r="G109" t="s">
        <v>3501</v>
      </c>
      <c r="H109" t="s">
        <v>125</v>
      </c>
      <c r="I109" s="11">
        <v>487.21</v>
      </c>
      <c r="J109" s="57">
        <v>45777</v>
      </c>
    </row>
    <row r="110" spans="1:10" hidden="1">
      <c r="A110" t="s">
        <v>3499</v>
      </c>
      <c r="B110" t="s">
        <v>390</v>
      </c>
      <c r="C110" s="57">
        <v>45700</v>
      </c>
      <c r="D110" s="57">
        <v>45747</v>
      </c>
      <c r="F110" s="11">
        <v>11766.72</v>
      </c>
      <c r="G110" t="s">
        <v>3502</v>
      </c>
      <c r="H110" t="s">
        <v>125</v>
      </c>
      <c r="I110" s="11">
        <v>452.57</v>
      </c>
      <c r="J110" s="57">
        <v>45747</v>
      </c>
    </row>
    <row r="111" spans="1:10" hidden="1">
      <c r="A111" t="s">
        <v>3499</v>
      </c>
      <c r="B111" t="s">
        <v>387</v>
      </c>
      <c r="C111" s="57">
        <v>45673</v>
      </c>
      <c r="D111" s="57">
        <v>45716</v>
      </c>
      <c r="F111" s="11">
        <v>16925.38</v>
      </c>
      <c r="G111" t="s">
        <v>3500</v>
      </c>
      <c r="H111" t="s">
        <v>125</v>
      </c>
      <c r="I111" s="11">
        <v>650.98</v>
      </c>
      <c r="J111" s="57">
        <v>45716</v>
      </c>
    </row>
    <row r="112" spans="1:10" hidden="1">
      <c r="A112" t="s">
        <v>395</v>
      </c>
      <c r="B112" t="s">
        <v>396</v>
      </c>
      <c r="C112" s="57">
        <v>45734</v>
      </c>
      <c r="D112" s="57">
        <v>45808</v>
      </c>
      <c r="F112" s="11">
        <v>702.72</v>
      </c>
      <c r="G112" t="s">
        <v>3947</v>
      </c>
      <c r="H112" t="s">
        <v>125</v>
      </c>
      <c r="I112" s="11">
        <v>126.72</v>
      </c>
      <c r="J112" s="57">
        <v>45808</v>
      </c>
    </row>
    <row r="113" spans="1:10" hidden="1">
      <c r="A113" t="s">
        <v>4221</v>
      </c>
      <c r="B113" t="s">
        <v>4222</v>
      </c>
      <c r="C113" s="57">
        <v>46049</v>
      </c>
      <c r="F113" s="11">
        <v>19.52</v>
      </c>
      <c r="G113" t="s">
        <v>4223</v>
      </c>
      <c r="I113" s="11">
        <v>3.52</v>
      </c>
    </row>
    <row r="114" spans="1:10" hidden="1">
      <c r="A114" t="s">
        <v>400</v>
      </c>
      <c r="B114" t="s">
        <v>401</v>
      </c>
      <c r="C114" s="57">
        <v>45694</v>
      </c>
      <c r="D114" s="57">
        <v>45694</v>
      </c>
      <c r="E114" t="s">
        <v>4191</v>
      </c>
      <c r="F114" s="11">
        <v>14963.2</v>
      </c>
      <c r="G114" t="s">
        <v>3948</v>
      </c>
      <c r="H114" t="s">
        <v>3314</v>
      </c>
      <c r="I114" s="11">
        <v>3203.2</v>
      </c>
      <c r="J114" s="57">
        <v>45754</v>
      </c>
    </row>
    <row r="115" spans="1:10" hidden="1">
      <c r="A115" t="s">
        <v>3503</v>
      </c>
      <c r="B115" t="s">
        <v>2494</v>
      </c>
      <c r="C115" s="57">
        <v>46007</v>
      </c>
      <c r="D115" s="57">
        <v>46022</v>
      </c>
      <c r="F115" s="11">
        <v>458</v>
      </c>
      <c r="G115" t="s">
        <v>3504</v>
      </c>
      <c r="H115" t="s">
        <v>3314</v>
      </c>
      <c r="I115" s="11">
        <v>17.62</v>
      </c>
      <c r="J115" s="57">
        <v>46022</v>
      </c>
    </row>
    <row r="116" spans="1:10" hidden="1">
      <c r="A116" t="s">
        <v>3505</v>
      </c>
      <c r="B116" t="s">
        <v>3506</v>
      </c>
      <c r="C116" s="57">
        <v>45918</v>
      </c>
      <c r="D116" s="57">
        <v>45727</v>
      </c>
      <c r="F116" s="11">
        <v>3933.18</v>
      </c>
      <c r="G116" t="s">
        <v>3507</v>
      </c>
      <c r="H116" t="s">
        <v>3314</v>
      </c>
      <c r="I116" s="11">
        <v>841.98</v>
      </c>
      <c r="J116" s="57">
        <v>45727</v>
      </c>
    </row>
    <row r="117" spans="1:10" hidden="1">
      <c r="A117" t="s">
        <v>410</v>
      </c>
      <c r="B117" t="s">
        <v>3508</v>
      </c>
      <c r="C117" s="57">
        <v>45896</v>
      </c>
      <c r="D117" s="57">
        <v>45896</v>
      </c>
      <c r="F117" s="11">
        <v>406.94</v>
      </c>
      <c r="G117" t="s">
        <v>3509</v>
      </c>
      <c r="H117" t="s">
        <v>3314</v>
      </c>
      <c r="I117" s="11">
        <v>70.349999999999994</v>
      </c>
      <c r="J117" s="57">
        <v>45956</v>
      </c>
    </row>
    <row r="118" spans="1:10" hidden="1">
      <c r="A118" t="s">
        <v>3510</v>
      </c>
      <c r="B118" t="s">
        <v>415</v>
      </c>
      <c r="C118" s="57">
        <v>45699</v>
      </c>
      <c r="F118" s="11">
        <v>63.42</v>
      </c>
      <c r="G118" t="s">
        <v>3511</v>
      </c>
      <c r="H118" t="s">
        <v>751</v>
      </c>
      <c r="I118" s="11">
        <v>11.44</v>
      </c>
    </row>
    <row r="119" spans="1:10" hidden="1">
      <c r="A119" t="s">
        <v>3512</v>
      </c>
      <c r="B119" t="s">
        <v>426</v>
      </c>
      <c r="C119" s="57">
        <v>45966</v>
      </c>
      <c r="D119" s="57">
        <v>45966</v>
      </c>
      <c r="F119" s="11">
        <v>51.24</v>
      </c>
      <c r="G119" t="s">
        <v>3514</v>
      </c>
      <c r="H119" t="s">
        <v>3314</v>
      </c>
      <c r="I119" s="11">
        <v>9.24</v>
      </c>
      <c r="J119" s="57">
        <v>46026</v>
      </c>
    </row>
    <row r="120" spans="1:10" hidden="1">
      <c r="A120" t="s">
        <v>3512</v>
      </c>
      <c r="B120" t="s">
        <v>423</v>
      </c>
      <c r="C120" s="57">
        <v>45903</v>
      </c>
      <c r="D120" s="57">
        <v>45903</v>
      </c>
      <c r="F120" s="11">
        <v>51.24</v>
      </c>
      <c r="G120" t="s">
        <v>3514</v>
      </c>
      <c r="H120" t="s">
        <v>3314</v>
      </c>
      <c r="I120" s="11">
        <v>9.24</v>
      </c>
      <c r="J120" s="57">
        <v>45963</v>
      </c>
    </row>
    <row r="121" spans="1:10" hidden="1">
      <c r="A121" t="s">
        <v>3512</v>
      </c>
      <c r="B121" t="s">
        <v>419</v>
      </c>
      <c r="C121" s="57">
        <v>45873</v>
      </c>
      <c r="D121" s="57">
        <v>45873</v>
      </c>
      <c r="F121" s="11">
        <v>55.96</v>
      </c>
      <c r="G121" t="s">
        <v>3513</v>
      </c>
      <c r="H121" t="s">
        <v>3314</v>
      </c>
      <c r="I121" s="11">
        <v>10.09</v>
      </c>
      <c r="J121" s="57">
        <v>45933</v>
      </c>
    </row>
    <row r="122" spans="1:10" hidden="1">
      <c r="A122" t="s">
        <v>4128</v>
      </c>
      <c r="B122" t="s">
        <v>4129</v>
      </c>
      <c r="C122" s="57">
        <v>46043</v>
      </c>
      <c r="F122" s="11">
        <v>37.15</v>
      </c>
      <c r="G122" t="s">
        <v>4130</v>
      </c>
      <c r="H122" t="s">
        <v>751</v>
      </c>
      <c r="I122" s="11">
        <v>4.3599999999999994</v>
      </c>
    </row>
    <row r="123" spans="1:10" hidden="1">
      <c r="A123" t="s">
        <v>3515</v>
      </c>
      <c r="B123" t="s">
        <v>449</v>
      </c>
      <c r="C123" s="57">
        <v>45895</v>
      </c>
      <c r="D123" s="57">
        <v>45915</v>
      </c>
      <c r="F123" s="11">
        <v>10.84</v>
      </c>
      <c r="G123" t="s">
        <v>3520</v>
      </c>
      <c r="H123" t="s">
        <v>3446</v>
      </c>
      <c r="I123" s="11">
        <v>3.04</v>
      </c>
      <c r="J123" s="57">
        <v>45915</v>
      </c>
    </row>
    <row r="124" spans="1:10" hidden="1">
      <c r="A124" t="s">
        <v>3515</v>
      </c>
      <c r="B124" t="s">
        <v>447</v>
      </c>
      <c r="C124" s="57">
        <v>45864</v>
      </c>
      <c r="D124" s="57">
        <v>45887</v>
      </c>
      <c r="F124" s="11">
        <v>145.81</v>
      </c>
      <c r="G124" t="s">
        <v>3516</v>
      </c>
      <c r="H124" t="s">
        <v>3446</v>
      </c>
      <c r="I124" s="11">
        <v>26.29</v>
      </c>
      <c r="J124" s="57">
        <v>45887</v>
      </c>
    </row>
    <row r="125" spans="1:10" hidden="1">
      <c r="A125" t="s">
        <v>3515</v>
      </c>
      <c r="B125" t="s">
        <v>445</v>
      </c>
      <c r="C125" s="57">
        <v>45833</v>
      </c>
      <c r="D125" s="57">
        <v>45853</v>
      </c>
      <c r="F125" s="11">
        <v>38.19</v>
      </c>
      <c r="G125" t="s">
        <v>3516</v>
      </c>
      <c r="H125" t="s">
        <v>3446</v>
      </c>
      <c r="I125" s="11">
        <v>6.89</v>
      </c>
      <c r="J125" s="57">
        <v>45853</v>
      </c>
    </row>
    <row r="126" spans="1:10" hidden="1">
      <c r="A126" t="s">
        <v>3515</v>
      </c>
      <c r="B126" t="s">
        <v>441</v>
      </c>
      <c r="C126" s="57">
        <v>45804</v>
      </c>
      <c r="D126" s="57">
        <v>45824</v>
      </c>
      <c r="F126" s="11">
        <v>37.49</v>
      </c>
      <c r="G126" t="s">
        <v>3516</v>
      </c>
      <c r="H126" t="s">
        <v>3446</v>
      </c>
      <c r="I126" s="11">
        <v>6.76</v>
      </c>
      <c r="J126" s="57">
        <v>45824</v>
      </c>
    </row>
    <row r="127" spans="1:10" hidden="1">
      <c r="A127" t="s">
        <v>3515</v>
      </c>
      <c r="B127" t="s">
        <v>439</v>
      </c>
      <c r="C127" s="57">
        <v>45775</v>
      </c>
      <c r="D127" s="57">
        <v>45796</v>
      </c>
      <c r="F127" s="11">
        <v>265.18</v>
      </c>
      <c r="G127" t="s">
        <v>3517</v>
      </c>
      <c r="H127" t="s">
        <v>3446</v>
      </c>
      <c r="I127" s="11">
        <v>47.82</v>
      </c>
      <c r="J127" s="57">
        <v>45796</v>
      </c>
    </row>
    <row r="128" spans="1:10" hidden="1">
      <c r="A128" t="s">
        <v>3515</v>
      </c>
      <c r="B128" t="s">
        <v>437</v>
      </c>
      <c r="C128" s="57">
        <v>45741</v>
      </c>
      <c r="D128" s="57">
        <v>45761</v>
      </c>
      <c r="F128" s="11">
        <v>225.75</v>
      </c>
      <c r="G128" t="s">
        <v>3516</v>
      </c>
      <c r="H128" t="s">
        <v>3446</v>
      </c>
      <c r="I128" s="11">
        <v>40.71</v>
      </c>
      <c r="J128" s="57">
        <v>45761</v>
      </c>
    </row>
    <row r="129" spans="1:10" hidden="1">
      <c r="A129" t="s">
        <v>3515</v>
      </c>
      <c r="B129" t="s">
        <v>434</v>
      </c>
      <c r="C129" s="57">
        <v>45741</v>
      </c>
      <c r="D129" s="57">
        <v>45761</v>
      </c>
      <c r="F129" s="11">
        <v>37.86</v>
      </c>
      <c r="G129" t="s">
        <v>3516</v>
      </c>
      <c r="H129" t="s">
        <v>3446</v>
      </c>
      <c r="I129" s="11">
        <v>6.83</v>
      </c>
      <c r="J129" s="57">
        <v>45761</v>
      </c>
    </row>
    <row r="130" spans="1:10" hidden="1">
      <c r="A130" t="s">
        <v>3515</v>
      </c>
      <c r="B130" t="s">
        <v>432</v>
      </c>
      <c r="C130" s="57">
        <v>45714</v>
      </c>
      <c r="D130" s="57">
        <v>45734</v>
      </c>
      <c r="F130" s="11">
        <v>1230.1500000000001</v>
      </c>
      <c r="G130" t="s">
        <v>3516</v>
      </c>
      <c r="H130" t="s">
        <v>3446</v>
      </c>
      <c r="I130" s="11">
        <v>221.83</v>
      </c>
      <c r="J130" s="57">
        <v>45734</v>
      </c>
    </row>
    <row r="131" spans="1:10" hidden="1">
      <c r="A131" t="s">
        <v>3515</v>
      </c>
      <c r="B131" t="s">
        <v>3518</v>
      </c>
      <c r="C131" s="57">
        <v>45685</v>
      </c>
      <c r="D131" s="57">
        <v>45705</v>
      </c>
      <c r="F131" s="11">
        <v>450.51</v>
      </c>
      <c r="G131" t="s">
        <v>3519</v>
      </c>
      <c r="H131" t="s">
        <v>3446</v>
      </c>
      <c r="I131" s="11">
        <v>81.239999999999995</v>
      </c>
      <c r="J131" s="57">
        <v>45705</v>
      </c>
    </row>
    <row r="132" spans="1:10" hidden="1">
      <c r="A132" t="s">
        <v>4320</v>
      </c>
      <c r="B132" t="s">
        <v>1596</v>
      </c>
      <c r="C132" s="57">
        <v>46079</v>
      </c>
      <c r="D132" s="57">
        <v>46079</v>
      </c>
      <c r="F132" s="11">
        <v>78.08</v>
      </c>
      <c r="G132" t="s">
        <v>4321</v>
      </c>
      <c r="H132" t="s">
        <v>3314</v>
      </c>
      <c r="I132" s="11">
        <v>14.08</v>
      </c>
      <c r="J132" s="57">
        <v>46139</v>
      </c>
    </row>
    <row r="133" spans="1:10" hidden="1">
      <c r="A133" t="s">
        <v>451</v>
      </c>
      <c r="B133" t="s">
        <v>3521</v>
      </c>
      <c r="C133" s="57">
        <v>45978</v>
      </c>
      <c r="D133" s="57">
        <v>45978</v>
      </c>
      <c r="F133" s="11">
        <v>1098</v>
      </c>
      <c r="G133" t="s">
        <v>3522</v>
      </c>
      <c r="H133" t="s">
        <v>3314</v>
      </c>
      <c r="I133" s="11">
        <v>198</v>
      </c>
      <c r="J133" s="57">
        <v>46038</v>
      </c>
    </row>
    <row r="134" spans="1:10" hidden="1">
      <c r="A134" t="s">
        <v>3523</v>
      </c>
      <c r="B134" t="s">
        <v>3524</v>
      </c>
      <c r="C134" s="57">
        <v>45870</v>
      </c>
      <c r="F134" s="11">
        <v>124</v>
      </c>
      <c r="G134" t="s">
        <v>3525</v>
      </c>
      <c r="H134" t="s">
        <v>350</v>
      </c>
      <c r="I134" s="11">
        <v>11.27</v>
      </c>
    </row>
    <row r="135" spans="1:10" hidden="1">
      <c r="A135" t="s">
        <v>476</v>
      </c>
      <c r="B135" t="s">
        <v>340</v>
      </c>
      <c r="C135" s="57">
        <v>45685</v>
      </c>
      <c r="D135" s="57">
        <v>45685</v>
      </c>
      <c r="F135" s="11">
        <v>4998</v>
      </c>
      <c r="G135" t="s">
        <v>3949</v>
      </c>
      <c r="H135" t="s">
        <v>3314</v>
      </c>
      <c r="I135" s="11">
        <v>0</v>
      </c>
      <c r="J135" s="57">
        <v>45745</v>
      </c>
    </row>
    <row r="136" spans="1:10" hidden="1">
      <c r="A136" t="s">
        <v>3355</v>
      </c>
      <c r="B136" t="s">
        <v>3315</v>
      </c>
      <c r="C136" s="57">
        <v>46019</v>
      </c>
      <c r="D136" s="57">
        <v>46019</v>
      </c>
      <c r="F136" s="11">
        <v>5344</v>
      </c>
      <c r="G136" t="s">
        <v>3316</v>
      </c>
      <c r="H136" t="s">
        <v>3314</v>
      </c>
      <c r="I136" s="11">
        <v>1144</v>
      </c>
      <c r="J136" s="57">
        <v>46079</v>
      </c>
    </row>
    <row r="137" spans="1:10" hidden="1">
      <c r="A137" t="s">
        <v>3355</v>
      </c>
      <c r="B137" t="s">
        <v>3317</v>
      </c>
      <c r="C137" s="57">
        <v>46019</v>
      </c>
      <c r="D137" s="57">
        <v>46019</v>
      </c>
      <c r="F137" s="11">
        <v>2137.6</v>
      </c>
      <c r="G137" t="s">
        <v>3318</v>
      </c>
      <c r="H137" t="s">
        <v>3314</v>
      </c>
      <c r="I137" s="11">
        <v>457.6</v>
      </c>
      <c r="J137" s="57">
        <v>46079</v>
      </c>
    </row>
    <row r="138" spans="1:10" hidden="1">
      <c r="A138" t="s">
        <v>3526</v>
      </c>
      <c r="B138" t="s">
        <v>482</v>
      </c>
      <c r="C138" s="57">
        <v>45798</v>
      </c>
      <c r="D138" s="57">
        <v>45810</v>
      </c>
      <c r="E138" t="s">
        <v>4191</v>
      </c>
      <c r="F138" s="11">
        <v>8700</v>
      </c>
      <c r="G138" t="s">
        <v>3528</v>
      </c>
      <c r="H138" t="s">
        <v>751</v>
      </c>
      <c r="I138" s="11">
        <v>0</v>
      </c>
      <c r="J138" s="57">
        <v>45810</v>
      </c>
    </row>
    <row r="139" spans="1:10" hidden="1">
      <c r="A139" t="s">
        <v>3526</v>
      </c>
      <c r="B139" t="s">
        <v>479</v>
      </c>
      <c r="C139" s="57">
        <v>45705</v>
      </c>
      <c r="D139" s="57">
        <v>45705</v>
      </c>
      <c r="F139" s="11">
        <v>3500</v>
      </c>
      <c r="G139" t="s">
        <v>3527</v>
      </c>
      <c r="H139" t="s">
        <v>3314</v>
      </c>
      <c r="I139" s="11">
        <v>0</v>
      </c>
      <c r="J139" s="57">
        <v>45765</v>
      </c>
    </row>
    <row r="140" spans="1:10" hidden="1">
      <c r="A140" t="s">
        <v>3529</v>
      </c>
      <c r="B140" t="s">
        <v>488</v>
      </c>
      <c r="C140" s="57">
        <v>45775</v>
      </c>
      <c r="D140" s="57">
        <v>45848</v>
      </c>
      <c r="F140" s="11">
        <v>1058</v>
      </c>
      <c r="G140" t="s">
        <v>3530</v>
      </c>
      <c r="H140" t="s">
        <v>125</v>
      </c>
      <c r="I140" s="11">
        <v>0</v>
      </c>
      <c r="J140" s="57">
        <v>45848</v>
      </c>
    </row>
    <row r="141" spans="1:10" hidden="1">
      <c r="A141" t="s">
        <v>3529</v>
      </c>
      <c r="B141" t="s">
        <v>488</v>
      </c>
      <c r="C141" s="57">
        <v>45775</v>
      </c>
      <c r="D141" s="57">
        <v>45879</v>
      </c>
      <c r="F141" s="11">
        <v>1058</v>
      </c>
      <c r="G141" t="s">
        <v>3530</v>
      </c>
      <c r="H141" t="s">
        <v>125</v>
      </c>
      <c r="I141" s="11">
        <v>0</v>
      </c>
      <c r="J141" s="57">
        <v>45879</v>
      </c>
    </row>
    <row r="142" spans="1:10" hidden="1">
      <c r="A142" t="s">
        <v>494</v>
      </c>
      <c r="B142" t="s">
        <v>482</v>
      </c>
      <c r="C142" s="57">
        <v>45897</v>
      </c>
      <c r="F142" s="11">
        <v>3000</v>
      </c>
      <c r="G142" t="s">
        <v>3950</v>
      </c>
      <c r="H142" t="s">
        <v>3314</v>
      </c>
      <c r="I142" s="11">
        <v>635.37</v>
      </c>
    </row>
    <row r="143" spans="1:10" hidden="1">
      <c r="A143" t="s">
        <v>494</v>
      </c>
      <c r="B143" t="s">
        <v>495</v>
      </c>
      <c r="C143" s="57">
        <v>45698</v>
      </c>
      <c r="F143" s="11">
        <v>7139.52</v>
      </c>
      <c r="G143" t="s">
        <v>3951</v>
      </c>
      <c r="H143" t="s">
        <v>3314</v>
      </c>
      <c r="I143" s="11">
        <v>1521.52</v>
      </c>
    </row>
    <row r="144" spans="1:10" hidden="1">
      <c r="A144" t="s">
        <v>3531</v>
      </c>
      <c r="B144" t="s">
        <v>511</v>
      </c>
      <c r="C144" s="57">
        <v>45988</v>
      </c>
      <c r="D144" s="57">
        <v>46022</v>
      </c>
      <c r="F144" s="11">
        <v>111.58</v>
      </c>
      <c r="G144" t="s">
        <v>3532</v>
      </c>
      <c r="H144" t="s">
        <v>3309</v>
      </c>
      <c r="I144" s="11">
        <v>20.12</v>
      </c>
      <c r="J144" s="57">
        <v>46022</v>
      </c>
    </row>
    <row r="145" spans="1:10" hidden="1">
      <c r="A145" t="s">
        <v>3531</v>
      </c>
      <c r="B145" t="s">
        <v>507</v>
      </c>
      <c r="C145" s="57">
        <v>45929</v>
      </c>
      <c r="D145" s="57">
        <v>45961</v>
      </c>
      <c r="F145" s="11">
        <v>36.659999999999997</v>
      </c>
      <c r="G145" t="s">
        <v>3533</v>
      </c>
      <c r="H145" t="s">
        <v>3309</v>
      </c>
      <c r="I145" s="11">
        <v>6.61</v>
      </c>
      <c r="J145" s="57">
        <v>45961</v>
      </c>
    </row>
    <row r="146" spans="1:10" hidden="1">
      <c r="A146" t="s">
        <v>3531</v>
      </c>
      <c r="B146" t="s">
        <v>505</v>
      </c>
      <c r="C146" s="57">
        <v>45835</v>
      </c>
      <c r="D146" s="57">
        <v>45869</v>
      </c>
      <c r="F146" s="11">
        <v>36.659999999999997</v>
      </c>
      <c r="G146" t="s">
        <v>3533</v>
      </c>
      <c r="H146" t="s">
        <v>3309</v>
      </c>
      <c r="I146" s="11">
        <v>6.61</v>
      </c>
      <c r="J146" s="57">
        <v>45869</v>
      </c>
    </row>
    <row r="147" spans="1:10" hidden="1">
      <c r="A147" t="s">
        <v>513</v>
      </c>
      <c r="B147" t="s">
        <v>555</v>
      </c>
      <c r="C147" s="57">
        <v>45919</v>
      </c>
      <c r="F147" s="11">
        <v>26</v>
      </c>
      <c r="G147" t="s">
        <v>3340</v>
      </c>
      <c r="I147" s="11">
        <v>2.36</v>
      </c>
    </row>
    <row r="148" spans="1:10" hidden="1">
      <c r="A148" t="s">
        <v>513</v>
      </c>
      <c r="B148" t="s">
        <v>550</v>
      </c>
      <c r="C148" s="57">
        <v>45839</v>
      </c>
      <c r="F148" s="11">
        <v>78</v>
      </c>
      <c r="G148" t="s">
        <v>3340</v>
      </c>
      <c r="I148" s="11">
        <v>7.09</v>
      </c>
    </row>
    <row r="149" spans="1:10" hidden="1">
      <c r="A149" t="s">
        <v>513</v>
      </c>
      <c r="B149" t="s">
        <v>548</v>
      </c>
      <c r="C149" s="57">
        <v>45839</v>
      </c>
      <c r="F149" s="11">
        <v>78</v>
      </c>
      <c r="G149" t="s">
        <v>3952</v>
      </c>
      <c r="I149" s="11">
        <v>7.09</v>
      </c>
    </row>
    <row r="150" spans="1:10" hidden="1">
      <c r="A150" t="s">
        <v>513</v>
      </c>
      <c r="B150" t="s">
        <v>546</v>
      </c>
      <c r="C150" s="57">
        <v>45808</v>
      </c>
      <c r="F150" s="11">
        <v>13</v>
      </c>
      <c r="G150" t="s">
        <v>3340</v>
      </c>
      <c r="I150" s="11">
        <v>1.18</v>
      </c>
    </row>
    <row r="151" spans="1:10" hidden="1">
      <c r="A151" t="s">
        <v>513</v>
      </c>
      <c r="B151" t="s">
        <v>544</v>
      </c>
      <c r="C151" s="57">
        <v>45791</v>
      </c>
      <c r="F151" s="11">
        <v>39</v>
      </c>
      <c r="G151" t="s">
        <v>3340</v>
      </c>
      <c r="I151" s="11">
        <v>3.55</v>
      </c>
    </row>
    <row r="152" spans="1:10" hidden="1">
      <c r="A152" t="s">
        <v>513</v>
      </c>
      <c r="B152" t="s">
        <v>542</v>
      </c>
      <c r="C152" s="57">
        <v>45790</v>
      </c>
      <c r="F152" s="11">
        <v>39</v>
      </c>
      <c r="G152" t="s">
        <v>3340</v>
      </c>
      <c r="I152" s="11">
        <v>3.55</v>
      </c>
    </row>
    <row r="153" spans="1:10" hidden="1">
      <c r="A153" t="s">
        <v>513</v>
      </c>
      <c r="B153" t="s">
        <v>540</v>
      </c>
      <c r="C153" s="57">
        <v>45785</v>
      </c>
      <c r="F153" s="11">
        <v>26</v>
      </c>
      <c r="G153" t="s">
        <v>3340</v>
      </c>
      <c r="I153" s="11">
        <v>2.36</v>
      </c>
    </row>
    <row r="154" spans="1:10" hidden="1">
      <c r="A154" t="s">
        <v>513</v>
      </c>
      <c r="B154" t="s">
        <v>538</v>
      </c>
      <c r="C154" s="57">
        <v>45784</v>
      </c>
      <c r="F154" s="11">
        <v>26</v>
      </c>
      <c r="G154" t="s">
        <v>3340</v>
      </c>
      <c r="I154" s="11">
        <v>2.36</v>
      </c>
    </row>
    <row r="155" spans="1:10" hidden="1">
      <c r="A155" t="s">
        <v>513</v>
      </c>
      <c r="B155" t="s">
        <v>536</v>
      </c>
      <c r="C155" s="57">
        <v>45765</v>
      </c>
      <c r="F155" s="11">
        <v>52</v>
      </c>
      <c r="G155" t="s">
        <v>3340</v>
      </c>
      <c r="I155" s="11">
        <v>4.7300000000000004</v>
      </c>
    </row>
    <row r="156" spans="1:10" hidden="1">
      <c r="A156" t="s">
        <v>513</v>
      </c>
      <c r="B156" t="s">
        <v>534</v>
      </c>
      <c r="C156" s="57">
        <v>45764</v>
      </c>
      <c r="F156" s="11">
        <v>63</v>
      </c>
      <c r="G156" t="s">
        <v>3953</v>
      </c>
      <c r="I156" s="11">
        <v>5.73</v>
      </c>
    </row>
    <row r="157" spans="1:10" hidden="1">
      <c r="A157" t="s">
        <v>513</v>
      </c>
      <c r="B157" t="s">
        <v>532</v>
      </c>
      <c r="C157" s="57">
        <v>45763</v>
      </c>
      <c r="F157" s="11">
        <v>52</v>
      </c>
      <c r="G157" t="s">
        <v>3340</v>
      </c>
      <c r="I157" s="11">
        <v>4.7300000000000004</v>
      </c>
    </row>
    <row r="158" spans="1:10" hidden="1">
      <c r="A158" t="s">
        <v>513</v>
      </c>
      <c r="B158" t="s">
        <v>530</v>
      </c>
      <c r="C158" s="57">
        <v>45762</v>
      </c>
      <c r="F158" s="11">
        <v>52</v>
      </c>
      <c r="G158" t="s">
        <v>3340</v>
      </c>
      <c r="I158" s="11">
        <v>4.7300000000000004</v>
      </c>
    </row>
    <row r="159" spans="1:10" hidden="1">
      <c r="A159" t="s">
        <v>513</v>
      </c>
      <c r="B159" t="s">
        <v>528</v>
      </c>
      <c r="C159" s="57">
        <v>45758</v>
      </c>
      <c r="F159" s="11">
        <v>52</v>
      </c>
      <c r="G159" t="s">
        <v>3340</v>
      </c>
      <c r="I159" s="11">
        <v>4.7300000000000004</v>
      </c>
    </row>
    <row r="160" spans="1:10" hidden="1">
      <c r="A160" t="s">
        <v>513</v>
      </c>
      <c r="B160" t="s">
        <v>526</v>
      </c>
      <c r="C160" s="57">
        <v>45757</v>
      </c>
      <c r="F160" s="11">
        <v>26</v>
      </c>
      <c r="G160" t="s">
        <v>3340</v>
      </c>
      <c r="I160" s="11">
        <v>2.36</v>
      </c>
    </row>
    <row r="161" spans="1:10" hidden="1">
      <c r="A161" t="s">
        <v>513</v>
      </c>
      <c r="B161" t="s">
        <v>524</v>
      </c>
      <c r="C161" s="57">
        <v>45752</v>
      </c>
      <c r="F161" s="11">
        <v>26</v>
      </c>
      <c r="G161" t="s">
        <v>3340</v>
      </c>
      <c r="I161" s="11">
        <v>2.36</v>
      </c>
    </row>
    <row r="162" spans="1:10" hidden="1">
      <c r="A162" t="s">
        <v>513</v>
      </c>
      <c r="B162" t="s">
        <v>522</v>
      </c>
      <c r="C162" s="57">
        <v>45745</v>
      </c>
      <c r="F162" s="11">
        <v>26</v>
      </c>
      <c r="G162" t="s">
        <v>3340</v>
      </c>
      <c r="I162" s="11">
        <v>2.36</v>
      </c>
    </row>
    <row r="163" spans="1:10" hidden="1">
      <c r="A163" t="s">
        <v>513</v>
      </c>
      <c r="B163" t="s">
        <v>520</v>
      </c>
      <c r="C163" s="57">
        <v>45738</v>
      </c>
      <c r="F163" s="11">
        <v>39</v>
      </c>
      <c r="G163" t="s">
        <v>3340</v>
      </c>
      <c r="I163" s="11">
        <v>3.55</v>
      </c>
    </row>
    <row r="164" spans="1:10" hidden="1">
      <c r="A164" t="s">
        <v>513</v>
      </c>
      <c r="B164" t="s">
        <v>517</v>
      </c>
      <c r="C164" s="57">
        <v>45734</v>
      </c>
      <c r="F164" s="11">
        <v>26</v>
      </c>
      <c r="G164" t="s">
        <v>3340</v>
      </c>
      <c r="I164" s="11">
        <v>2.36</v>
      </c>
    </row>
    <row r="165" spans="1:10" hidden="1">
      <c r="A165" t="s">
        <v>513</v>
      </c>
      <c r="B165" t="s">
        <v>514</v>
      </c>
      <c r="C165" s="57">
        <v>45675</v>
      </c>
      <c r="F165" s="11">
        <v>26</v>
      </c>
      <c r="G165" t="s">
        <v>3340</v>
      </c>
      <c r="I165" s="11">
        <v>2.36</v>
      </c>
    </row>
    <row r="166" spans="1:10" hidden="1">
      <c r="A166" t="s">
        <v>3534</v>
      </c>
      <c r="B166" t="s">
        <v>560</v>
      </c>
      <c r="C166" s="57">
        <v>45688</v>
      </c>
      <c r="D166" s="57">
        <v>45688</v>
      </c>
      <c r="E166" t="s">
        <v>4191</v>
      </c>
      <c r="F166" s="11">
        <v>9000</v>
      </c>
      <c r="G166" t="s">
        <v>3535</v>
      </c>
      <c r="H166" t="s">
        <v>3314</v>
      </c>
      <c r="I166" s="11">
        <v>0</v>
      </c>
      <c r="J166" s="57">
        <v>45748</v>
      </c>
    </row>
    <row r="167" spans="1:10" hidden="1">
      <c r="A167" t="s">
        <v>562</v>
      </c>
      <c r="B167" t="s">
        <v>3536</v>
      </c>
      <c r="C167" s="57">
        <v>45687</v>
      </c>
      <c r="D167" s="57">
        <v>45687</v>
      </c>
      <c r="F167" s="11">
        <v>2.8</v>
      </c>
      <c r="G167" t="s">
        <v>3336</v>
      </c>
      <c r="H167" t="s">
        <v>3309</v>
      </c>
      <c r="I167" s="11">
        <v>0.5</v>
      </c>
      <c r="J167" s="57">
        <v>45747</v>
      </c>
    </row>
    <row r="168" spans="1:10" hidden="1">
      <c r="A168" t="s">
        <v>567</v>
      </c>
      <c r="B168" t="s">
        <v>578</v>
      </c>
      <c r="C168" s="57">
        <v>46001</v>
      </c>
      <c r="D168" s="57">
        <v>46021</v>
      </c>
      <c r="E168" t="s">
        <v>4191</v>
      </c>
      <c r="F168" s="11">
        <v>48.74</v>
      </c>
      <c r="G168" t="s">
        <v>3954</v>
      </c>
      <c r="H168" t="s">
        <v>3314</v>
      </c>
      <c r="I168" s="11">
        <v>0</v>
      </c>
      <c r="J168" s="57">
        <v>46021</v>
      </c>
    </row>
    <row r="169" spans="1:10" hidden="1">
      <c r="A169" t="s">
        <v>567</v>
      </c>
      <c r="B169" t="s">
        <v>574</v>
      </c>
      <c r="C169" s="57">
        <v>45698</v>
      </c>
      <c r="D169" s="57">
        <v>45719</v>
      </c>
      <c r="F169" s="11">
        <v>32.04</v>
      </c>
      <c r="G169" t="s">
        <v>3955</v>
      </c>
      <c r="H169" t="s">
        <v>570</v>
      </c>
      <c r="I169" s="11">
        <v>3.01</v>
      </c>
      <c r="J169" s="57">
        <v>45719</v>
      </c>
    </row>
    <row r="170" spans="1:10" hidden="1">
      <c r="A170" t="s">
        <v>567</v>
      </c>
      <c r="B170" t="s">
        <v>572</v>
      </c>
      <c r="C170" s="57">
        <v>45670</v>
      </c>
      <c r="D170" s="57">
        <v>45691</v>
      </c>
      <c r="F170" s="11">
        <v>301.44</v>
      </c>
      <c r="G170" t="s">
        <v>3956</v>
      </c>
      <c r="H170" t="s">
        <v>570</v>
      </c>
      <c r="I170" s="11">
        <v>54.36</v>
      </c>
      <c r="J170" s="57">
        <v>45691</v>
      </c>
    </row>
    <row r="171" spans="1:10" hidden="1">
      <c r="A171" t="s">
        <v>740</v>
      </c>
      <c r="B171" t="s">
        <v>746</v>
      </c>
      <c r="C171" s="57">
        <v>45992</v>
      </c>
      <c r="D171" s="57">
        <v>46022</v>
      </c>
      <c r="F171" s="11">
        <v>81</v>
      </c>
      <c r="G171" t="s">
        <v>3957</v>
      </c>
      <c r="H171" t="s">
        <v>3309</v>
      </c>
      <c r="I171" s="11">
        <v>14.57</v>
      </c>
      <c r="J171" s="57">
        <v>46022</v>
      </c>
    </row>
    <row r="172" spans="1:10" hidden="1">
      <c r="A172" t="s">
        <v>740</v>
      </c>
      <c r="B172" t="s">
        <v>743</v>
      </c>
      <c r="C172" s="57">
        <v>45870</v>
      </c>
      <c r="D172" s="57">
        <v>45896</v>
      </c>
      <c r="F172" s="11">
        <v>77</v>
      </c>
      <c r="G172" t="s">
        <v>3957</v>
      </c>
      <c r="H172" t="s">
        <v>3309</v>
      </c>
      <c r="I172" s="11">
        <v>13.88</v>
      </c>
      <c r="J172" s="57">
        <v>45896</v>
      </c>
    </row>
    <row r="173" spans="1:10" hidden="1">
      <c r="A173" t="s">
        <v>740</v>
      </c>
      <c r="B173" t="s">
        <v>741</v>
      </c>
      <c r="C173" s="57">
        <v>45748</v>
      </c>
      <c r="D173" s="57">
        <v>45777</v>
      </c>
      <c r="F173" s="11">
        <v>77</v>
      </c>
      <c r="G173" t="s">
        <v>3957</v>
      </c>
      <c r="H173" t="s">
        <v>3309</v>
      </c>
      <c r="I173" s="11">
        <v>13.91</v>
      </c>
      <c r="J173" s="57">
        <v>45777</v>
      </c>
    </row>
    <row r="174" spans="1:10" hidden="1">
      <c r="A174" t="s">
        <v>580</v>
      </c>
      <c r="B174" t="s">
        <v>3539</v>
      </c>
      <c r="C174" s="57">
        <v>45869</v>
      </c>
      <c r="D174" s="57">
        <v>45910</v>
      </c>
      <c r="F174" s="11">
        <v>716.02</v>
      </c>
      <c r="G174" t="s">
        <v>3538</v>
      </c>
      <c r="H174" t="s">
        <v>125</v>
      </c>
      <c r="I174" s="11">
        <v>129.12</v>
      </c>
      <c r="J174" s="57">
        <v>45910</v>
      </c>
    </row>
    <row r="175" spans="1:10" hidden="1">
      <c r="A175" t="s">
        <v>580</v>
      </c>
      <c r="B175" t="s">
        <v>3540</v>
      </c>
      <c r="C175" s="57">
        <v>45808</v>
      </c>
      <c r="D175" s="57">
        <v>45848</v>
      </c>
      <c r="F175" s="11">
        <v>1349.69</v>
      </c>
      <c r="G175" t="s">
        <v>3538</v>
      </c>
      <c r="H175" t="s">
        <v>125</v>
      </c>
      <c r="I175" s="11">
        <v>243.39</v>
      </c>
      <c r="J175" s="57">
        <v>45848</v>
      </c>
    </row>
    <row r="176" spans="1:10" hidden="1">
      <c r="A176" t="s">
        <v>580</v>
      </c>
      <c r="B176" t="s">
        <v>3541</v>
      </c>
      <c r="C176" s="57">
        <v>45747</v>
      </c>
      <c r="D176" s="57">
        <v>45787</v>
      </c>
      <c r="F176" s="11">
        <v>573.77</v>
      </c>
      <c r="G176" t="s">
        <v>3538</v>
      </c>
      <c r="H176" t="s">
        <v>125</v>
      </c>
      <c r="I176" s="11">
        <v>103.47</v>
      </c>
      <c r="J176" s="57">
        <v>45787</v>
      </c>
    </row>
    <row r="177" spans="1:10" hidden="1">
      <c r="A177" t="s">
        <v>580</v>
      </c>
      <c r="B177" t="s">
        <v>3542</v>
      </c>
      <c r="C177" s="57">
        <v>45716</v>
      </c>
      <c r="D177" s="57">
        <v>45757</v>
      </c>
      <c r="F177" s="11">
        <v>489.71</v>
      </c>
      <c r="G177" t="s">
        <v>3538</v>
      </c>
      <c r="H177" t="s">
        <v>125</v>
      </c>
      <c r="I177" s="11">
        <v>88.31</v>
      </c>
      <c r="J177" s="57">
        <v>45757</v>
      </c>
    </row>
    <row r="178" spans="1:10" hidden="1">
      <c r="A178" t="s">
        <v>580</v>
      </c>
      <c r="B178" t="s">
        <v>3537</v>
      </c>
      <c r="C178" s="57">
        <v>45688</v>
      </c>
      <c r="D178" s="57">
        <v>45726</v>
      </c>
      <c r="F178" s="11">
        <v>638.42999999999995</v>
      </c>
      <c r="G178" t="s">
        <v>3538</v>
      </c>
      <c r="H178" t="s">
        <v>125</v>
      </c>
      <c r="I178" s="11">
        <v>115.13</v>
      </c>
      <c r="J178" s="57">
        <v>45726</v>
      </c>
    </row>
    <row r="179" spans="1:10" hidden="1">
      <c r="A179" t="s">
        <v>3543</v>
      </c>
      <c r="B179" t="s">
        <v>618</v>
      </c>
      <c r="C179" s="57">
        <v>45834</v>
      </c>
      <c r="D179" s="57">
        <v>45834</v>
      </c>
      <c r="F179" s="11">
        <v>158.6</v>
      </c>
      <c r="G179" t="s">
        <v>3552</v>
      </c>
      <c r="H179" t="s">
        <v>3314</v>
      </c>
      <c r="I179" s="11">
        <v>28.6</v>
      </c>
      <c r="J179" s="57">
        <v>45894</v>
      </c>
    </row>
    <row r="180" spans="1:10" hidden="1">
      <c r="A180" t="s">
        <v>3543</v>
      </c>
      <c r="B180" t="s">
        <v>616</v>
      </c>
      <c r="C180" s="57">
        <v>45806</v>
      </c>
      <c r="D180" s="57">
        <v>45806</v>
      </c>
      <c r="F180" s="11">
        <v>158.6</v>
      </c>
      <c r="G180" t="s">
        <v>3549</v>
      </c>
      <c r="H180" t="s">
        <v>3314</v>
      </c>
      <c r="I180" s="11">
        <v>28.6</v>
      </c>
      <c r="J180" s="57">
        <v>45866</v>
      </c>
    </row>
    <row r="181" spans="1:10" hidden="1">
      <c r="A181" t="s">
        <v>3543</v>
      </c>
      <c r="B181" t="s">
        <v>614</v>
      </c>
      <c r="C181" s="57">
        <v>45778</v>
      </c>
      <c r="D181" s="57">
        <v>45778</v>
      </c>
      <c r="F181" s="11">
        <v>158.6</v>
      </c>
      <c r="G181" t="s">
        <v>3550</v>
      </c>
      <c r="H181" t="s">
        <v>3314</v>
      </c>
      <c r="I181" s="11">
        <v>28.6</v>
      </c>
      <c r="J181" s="57">
        <v>45838</v>
      </c>
    </row>
    <row r="182" spans="1:10" hidden="1">
      <c r="A182" t="s">
        <v>3543</v>
      </c>
      <c r="B182" t="s">
        <v>611</v>
      </c>
      <c r="C182" s="57">
        <v>45750</v>
      </c>
      <c r="D182" s="57">
        <v>45750</v>
      </c>
      <c r="F182" s="11">
        <v>158.6</v>
      </c>
      <c r="G182" t="s">
        <v>3551</v>
      </c>
      <c r="H182" t="s">
        <v>3314</v>
      </c>
      <c r="I182" s="11">
        <v>28.6</v>
      </c>
      <c r="J182" s="57">
        <v>45810</v>
      </c>
    </row>
    <row r="183" spans="1:10" hidden="1">
      <c r="A183" t="s">
        <v>3543</v>
      </c>
      <c r="B183" t="s">
        <v>609</v>
      </c>
      <c r="C183" s="57">
        <v>45722</v>
      </c>
      <c r="D183" s="57">
        <v>45722</v>
      </c>
      <c r="F183" s="11">
        <v>158.6</v>
      </c>
      <c r="G183" t="s">
        <v>3548</v>
      </c>
      <c r="H183" t="s">
        <v>3314</v>
      </c>
      <c r="I183" s="11">
        <v>28.6</v>
      </c>
      <c r="J183" s="57">
        <v>45782</v>
      </c>
    </row>
    <row r="184" spans="1:10" hidden="1">
      <c r="A184" t="s">
        <v>3543</v>
      </c>
      <c r="B184" t="s">
        <v>606</v>
      </c>
      <c r="C184" s="57">
        <v>45699</v>
      </c>
      <c r="D184" s="57">
        <v>45699</v>
      </c>
      <c r="F184" s="11">
        <v>158.6</v>
      </c>
      <c r="G184" t="s">
        <v>3547</v>
      </c>
      <c r="H184" t="s">
        <v>3314</v>
      </c>
      <c r="I184" s="11">
        <v>28.6</v>
      </c>
      <c r="J184" s="57">
        <v>45759</v>
      </c>
    </row>
    <row r="185" spans="1:10" hidden="1">
      <c r="A185" t="s">
        <v>3543</v>
      </c>
      <c r="B185" t="s">
        <v>604</v>
      </c>
      <c r="C185" s="57">
        <v>45694</v>
      </c>
      <c r="D185" s="57">
        <v>45694</v>
      </c>
      <c r="F185" s="11">
        <v>158.6</v>
      </c>
      <c r="G185" t="s">
        <v>3544</v>
      </c>
      <c r="H185" t="s">
        <v>3314</v>
      </c>
      <c r="I185" s="11">
        <v>28.6</v>
      </c>
      <c r="J185" s="57">
        <v>45754</v>
      </c>
    </row>
    <row r="186" spans="1:10" hidden="1">
      <c r="A186" t="s">
        <v>3543</v>
      </c>
      <c r="B186" t="s">
        <v>602</v>
      </c>
      <c r="C186" s="57">
        <v>45671</v>
      </c>
      <c r="D186" s="57">
        <v>45671</v>
      </c>
      <c r="F186" s="11">
        <v>158.6</v>
      </c>
      <c r="G186" t="s">
        <v>3545</v>
      </c>
      <c r="H186" t="s">
        <v>3314</v>
      </c>
      <c r="I186" s="11">
        <v>28.6</v>
      </c>
      <c r="J186" s="57">
        <v>45731</v>
      </c>
    </row>
    <row r="187" spans="1:10" hidden="1">
      <c r="A187" t="s">
        <v>3543</v>
      </c>
      <c r="B187" t="s">
        <v>600</v>
      </c>
      <c r="C187" s="57">
        <v>45666</v>
      </c>
      <c r="D187" s="57">
        <v>45666</v>
      </c>
      <c r="F187" s="11">
        <v>158.6</v>
      </c>
      <c r="G187" t="s">
        <v>3546</v>
      </c>
      <c r="H187" t="s">
        <v>3314</v>
      </c>
      <c r="I187" s="11">
        <v>28.6</v>
      </c>
      <c r="J187" s="57">
        <v>45726</v>
      </c>
    </row>
    <row r="188" spans="1:10" hidden="1">
      <c r="A188" t="s">
        <v>4091</v>
      </c>
      <c r="B188" t="s">
        <v>4092</v>
      </c>
      <c r="C188" s="57">
        <v>46022</v>
      </c>
      <c r="D188" s="57">
        <v>46022</v>
      </c>
      <c r="F188" s="11">
        <v>7200</v>
      </c>
      <c r="G188" t="s">
        <v>4093</v>
      </c>
      <c r="H188" t="s">
        <v>3314</v>
      </c>
      <c r="I188" s="11">
        <v>0</v>
      </c>
      <c r="J188" s="57">
        <v>46082</v>
      </c>
    </row>
    <row r="189" spans="1:10" hidden="1">
      <c r="A189" t="s">
        <v>3553</v>
      </c>
      <c r="B189" t="s">
        <v>3319</v>
      </c>
      <c r="C189" s="57">
        <v>46011</v>
      </c>
      <c r="D189" s="57">
        <v>46011</v>
      </c>
      <c r="F189" s="11">
        <v>959.9</v>
      </c>
      <c r="G189" t="s">
        <v>3320</v>
      </c>
      <c r="H189" t="s">
        <v>751</v>
      </c>
      <c r="I189" s="11">
        <v>173.1</v>
      </c>
      <c r="J189" s="57">
        <v>46071</v>
      </c>
    </row>
    <row r="190" spans="1:10" hidden="1">
      <c r="A190" t="s">
        <v>3553</v>
      </c>
      <c r="B190" t="s">
        <v>704</v>
      </c>
      <c r="C190" s="57">
        <v>45991</v>
      </c>
      <c r="D190" s="57">
        <v>45991</v>
      </c>
      <c r="F190" s="11">
        <v>1804.47</v>
      </c>
      <c r="G190" t="s">
        <v>3572</v>
      </c>
      <c r="H190" t="s">
        <v>751</v>
      </c>
      <c r="I190" s="11">
        <v>322.51</v>
      </c>
      <c r="J190" s="57">
        <v>46051</v>
      </c>
    </row>
    <row r="191" spans="1:10" hidden="1">
      <c r="A191" t="s">
        <v>3553</v>
      </c>
      <c r="B191" t="s">
        <v>700</v>
      </c>
      <c r="C191" s="57">
        <v>45945</v>
      </c>
      <c r="D191" s="57">
        <v>45945</v>
      </c>
      <c r="F191" s="11">
        <v>1064.95</v>
      </c>
      <c r="G191" t="s">
        <v>3571</v>
      </c>
      <c r="H191" t="s">
        <v>751</v>
      </c>
      <c r="I191" s="11">
        <v>192.04</v>
      </c>
      <c r="J191" s="57">
        <v>46005</v>
      </c>
    </row>
    <row r="192" spans="1:10" hidden="1">
      <c r="A192" t="s">
        <v>3553</v>
      </c>
      <c r="B192" t="s">
        <v>698</v>
      </c>
      <c r="C192" s="57">
        <v>45930</v>
      </c>
      <c r="D192" s="57">
        <v>45930</v>
      </c>
      <c r="F192" s="11">
        <v>1888.18</v>
      </c>
      <c r="G192" t="s">
        <v>3569</v>
      </c>
      <c r="H192" t="s">
        <v>751</v>
      </c>
      <c r="I192" s="11">
        <v>351.31</v>
      </c>
      <c r="J192" s="57">
        <v>45990</v>
      </c>
    </row>
    <row r="193" spans="1:10" hidden="1">
      <c r="A193" t="s">
        <v>3553</v>
      </c>
      <c r="B193" t="s">
        <v>695</v>
      </c>
      <c r="C193" s="57">
        <v>45915</v>
      </c>
      <c r="D193" s="57">
        <v>45915</v>
      </c>
      <c r="F193" s="11">
        <v>339.44</v>
      </c>
      <c r="G193" t="s">
        <v>3568</v>
      </c>
      <c r="H193" t="s">
        <v>751</v>
      </c>
      <c r="I193" s="11">
        <v>61.21</v>
      </c>
      <c r="J193" s="57">
        <v>45975</v>
      </c>
    </row>
    <row r="194" spans="1:10" hidden="1">
      <c r="A194" t="s">
        <v>3553</v>
      </c>
      <c r="B194" t="s">
        <v>693</v>
      </c>
      <c r="C194" s="57">
        <v>45900</v>
      </c>
      <c r="D194" s="57">
        <v>45910</v>
      </c>
      <c r="F194" s="11">
        <v>137.69999999999999</v>
      </c>
      <c r="G194" t="s">
        <v>3567</v>
      </c>
      <c r="H194" t="s">
        <v>751</v>
      </c>
      <c r="I194" s="11">
        <v>22.47</v>
      </c>
      <c r="J194" s="57">
        <v>45910</v>
      </c>
    </row>
    <row r="195" spans="1:10" hidden="1">
      <c r="A195" t="s">
        <v>3553</v>
      </c>
      <c r="B195" t="s">
        <v>690</v>
      </c>
      <c r="C195" s="57">
        <v>45869</v>
      </c>
      <c r="D195" s="57">
        <v>45869</v>
      </c>
      <c r="F195" s="11">
        <v>42.55</v>
      </c>
      <c r="G195" t="s">
        <v>3566</v>
      </c>
      <c r="H195" t="s">
        <v>751</v>
      </c>
      <c r="I195" s="11">
        <v>7.67</v>
      </c>
      <c r="J195" s="57">
        <v>45929</v>
      </c>
    </row>
    <row r="196" spans="1:10" hidden="1">
      <c r="A196" t="s">
        <v>3553</v>
      </c>
      <c r="B196" t="s">
        <v>686</v>
      </c>
      <c r="C196" s="57">
        <v>45853</v>
      </c>
      <c r="D196" s="57">
        <v>45853</v>
      </c>
      <c r="F196" s="11">
        <v>659.76</v>
      </c>
      <c r="G196" t="s">
        <v>3570</v>
      </c>
      <c r="H196" t="s">
        <v>751</v>
      </c>
      <c r="I196" s="11">
        <v>118.97</v>
      </c>
      <c r="J196" s="57">
        <v>45913</v>
      </c>
    </row>
    <row r="197" spans="1:10" hidden="1">
      <c r="A197" t="s">
        <v>3553</v>
      </c>
      <c r="B197" t="s">
        <v>684</v>
      </c>
      <c r="C197" s="57">
        <v>45838</v>
      </c>
      <c r="D197" s="57">
        <v>45838</v>
      </c>
      <c r="F197" s="11">
        <v>10148.11</v>
      </c>
      <c r="G197" t="s">
        <v>3564</v>
      </c>
      <c r="H197" t="s">
        <v>751</v>
      </c>
      <c r="I197" s="11">
        <v>1810.58</v>
      </c>
      <c r="J197" s="57">
        <v>45898</v>
      </c>
    </row>
    <row r="198" spans="1:10" hidden="1">
      <c r="A198" t="s">
        <v>3553</v>
      </c>
      <c r="B198" t="s">
        <v>680</v>
      </c>
      <c r="C198" s="57">
        <v>45823</v>
      </c>
      <c r="D198" s="57">
        <v>45823</v>
      </c>
      <c r="F198" s="11">
        <v>388.48</v>
      </c>
      <c r="G198" t="s">
        <v>3563</v>
      </c>
      <c r="H198" t="s">
        <v>751</v>
      </c>
      <c r="I198" s="11">
        <v>70.05</v>
      </c>
      <c r="J198" s="57">
        <v>45883</v>
      </c>
    </row>
    <row r="199" spans="1:10" hidden="1">
      <c r="A199" t="s">
        <v>3553</v>
      </c>
      <c r="B199" t="s">
        <v>676</v>
      </c>
      <c r="C199" s="57">
        <v>45808</v>
      </c>
      <c r="D199" s="57">
        <v>45808</v>
      </c>
      <c r="F199" s="11">
        <v>392.45</v>
      </c>
      <c r="G199" t="s">
        <v>3562</v>
      </c>
      <c r="H199" t="s">
        <v>751</v>
      </c>
      <c r="I199" s="11">
        <v>70.77</v>
      </c>
      <c r="J199" s="57">
        <v>45868</v>
      </c>
    </row>
    <row r="200" spans="1:10" hidden="1">
      <c r="A200" t="s">
        <v>3553</v>
      </c>
      <c r="B200" t="s">
        <v>672</v>
      </c>
      <c r="C200" s="57">
        <v>45792</v>
      </c>
      <c r="D200" s="57">
        <v>45792</v>
      </c>
      <c r="F200" s="11">
        <v>2129.91</v>
      </c>
      <c r="G200" t="s">
        <v>3561</v>
      </c>
      <c r="H200" t="s">
        <v>751</v>
      </c>
      <c r="I200" s="11">
        <v>384.08</v>
      </c>
      <c r="J200" s="57">
        <v>45852</v>
      </c>
    </row>
    <row r="201" spans="1:10" hidden="1">
      <c r="A201" t="s">
        <v>3553</v>
      </c>
      <c r="B201" t="s">
        <v>670</v>
      </c>
      <c r="C201" s="57">
        <v>45777</v>
      </c>
      <c r="D201" s="57">
        <v>45777</v>
      </c>
      <c r="F201" s="11">
        <v>1340.39</v>
      </c>
      <c r="G201" t="s">
        <v>3560</v>
      </c>
      <c r="H201" t="s">
        <v>751</v>
      </c>
      <c r="I201" s="11">
        <v>238.95</v>
      </c>
      <c r="J201" s="57">
        <v>45837</v>
      </c>
    </row>
    <row r="202" spans="1:10" hidden="1">
      <c r="A202" t="s">
        <v>3553</v>
      </c>
      <c r="B202" t="s">
        <v>667</v>
      </c>
      <c r="C202" s="57">
        <v>45762</v>
      </c>
      <c r="D202" s="57">
        <v>45762</v>
      </c>
      <c r="F202" s="11">
        <v>8688.33</v>
      </c>
      <c r="G202" t="s">
        <v>3565</v>
      </c>
      <c r="H202" t="s">
        <v>751</v>
      </c>
      <c r="I202" s="11">
        <v>1582.8</v>
      </c>
      <c r="J202" s="57">
        <v>45822</v>
      </c>
    </row>
    <row r="203" spans="1:10" hidden="1">
      <c r="A203" t="s">
        <v>3553</v>
      </c>
      <c r="B203" t="s">
        <v>664</v>
      </c>
      <c r="C203" s="57">
        <v>45747</v>
      </c>
      <c r="D203" s="57">
        <v>45747</v>
      </c>
      <c r="E203" t="s">
        <v>4191</v>
      </c>
      <c r="F203" s="11">
        <v>8158.09</v>
      </c>
      <c r="G203" t="s">
        <v>3559</v>
      </c>
      <c r="H203" t="s">
        <v>751</v>
      </c>
      <c r="I203" s="11">
        <v>4302.01</v>
      </c>
      <c r="J203" s="57">
        <v>45807</v>
      </c>
    </row>
    <row r="204" spans="1:10" hidden="1">
      <c r="A204" t="s">
        <v>3553</v>
      </c>
      <c r="B204" t="s">
        <v>664</v>
      </c>
      <c r="C204" s="57">
        <v>45747</v>
      </c>
      <c r="D204" s="57">
        <v>45747</v>
      </c>
      <c r="E204" t="s">
        <v>4191</v>
      </c>
      <c r="F204" s="11">
        <v>15895.51</v>
      </c>
      <c r="G204" t="s">
        <v>3559</v>
      </c>
      <c r="H204" t="s">
        <v>751</v>
      </c>
      <c r="I204" s="11">
        <v>4302.01</v>
      </c>
      <c r="J204" s="57">
        <v>45807</v>
      </c>
    </row>
    <row r="205" spans="1:10" hidden="1">
      <c r="A205" t="s">
        <v>3553</v>
      </c>
      <c r="B205" t="s">
        <v>661</v>
      </c>
      <c r="C205" s="57">
        <v>45731</v>
      </c>
      <c r="D205" s="57">
        <v>45731</v>
      </c>
      <c r="E205" t="s">
        <v>4191</v>
      </c>
      <c r="F205" s="11">
        <v>572.91</v>
      </c>
      <c r="G205" t="s">
        <v>3558</v>
      </c>
      <c r="H205" t="s">
        <v>751</v>
      </c>
      <c r="I205" s="11">
        <v>103.31</v>
      </c>
      <c r="J205" s="57">
        <v>45791</v>
      </c>
    </row>
    <row r="206" spans="1:10" hidden="1">
      <c r="A206" t="s">
        <v>3553</v>
      </c>
      <c r="B206" t="s">
        <v>3556</v>
      </c>
      <c r="C206" s="57">
        <v>45688</v>
      </c>
      <c r="D206" s="57">
        <v>45688</v>
      </c>
      <c r="E206" t="s">
        <v>4191</v>
      </c>
      <c r="F206" s="11">
        <v>6899.26</v>
      </c>
      <c r="G206" t="s">
        <v>3557</v>
      </c>
      <c r="H206" t="s">
        <v>751</v>
      </c>
      <c r="I206" s="11">
        <v>1244.1300000000001</v>
      </c>
      <c r="J206" s="57">
        <v>45748</v>
      </c>
    </row>
    <row r="207" spans="1:10" hidden="1">
      <c r="A207" t="s">
        <v>3553</v>
      </c>
      <c r="B207" t="s">
        <v>3554</v>
      </c>
      <c r="C207" s="57">
        <v>45672</v>
      </c>
      <c r="D207" s="57">
        <v>45672</v>
      </c>
      <c r="E207" t="s">
        <v>4191</v>
      </c>
      <c r="F207" s="11">
        <v>12047.16</v>
      </c>
      <c r="G207" t="s">
        <v>3555</v>
      </c>
      <c r="H207" t="s">
        <v>751</v>
      </c>
      <c r="I207" s="11">
        <v>2145.21</v>
      </c>
      <c r="J207" s="57">
        <v>45732</v>
      </c>
    </row>
    <row r="208" spans="1:10" hidden="1">
      <c r="A208" t="s">
        <v>3553</v>
      </c>
      <c r="B208" t="s">
        <v>4134</v>
      </c>
      <c r="C208" s="57">
        <v>46022</v>
      </c>
      <c r="D208" s="57">
        <v>46022</v>
      </c>
      <c r="F208" s="11">
        <v>377.81</v>
      </c>
      <c r="G208" t="s">
        <v>4135</v>
      </c>
      <c r="H208" t="s">
        <v>751</v>
      </c>
      <c r="I208" s="11">
        <v>74.23</v>
      </c>
      <c r="J208" s="57">
        <v>46082</v>
      </c>
    </row>
    <row r="209" spans="1:10" hidden="1">
      <c r="A209" t="s">
        <v>3573</v>
      </c>
      <c r="B209" t="s">
        <v>707</v>
      </c>
      <c r="C209" s="57">
        <v>45991</v>
      </c>
      <c r="D209" s="57">
        <v>46032</v>
      </c>
      <c r="F209" s="11">
        <v>189.1</v>
      </c>
      <c r="G209" t="s">
        <v>3574</v>
      </c>
      <c r="H209" t="s">
        <v>125</v>
      </c>
      <c r="I209" s="11">
        <v>34.1</v>
      </c>
      <c r="J209" s="57">
        <v>46032</v>
      </c>
    </row>
    <row r="210" spans="1:10" hidden="1">
      <c r="A210" t="s">
        <v>712</v>
      </c>
      <c r="B210" t="s">
        <v>3575</v>
      </c>
      <c r="C210" s="57">
        <v>45803</v>
      </c>
      <c r="D210" s="57">
        <v>45803</v>
      </c>
      <c r="F210" s="11">
        <v>11000</v>
      </c>
      <c r="G210" t="s">
        <v>3576</v>
      </c>
      <c r="H210" t="s">
        <v>3314</v>
      </c>
      <c r="I210" s="11">
        <v>0</v>
      </c>
      <c r="J210" s="57">
        <v>45863</v>
      </c>
    </row>
    <row r="211" spans="1:10" hidden="1">
      <c r="A211" t="s">
        <v>3351</v>
      </c>
      <c r="B211" t="s">
        <v>3577</v>
      </c>
      <c r="C211" s="57">
        <v>45803</v>
      </c>
      <c r="D211" s="57">
        <v>45803</v>
      </c>
      <c r="E211" t="s">
        <v>4191</v>
      </c>
      <c r="F211" s="11">
        <v>18000</v>
      </c>
      <c r="G211" t="s">
        <v>3578</v>
      </c>
      <c r="H211" t="s">
        <v>3314</v>
      </c>
      <c r="I211" s="11">
        <v>0</v>
      </c>
      <c r="J211" s="57">
        <v>45863</v>
      </c>
    </row>
    <row r="212" spans="1:10" hidden="1">
      <c r="A212" t="s">
        <v>3351</v>
      </c>
      <c r="B212" t="s">
        <v>3579</v>
      </c>
      <c r="C212" s="57">
        <v>45718</v>
      </c>
      <c r="D212" s="57">
        <v>45718</v>
      </c>
      <c r="F212" s="11">
        <v>58090.98</v>
      </c>
      <c r="G212" t="s">
        <v>3580</v>
      </c>
      <c r="H212" t="s">
        <v>3314</v>
      </c>
      <c r="I212" s="11">
        <v>0</v>
      </c>
      <c r="J212" s="57">
        <v>45778</v>
      </c>
    </row>
    <row r="213" spans="1:10" hidden="1">
      <c r="A213" t="s">
        <v>725</v>
      </c>
      <c r="B213" t="s">
        <v>726</v>
      </c>
      <c r="C213" s="57">
        <v>45679</v>
      </c>
      <c r="D213" s="57">
        <v>45747</v>
      </c>
      <c r="F213" s="11">
        <v>207.4</v>
      </c>
      <c r="G213" t="s">
        <v>3958</v>
      </c>
      <c r="H213" t="s">
        <v>3314</v>
      </c>
      <c r="I213" s="11">
        <v>37.4</v>
      </c>
      <c r="J213" s="57">
        <v>45747</v>
      </c>
    </row>
    <row r="214" spans="1:10" hidden="1">
      <c r="A214" t="s">
        <v>3581</v>
      </c>
      <c r="B214" t="s">
        <v>749</v>
      </c>
      <c r="C214" s="57">
        <v>45698</v>
      </c>
      <c r="D214" s="57">
        <v>45698</v>
      </c>
      <c r="F214" s="11">
        <v>48.5</v>
      </c>
      <c r="G214" t="s">
        <v>3582</v>
      </c>
      <c r="H214" t="s">
        <v>751</v>
      </c>
      <c r="I214" s="11">
        <v>4.8500000000000014</v>
      </c>
      <c r="J214" s="57">
        <v>45758</v>
      </c>
    </row>
    <row r="215" spans="1:10" hidden="1">
      <c r="A215" t="s">
        <v>752</v>
      </c>
      <c r="B215" t="s">
        <v>3583</v>
      </c>
      <c r="C215" s="57">
        <v>45873</v>
      </c>
      <c r="D215" s="57">
        <v>45873</v>
      </c>
      <c r="F215" s="11">
        <v>88.72</v>
      </c>
      <c r="G215" t="s">
        <v>3584</v>
      </c>
      <c r="H215" t="s">
        <v>350</v>
      </c>
      <c r="I215" s="11">
        <v>16</v>
      </c>
      <c r="J215" s="57">
        <v>45933</v>
      </c>
    </row>
    <row r="216" spans="1:10" hidden="1">
      <c r="A216" t="s">
        <v>755</v>
      </c>
      <c r="B216" t="s">
        <v>756</v>
      </c>
      <c r="C216" s="57">
        <v>45988</v>
      </c>
      <c r="D216" s="57">
        <v>45988</v>
      </c>
      <c r="F216" s="11">
        <v>2787</v>
      </c>
      <c r="G216" t="s">
        <v>3959</v>
      </c>
      <c r="H216" t="s">
        <v>3314</v>
      </c>
      <c r="I216" s="11">
        <v>502.57</v>
      </c>
      <c r="J216" s="57">
        <v>46048</v>
      </c>
    </row>
    <row r="217" spans="1:10" hidden="1">
      <c r="A217" t="s">
        <v>3585</v>
      </c>
      <c r="B217" t="s">
        <v>3586</v>
      </c>
      <c r="C217" s="57">
        <v>45991</v>
      </c>
      <c r="D217" s="57">
        <v>45991</v>
      </c>
      <c r="F217" s="11">
        <v>139.08000000000001</v>
      </c>
      <c r="G217" t="s">
        <v>3587</v>
      </c>
      <c r="H217" t="s">
        <v>3314</v>
      </c>
      <c r="I217" s="11">
        <v>25.08</v>
      </c>
      <c r="J217" s="57">
        <v>46051</v>
      </c>
    </row>
    <row r="218" spans="1:10" hidden="1">
      <c r="A218" t="s">
        <v>3352</v>
      </c>
      <c r="B218" t="s">
        <v>3321</v>
      </c>
      <c r="C218" s="57">
        <v>46008</v>
      </c>
      <c r="D218" s="57">
        <v>46053</v>
      </c>
      <c r="F218" s="11">
        <v>463.6</v>
      </c>
      <c r="G218" t="s">
        <v>3322</v>
      </c>
      <c r="H218" t="s">
        <v>125</v>
      </c>
      <c r="I218" s="11">
        <v>83.6</v>
      </c>
      <c r="J218" s="57">
        <v>46053</v>
      </c>
    </row>
    <row r="219" spans="1:10" hidden="1">
      <c r="A219" t="s">
        <v>3353</v>
      </c>
      <c r="B219" t="s">
        <v>3323</v>
      </c>
      <c r="C219" s="57">
        <v>46014</v>
      </c>
      <c r="F219" s="11">
        <v>55.2</v>
      </c>
      <c r="G219" t="s">
        <v>3324</v>
      </c>
      <c r="H219" t="s">
        <v>350</v>
      </c>
      <c r="I219" s="11">
        <v>5.0199999999999996</v>
      </c>
    </row>
    <row r="220" spans="1:10" hidden="1">
      <c r="A220" t="s">
        <v>3353</v>
      </c>
      <c r="B220" t="s">
        <v>814</v>
      </c>
      <c r="C220" s="57">
        <v>45982</v>
      </c>
      <c r="F220" s="11">
        <v>53.7</v>
      </c>
      <c r="G220" t="s">
        <v>3588</v>
      </c>
      <c r="H220" t="s">
        <v>350</v>
      </c>
      <c r="I220" s="11">
        <v>4.88</v>
      </c>
    </row>
    <row r="221" spans="1:10" hidden="1">
      <c r="A221" t="s">
        <v>3353</v>
      </c>
      <c r="B221" t="s">
        <v>3589</v>
      </c>
      <c r="C221" s="57">
        <v>45968</v>
      </c>
      <c r="F221" s="11">
        <v>137.6</v>
      </c>
      <c r="G221" t="s">
        <v>3590</v>
      </c>
      <c r="H221" t="s">
        <v>350</v>
      </c>
      <c r="I221" s="11">
        <v>12.51</v>
      </c>
    </row>
    <row r="222" spans="1:10" hidden="1">
      <c r="A222" t="s">
        <v>3353</v>
      </c>
      <c r="B222" t="s">
        <v>3591</v>
      </c>
      <c r="C222" s="57">
        <v>45672</v>
      </c>
      <c r="E222" t="s">
        <v>4191</v>
      </c>
      <c r="F222" s="11">
        <v>64.8</v>
      </c>
      <c r="G222" t="s">
        <v>3592</v>
      </c>
      <c r="H222" t="s">
        <v>751</v>
      </c>
      <c r="I222" s="11">
        <v>5.89</v>
      </c>
    </row>
    <row r="223" spans="1:10" hidden="1">
      <c r="A223" t="s">
        <v>3353</v>
      </c>
      <c r="B223" t="s">
        <v>4132</v>
      </c>
      <c r="C223" s="57">
        <v>46038</v>
      </c>
      <c r="F223" s="11">
        <v>56.7</v>
      </c>
      <c r="G223" t="s">
        <v>3588</v>
      </c>
      <c r="H223" t="s">
        <v>350</v>
      </c>
      <c r="I223" s="11">
        <v>5.15</v>
      </c>
    </row>
    <row r="224" spans="1:10" hidden="1">
      <c r="A224" t="s">
        <v>3593</v>
      </c>
      <c r="B224" t="s">
        <v>3594</v>
      </c>
      <c r="C224" s="57">
        <v>45777</v>
      </c>
      <c r="D224" s="57">
        <v>45797</v>
      </c>
      <c r="F224" s="11">
        <v>79.13</v>
      </c>
      <c r="G224" t="s">
        <v>3595</v>
      </c>
      <c r="H224" t="s">
        <v>751</v>
      </c>
      <c r="I224" s="11">
        <v>14.27</v>
      </c>
      <c r="J224" s="57">
        <v>45797</v>
      </c>
    </row>
    <row r="225" spans="1:10" hidden="1">
      <c r="A225" t="s">
        <v>3596</v>
      </c>
      <c r="B225" t="s">
        <v>796</v>
      </c>
      <c r="C225" s="57">
        <v>45713</v>
      </c>
      <c r="D225" s="57">
        <v>45713</v>
      </c>
      <c r="F225" s="11">
        <v>737.47</v>
      </c>
      <c r="G225" t="s">
        <v>3597</v>
      </c>
      <c r="H225" t="s">
        <v>3314</v>
      </c>
      <c r="I225" s="11">
        <v>157.87</v>
      </c>
      <c r="J225" s="57">
        <v>45773</v>
      </c>
    </row>
    <row r="226" spans="1:10" hidden="1">
      <c r="A226" t="s">
        <v>3598</v>
      </c>
      <c r="B226" t="s">
        <v>805</v>
      </c>
      <c r="C226" s="57">
        <v>45899</v>
      </c>
      <c r="D226" s="57">
        <v>45971</v>
      </c>
      <c r="F226" s="11">
        <v>331.46</v>
      </c>
      <c r="G226" t="s">
        <v>3599</v>
      </c>
      <c r="H226" t="s">
        <v>125</v>
      </c>
      <c r="I226" s="11">
        <v>59.77</v>
      </c>
      <c r="J226" s="57">
        <v>45971</v>
      </c>
    </row>
    <row r="227" spans="1:10" hidden="1">
      <c r="A227" t="s">
        <v>3598</v>
      </c>
      <c r="B227" t="s">
        <v>801</v>
      </c>
      <c r="C227" s="57">
        <v>45808</v>
      </c>
      <c r="D227" s="57">
        <v>45869</v>
      </c>
      <c r="E227" t="s">
        <v>4191</v>
      </c>
      <c r="F227" s="11">
        <v>1944.92</v>
      </c>
      <c r="G227" t="s">
        <v>3600</v>
      </c>
      <c r="H227" t="s">
        <v>125</v>
      </c>
      <c r="I227" s="11">
        <v>350.72</v>
      </c>
      <c r="J227" s="57">
        <v>45869</v>
      </c>
    </row>
    <row r="228" spans="1:10" hidden="1">
      <c r="A228" t="s">
        <v>815</v>
      </c>
      <c r="B228" t="s">
        <v>820</v>
      </c>
      <c r="C228" s="57">
        <v>45979</v>
      </c>
      <c r="D228" s="57">
        <v>45979</v>
      </c>
      <c r="F228" s="11">
        <v>20000</v>
      </c>
      <c r="G228" t="s">
        <v>3960</v>
      </c>
      <c r="H228" t="s">
        <v>3314</v>
      </c>
      <c r="I228" s="11">
        <v>0</v>
      </c>
      <c r="J228" s="57">
        <v>46039</v>
      </c>
    </row>
    <row r="229" spans="1:10" hidden="1">
      <c r="A229" t="s">
        <v>815</v>
      </c>
      <c r="B229" t="s">
        <v>3601</v>
      </c>
      <c r="C229" s="57">
        <v>45936</v>
      </c>
      <c r="D229" s="57">
        <v>45936</v>
      </c>
      <c r="E229" t="s">
        <v>4191</v>
      </c>
      <c r="F229" s="11">
        <v>10000</v>
      </c>
      <c r="G229" t="s">
        <v>3602</v>
      </c>
      <c r="H229" t="s">
        <v>3314</v>
      </c>
      <c r="I229" s="11">
        <v>0</v>
      </c>
      <c r="J229" s="57">
        <v>45996</v>
      </c>
    </row>
    <row r="230" spans="1:10" hidden="1">
      <c r="A230" t="s">
        <v>815</v>
      </c>
      <c r="B230" t="s">
        <v>4181</v>
      </c>
      <c r="C230" s="57">
        <v>46055</v>
      </c>
      <c r="D230" s="57">
        <v>46055</v>
      </c>
      <c r="F230" s="11">
        <v>3000</v>
      </c>
      <c r="G230" t="s">
        <v>4182</v>
      </c>
      <c r="H230" t="s">
        <v>3314</v>
      </c>
      <c r="I230" s="11">
        <v>0</v>
      </c>
      <c r="J230" s="57">
        <v>46115</v>
      </c>
    </row>
    <row r="231" spans="1:10" hidden="1">
      <c r="A231" t="s">
        <v>3603</v>
      </c>
      <c r="B231" t="s">
        <v>823</v>
      </c>
      <c r="C231" s="57">
        <v>45957</v>
      </c>
      <c r="F231" s="11">
        <v>109.56</v>
      </c>
      <c r="G231" t="s">
        <v>3604</v>
      </c>
      <c r="I231" s="11">
        <v>19.760000000000002</v>
      </c>
    </row>
    <row r="232" spans="1:10" hidden="1">
      <c r="A232" t="s">
        <v>3605</v>
      </c>
      <c r="B232" t="s">
        <v>3325</v>
      </c>
      <c r="C232" s="57">
        <v>46004</v>
      </c>
      <c r="D232" s="57">
        <v>46091</v>
      </c>
      <c r="F232" s="11">
        <v>1175.78</v>
      </c>
      <c r="G232" t="s">
        <v>3326</v>
      </c>
      <c r="H232" t="s">
        <v>125</v>
      </c>
      <c r="I232" s="11">
        <v>424.05</v>
      </c>
      <c r="J232" s="57">
        <v>46091</v>
      </c>
    </row>
    <row r="233" spans="1:10" hidden="1">
      <c r="A233" t="s">
        <v>3605</v>
      </c>
      <c r="B233" t="s">
        <v>3325</v>
      </c>
      <c r="C233" s="57">
        <v>46004</v>
      </c>
      <c r="D233" s="57">
        <v>46122</v>
      </c>
      <c r="F233" s="11">
        <v>1175.77</v>
      </c>
      <c r="G233" t="s">
        <v>3326</v>
      </c>
      <c r="H233" t="s">
        <v>125</v>
      </c>
      <c r="I233" s="11">
        <v>424.05</v>
      </c>
      <c r="J233" s="57">
        <v>46122</v>
      </c>
    </row>
    <row r="234" spans="1:10" hidden="1">
      <c r="A234" t="s">
        <v>3605</v>
      </c>
      <c r="B234" t="s">
        <v>786</v>
      </c>
      <c r="C234" s="57">
        <v>45990</v>
      </c>
      <c r="D234" s="57">
        <v>46063</v>
      </c>
      <c r="F234" s="11">
        <v>3852.15</v>
      </c>
      <c r="G234" t="s">
        <v>3606</v>
      </c>
      <c r="H234" t="s">
        <v>125</v>
      </c>
      <c r="I234" s="11">
        <v>1389.3</v>
      </c>
      <c r="J234" s="57">
        <v>46063</v>
      </c>
    </row>
    <row r="235" spans="1:10" hidden="1">
      <c r="A235" t="s">
        <v>3605</v>
      </c>
      <c r="B235" t="s">
        <v>786</v>
      </c>
      <c r="C235" s="57">
        <v>45990</v>
      </c>
      <c r="D235" s="57">
        <v>46091</v>
      </c>
      <c r="F235" s="11">
        <v>3852.15</v>
      </c>
      <c r="G235" t="s">
        <v>3606</v>
      </c>
      <c r="H235" t="s">
        <v>125</v>
      </c>
      <c r="I235" s="11">
        <v>1389.3</v>
      </c>
      <c r="J235" s="57">
        <v>46091</v>
      </c>
    </row>
    <row r="236" spans="1:10" hidden="1">
      <c r="A236" t="s">
        <v>3605</v>
      </c>
      <c r="B236" t="s">
        <v>3607</v>
      </c>
      <c r="C236" s="57">
        <v>45688</v>
      </c>
      <c r="D236" s="57">
        <v>45757</v>
      </c>
      <c r="F236" s="11">
        <v>2737.38</v>
      </c>
      <c r="G236" t="s">
        <v>3608</v>
      </c>
      <c r="H236" t="s">
        <v>125</v>
      </c>
      <c r="I236" s="11">
        <v>987.25</v>
      </c>
      <c r="J236" s="57">
        <v>45757</v>
      </c>
    </row>
    <row r="237" spans="1:10" hidden="1">
      <c r="A237" t="s">
        <v>3605</v>
      </c>
      <c r="B237" t="s">
        <v>3607</v>
      </c>
      <c r="C237" s="57">
        <v>45688</v>
      </c>
      <c r="D237" s="57">
        <v>45787</v>
      </c>
      <c r="F237" s="11">
        <v>2737.37</v>
      </c>
      <c r="G237" t="s">
        <v>3608</v>
      </c>
      <c r="H237" t="s">
        <v>125</v>
      </c>
      <c r="I237" s="11">
        <v>987.25</v>
      </c>
      <c r="J237" s="57">
        <v>45787</v>
      </c>
    </row>
    <row r="238" spans="1:10" hidden="1">
      <c r="A238" t="s">
        <v>3609</v>
      </c>
      <c r="B238" t="s">
        <v>835</v>
      </c>
      <c r="C238" s="57">
        <v>45991</v>
      </c>
      <c r="D238" s="57">
        <v>45991</v>
      </c>
      <c r="F238" s="11">
        <v>10000</v>
      </c>
      <c r="G238" t="s">
        <v>3612</v>
      </c>
      <c r="H238" t="s">
        <v>3314</v>
      </c>
      <c r="I238" s="11">
        <v>0</v>
      </c>
      <c r="J238" s="57">
        <v>46051</v>
      </c>
    </row>
    <row r="239" spans="1:10" hidden="1">
      <c r="A239" t="s">
        <v>3609</v>
      </c>
      <c r="B239" t="s">
        <v>3610</v>
      </c>
      <c r="C239" s="57">
        <v>45946</v>
      </c>
      <c r="D239" s="57">
        <v>45946</v>
      </c>
      <c r="E239" t="s">
        <v>4191</v>
      </c>
      <c r="F239" s="11">
        <v>10000</v>
      </c>
      <c r="G239" t="s">
        <v>3611</v>
      </c>
      <c r="H239" t="s">
        <v>3314</v>
      </c>
      <c r="I239" s="11">
        <v>0</v>
      </c>
      <c r="J239" s="57">
        <v>46006</v>
      </c>
    </row>
    <row r="240" spans="1:10" hidden="1">
      <c r="A240" t="s">
        <v>3609</v>
      </c>
      <c r="B240" t="s">
        <v>833</v>
      </c>
      <c r="C240" s="57">
        <v>45715</v>
      </c>
      <c r="D240" s="57">
        <v>45715</v>
      </c>
      <c r="F240" s="11">
        <v>10000</v>
      </c>
      <c r="G240" t="s">
        <v>3613</v>
      </c>
      <c r="H240" t="s">
        <v>3314</v>
      </c>
      <c r="I240" s="11">
        <v>0</v>
      </c>
      <c r="J240" s="57">
        <v>45775</v>
      </c>
    </row>
    <row r="241" spans="1:10" hidden="1">
      <c r="A241" t="s">
        <v>826</v>
      </c>
      <c r="B241" t="s">
        <v>335</v>
      </c>
      <c r="C241" s="57">
        <v>45968</v>
      </c>
      <c r="E241" t="s">
        <v>4191</v>
      </c>
      <c r="F241" s="11">
        <v>9000</v>
      </c>
      <c r="G241" t="s">
        <v>3961</v>
      </c>
      <c r="I241" s="11">
        <v>0</v>
      </c>
    </row>
    <row r="242" spans="1:10" hidden="1">
      <c r="A242" t="s">
        <v>3614</v>
      </c>
      <c r="B242" t="s">
        <v>53</v>
      </c>
      <c r="C242" s="57">
        <v>45712</v>
      </c>
      <c r="D242" s="57">
        <v>45712</v>
      </c>
      <c r="F242" s="11">
        <v>447.6</v>
      </c>
      <c r="G242" t="s">
        <v>3615</v>
      </c>
      <c r="H242" t="s">
        <v>3314</v>
      </c>
      <c r="I242" s="11">
        <v>88</v>
      </c>
      <c r="J242" s="57">
        <v>45772</v>
      </c>
    </row>
    <row r="243" spans="1:10" hidden="1">
      <c r="A243" t="s">
        <v>4306</v>
      </c>
      <c r="B243" t="s">
        <v>4270</v>
      </c>
      <c r="C243" s="57">
        <v>46077</v>
      </c>
      <c r="D243" s="57">
        <v>46077</v>
      </c>
      <c r="F243" s="11">
        <v>92.2</v>
      </c>
      <c r="G243" t="s">
        <v>4307</v>
      </c>
      <c r="H243" t="s">
        <v>350</v>
      </c>
      <c r="I243" s="11">
        <v>16.420000000000002</v>
      </c>
      <c r="J243" s="57">
        <v>46137</v>
      </c>
    </row>
    <row r="244" spans="1:10" hidden="1">
      <c r="A244" t="s">
        <v>3616</v>
      </c>
      <c r="B244" t="s">
        <v>3617</v>
      </c>
      <c r="C244" s="57">
        <v>45897</v>
      </c>
      <c r="D244" s="57">
        <v>45897</v>
      </c>
      <c r="F244" s="11">
        <v>310</v>
      </c>
      <c r="G244" t="s">
        <v>3618</v>
      </c>
      <c r="H244" t="s">
        <v>350</v>
      </c>
      <c r="I244" s="11">
        <v>55.9</v>
      </c>
      <c r="J244" s="57">
        <v>45957</v>
      </c>
    </row>
    <row r="245" spans="1:10" hidden="1">
      <c r="A245" t="s">
        <v>856</v>
      </c>
      <c r="B245" t="s">
        <v>857</v>
      </c>
      <c r="C245" s="57">
        <v>45742</v>
      </c>
      <c r="F245" s="11">
        <v>11.61</v>
      </c>
      <c r="G245" t="s">
        <v>3962</v>
      </c>
      <c r="H245" t="s">
        <v>350</v>
      </c>
      <c r="I245" s="11">
        <v>1.06</v>
      </c>
    </row>
    <row r="246" spans="1:10" hidden="1">
      <c r="A246" t="s">
        <v>859</v>
      </c>
      <c r="B246" t="s">
        <v>860</v>
      </c>
      <c r="C246" s="57">
        <v>45835</v>
      </c>
      <c r="F246" s="11">
        <v>42.6</v>
      </c>
      <c r="G246" t="s">
        <v>3963</v>
      </c>
      <c r="I246" s="11">
        <v>3.87</v>
      </c>
    </row>
    <row r="247" spans="1:10" hidden="1">
      <c r="A247" t="s">
        <v>837</v>
      </c>
      <c r="B247" t="s">
        <v>838</v>
      </c>
      <c r="C247" s="57">
        <v>45667</v>
      </c>
      <c r="D247" s="57">
        <v>45667</v>
      </c>
      <c r="F247" s="11">
        <v>3459.2</v>
      </c>
      <c r="G247" t="s">
        <v>3964</v>
      </c>
      <c r="H247" t="s">
        <v>3314</v>
      </c>
      <c r="I247" s="11">
        <v>739.2</v>
      </c>
      <c r="J247" s="57">
        <v>45727</v>
      </c>
    </row>
    <row r="248" spans="1:10" hidden="1">
      <c r="A248" t="s">
        <v>3619</v>
      </c>
      <c r="B248" t="s">
        <v>850</v>
      </c>
      <c r="C248" s="57">
        <v>45758</v>
      </c>
      <c r="D248" s="57">
        <v>45808</v>
      </c>
      <c r="F248" s="11">
        <v>1162.73</v>
      </c>
      <c r="G248" t="s">
        <v>3621</v>
      </c>
      <c r="H248" t="s">
        <v>125</v>
      </c>
      <c r="I248" s="11">
        <v>209.67</v>
      </c>
      <c r="J248" s="57">
        <v>45808</v>
      </c>
    </row>
    <row r="249" spans="1:10" hidden="1">
      <c r="A249" t="s">
        <v>3619</v>
      </c>
      <c r="B249" t="s">
        <v>848</v>
      </c>
      <c r="C249" s="57">
        <v>45716</v>
      </c>
      <c r="D249" s="57">
        <v>45747</v>
      </c>
      <c r="F249" s="11">
        <v>1812.44</v>
      </c>
      <c r="G249" t="s">
        <v>3622</v>
      </c>
      <c r="H249" t="s">
        <v>125</v>
      </c>
      <c r="I249" s="11">
        <v>326.83</v>
      </c>
      <c r="J249" s="57">
        <v>45747</v>
      </c>
    </row>
    <row r="250" spans="1:10" hidden="1">
      <c r="A250" t="s">
        <v>3619</v>
      </c>
      <c r="B250" t="s">
        <v>314</v>
      </c>
      <c r="C250" s="57">
        <v>45684</v>
      </c>
      <c r="D250" s="57">
        <v>45684</v>
      </c>
      <c r="F250" s="11">
        <v>1153.4000000000001</v>
      </c>
      <c r="G250" t="s">
        <v>3620</v>
      </c>
      <c r="H250" t="s">
        <v>3314</v>
      </c>
      <c r="I250" s="11">
        <v>207.99</v>
      </c>
      <c r="J250" s="57">
        <v>45744</v>
      </c>
    </row>
    <row r="251" spans="1:10" hidden="1">
      <c r="A251" t="s">
        <v>3623</v>
      </c>
      <c r="B251" t="s">
        <v>872</v>
      </c>
      <c r="C251" s="57">
        <v>46007</v>
      </c>
      <c r="D251" s="57">
        <v>46007</v>
      </c>
      <c r="F251" s="11">
        <v>1858.75</v>
      </c>
      <c r="G251" t="s">
        <v>3624</v>
      </c>
      <c r="H251" t="s">
        <v>3314</v>
      </c>
      <c r="I251" s="11">
        <v>19.25</v>
      </c>
      <c r="J251" s="57">
        <v>46067</v>
      </c>
    </row>
    <row r="252" spans="1:10" hidden="1">
      <c r="A252" t="s">
        <v>3623</v>
      </c>
      <c r="B252" t="s">
        <v>3625</v>
      </c>
      <c r="C252" s="57">
        <v>45700</v>
      </c>
      <c r="D252" s="57">
        <v>45700</v>
      </c>
      <c r="F252" s="11">
        <v>488</v>
      </c>
      <c r="G252" t="s">
        <v>3626</v>
      </c>
      <c r="H252" t="s">
        <v>3314</v>
      </c>
      <c r="I252" s="11">
        <v>88</v>
      </c>
      <c r="J252" s="57">
        <v>45760</v>
      </c>
    </row>
    <row r="253" spans="1:10" hidden="1">
      <c r="A253" t="s">
        <v>3627</v>
      </c>
      <c r="B253" t="s">
        <v>3628</v>
      </c>
      <c r="C253" s="57">
        <v>45770</v>
      </c>
      <c r="D253" s="57">
        <v>45770</v>
      </c>
      <c r="F253" s="11">
        <v>9.69</v>
      </c>
      <c r="G253" t="s">
        <v>3629</v>
      </c>
      <c r="H253" t="s">
        <v>751</v>
      </c>
      <c r="I253" s="11">
        <v>1.75</v>
      </c>
      <c r="J253" s="57">
        <v>45830</v>
      </c>
    </row>
    <row r="254" spans="1:10" hidden="1">
      <c r="A254" t="s">
        <v>877</v>
      </c>
      <c r="B254" t="s">
        <v>880</v>
      </c>
      <c r="C254" s="57">
        <v>45996</v>
      </c>
      <c r="D254" s="57">
        <v>46010</v>
      </c>
      <c r="F254" s="11">
        <v>410</v>
      </c>
      <c r="G254" t="s">
        <v>3965</v>
      </c>
      <c r="H254" t="s">
        <v>3314</v>
      </c>
      <c r="I254" s="11">
        <v>0</v>
      </c>
      <c r="J254" s="57">
        <v>46010</v>
      </c>
    </row>
    <row r="255" spans="1:10" hidden="1">
      <c r="A255" t="s">
        <v>877</v>
      </c>
      <c r="B255" t="s">
        <v>878</v>
      </c>
      <c r="C255" s="57">
        <v>45969</v>
      </c>
      <c r="D255" s="57">
        <v>45983</v>
      </c>
      <c r="F255" s="11">
        <v>2837</v>
      </c>
      <c r="G255" t="s">
        <v>3966</v>
      </c>
      <c r="H255" t="s">
        <v>3314</v>
      </c>
      <c r="I255" s="11">
        <v>0</v>
      </c>
      <c r="J255" s="57">
        <v>45983</v>
      </c>
    </row>
    <row r="256" spans="1:10" hidden="1">
      <c r="A256" t="s">
        <v>3630</v>
      </c>
      <c r="B256" t="s">
        <v>3637</v>
      </c>
      <c r="C256" s="57">
        <v>45977</v>
      </c>
      <c r="F256" s="11">
        <v>183.45</v>
      </c>
      <c r="G256" t="s">
        <v>3638</v>
      </c>
      <c r="I256" s="11">
        <v>33.08</v>
      </c>
    </row>
    <row r="257" spans="1:10" hidden="1">
      <c r="A257" t="s">
        <v>3630</v>
      </c>
      <c r="B257" t="s">
        <v>3639</v>
      </c>
      <c r="C257" s="57">
        <v>45955</v>
      </c>
      <c r="F257" s="11">
        <v>122.4</v>
      </c>
      <c r="G257" t="s">
        <v>3640</v>
      </c>
      <c r="I257" s="11">
        <v>22.07</v>
      </c>
    </row>
    <row r="258" spans="1:10" hidden="1">
      <c r="A258" t="s">
        <v>3630</v>
      </c>
      <c r="B258" t="s">
        <v>3635</v>
      </c>
      <c r="C258" s="57">
        <v>45951</v>
      </c>
      <c r="E258" t="s">
        <v>4191</v>
      </c>
      <c r="F258" s="11">
        <v>60.95</v>
      </c>
      <c r="G258" t="s">
        <v>3636</v>
      </c>
      <c r="I258" s="11">
        <v>10.99</v>
      </c>
    </row>
    <row r="259" spans="1:10" hidden="1">
      <c r="A259" t="s">
        <v>3630</v>
      </c>
      <c r="B259" t="s">
        <v>3633</v>
      </c>
      <c r="C259" s="57">
        <v>45896</v>
      </c>
      <c r="F259" s="11">
        <v>229.15</v>
      </c>
      <c r="G259" t="s">
        <v>3634</v>
      </c>
      <c r="I259" s="11">
        <v>41.32</v>
      </c>
    </row>
    <row r="260" spans="1:10" hidden="1">
      <c r="A260" t="s">
        <v>3630</v>
      </c>
      <c r="B260" t="s">
        <v>3631</v>
      </c>
      <c r="C260" s="57">
        <v>45858</v>
      </c>
      <c r="F260" s="11">
        <v>530.65</v>
      </c>
      <c r="G260" t="s">
        <v>3632</v>
      </c>
      <c r="I260" s="11">
        <v>95.69</v>
      </c>
    </row>
    <row r="261" spans="1:10" hidden="1">
      <c r="A261" t="s">
        <v>3630</v>
      </c>
      <c r="B261" t="s">
        <v>4226</v>
      </c>
      <c r="C261" s="57">
        <v>46058</v>
      </c>
      <c r="F261" s="11">
        <v>557</v>
      </c>
      <c r="G261" t="s">
        <v>4227</v>
      </c>
      <c r="I261" s="11">
        <v>100.44</v>
      </c>
    </row>
    <row r="262" spans="1:10" hidden="1">
      <c r="A262" t="s">
        <v>3641</v>
      </c>
      <c r="B262" t="s">
        <v>896</v>
      </c>
      <c r="C262" s="57">
        <v>45964</v>
      </c>
      <c r="D262" s="57">
        <v>45964</v>
      </c>
      <c r="F262" s="11">
        <v>3000</v>
      </c>
      <c r="G262" t="s">
        <v>3642</v>
      </c>
      <c r="H262" t="s">
        <v>3314</v>
      </c>
      <c r="I262" s="11">
        <v>641.07000000000005</v>
      </c>
      <c r="J262" s="57">
        <v>46024</v>
      </c>
    </row>
    <row r="263" spans="1:10" hidden="1">
      <c r="A263" t="s">
        <v>3641</v>
      </c>
      <c r="B263" t="s">
        <v>895</v>
      </c>
      <c r="C263" s="57">
        <v>45940</v>
      </c>
      <c r="D263" s="57">
        <v>45940</v>
      </c>
      <c r="F263" s="11">
        <v>3300</v>
      </c>
      <c r="G263" t="s">
        <v>3643</v>
      </c>
      <c r="H263" t="s">
        <v>3314</v>
      </c>
      <c r="I263" s="11">
        <v>690.22</v>
      </c>
      <c r="J263" s="57">
        <v>46000</v>
      </c>
    </row>
    <row r="264" spans="1:10" hidden="1">
      <c r="A264" t="s">
        <v>3641</v>
      </c>
      <c r="B264" t="s">
        <v>893</v>
      </c>
      <c r="C264" s="57">
        <v>45730</v>
      </c>
      <c r="D264" s="57">
        <v>45730</v>
      </c>
      <c r="F264" s="11">
        <v>3000</v>
      </c>
      <c r="G264" t="s">
        <v>3644</v>
      </c>
      <c r="H264" t="s">
        <v>3314</v>
      </c>
      <c r="I264" s="11">
        <v>641.07000000000005</v>
      </c>
      <c r="J264" s="57">
        <v>45790</v>
      </c>
    </row>
    <row r="265" spans="1:10" hidden="1">
      <c r="A265" t="s">
        <v>3641</v>
      </c>
      <c r="B265" t="s">
        <v>340</v>
      </c>
      <c r="C265" s="57">
        <v>46048</v>
      </c>
      <c r="D265" s="57">
        <v>46048</v>
      </c>
      <c r="F265" s="11">
        <v>2162</v>
      </c>
      <c r="G265" t="s">
        <v>4225</v>
      </c>
      <c r="H265" t="s">
        <v>3314</v>
      </c>
      <c r="I265" s="11">
        <v>462</v>
      </c>
      <c r="J265" s="57">
        <v>46108</v>
      </c>
    </row>
    <row r="266" spans="1:10" hidden="1">
      <c r="A266" t="s">
        <v>898</v>
      </c>
      <c r="B266" t="s">
        <v>3645</v>
      </c>
      <c r="C266" s="57">
        <v>45933</v>
      </c>
      <c r="D266" s="57">
        <v>45933</v>
      </c>
      <c r="E266" t="s">
        <v>4191</v>
      </c>
      <c r="F266" s="11">
        <v>0</v>
      </c>
      <c r="G266" t="s">
        <v>3646</v>
      </c>
      <c r="H266" t="s">
        <v>350</v>
      </c>
      <c r="I266" s="11">
        <v>15.18</v>
      </c>
      <c r="J266" s="57">
        <v>45993</v>
      </c>
    </row>
    <row r="267" spans="1:10" hidden="1">
      <c r="A267" t="s">
        <v>4186</v>
      </c>
      <c r="B267" t="s">
        <v>4187</v>
      </c>
      <c r="C267" s="57">
        <v>46042</v>
      </c>
      <c r="D267" s="57">
        <v>46042</v>
      </c>
      <c r="F267" s="11">
        <v>1500</v>
      </c>
      <c r="G267" t="s">
        <v>4188</v>
      </c>
      <c r="H267" t="s">
        <v>3314</v>
      </c>
      <c r="I267" s="11">
        <v>0</v>
      </c>
      <c r="J267" s="57">
        <v>46102</v>
      </c>
    </row>
    <row r="268" spans="1:10" hidden="1">
      <c r="A268" t="s">
        <v>3647</v>
      </c>
      <c r="B268" t="s">
        <v>3648</v>
      </c>
      <c r="C268" s="57">
        <v>45945</v>
      </c>
      <c r="D268" s="57">
        <v>45975</v>
      </c>
      <c r="E268" t="s">
        <v>4191</v>
      </c>
      <c r="F268" s="11">
        <v>54.9</v>
      </c>
      <c r="G268" t="s">
        <v>3649</v>
      </c>
      <c r="H268" t="s">
        <v>3650</v>
      </c>
      <c r="I268" s="11">
        <v>9.9</v>
      </c>
      <c r="J268" s="57">
        <v>45975</v>
      </c>
    </row>
    <row r="269" spans="1:10" hidden="1">
      <c r="A269" t="s">
        <v>3647</v>
      </c>
      <c r="B269" t="s">
        <v>910</v>
      </c>
      <c r="C269" s="57">
        <v>45853</v>
      </c>
      <c r="D269" s="57">
        <v>45883</v>
      </c>
      <c r="F269" s="11">
        <v>54.9</v>
      </c>
      <c r="G269" t="s">
        <v>3649</v>
      </c>
      <c r="H269" t="s">
        <v>3650</v>
      </c>
      <c r="I269" s="11">
        <v>9.9</v>
      </c>
      <c r="J269" s="57">
        <v>45883</v>
      </c>
    </row>
    <row r="270" spans="1:10" hidden="1">
      <c r="A270" t="s">
        <v>3647</v>
      </c>
      <c r="B270" t="s">
        <v>908</v>
      </c>
      <c r="C270" s="57">
        <v>45762</v>
      </c>
      <c r="D270" s="57">
        <v>45792</v>
      </c>
      <c r="F270" s="11">
        <v>54.9</v>
      </c>
      <c r="G270" t="s">
        <v>3649</v>
      </c>
      <c r="H270" t="s">
        <v>3650</v>
      </c>
      <c r="I270" s="11">
        <v>9.9</v>
      </c>
      <c r="J270" s="57">
        <v>45792</v>
      </c>
    </row>
    <row r="271" spans="1:10" hidden="1">
      <c r="A271" t="s">
        <v>3647</v>
      </c>
      <c r="B271" t="s">
        <v>905</v>
      </c>
      <c r="C271" s="57">
        <v>45672</v>
      </c>
      <c r="D271" s="57">
        <v>45702</v>
      </c>
      <c r="F271" s="11">
        <v>36.6</v>
      </c>
      <c r="G271" t="s">
        <v>3651</v>
      </c>
      <c r="H271" t="s">
        <v>3650</v>
      </c>
      <c r="I271" s="11">
        <v>6.6</v>
      </c>
      <c r="J271" s="57">
        <v>45702</v>
      </c>
    </row>
    <row r="272" spans="1:10" hidden="1">
      <c r="A272" t="s">
        <v>3647</v>
      </c>
      <c r="B272" t="s">
        <v>4123</v>
      </c>
      <c r="C272" s="57">
        <v>46037</v>
      </c>
      <c r="D272" s="57">
        <v>46067</v>
      </c>
      <c r="F272" s="11">
        <v>54.9</v>
      </c>
      <c r="G272" t="s">
        <v>3649</v>
      </c>
      <c r="H272" t="s">
        <v>3650</v>
      </c>
      <c r="I272" s="11">
        <v>9.9</v>
      </c>
      <c r="J272" s="57">
        <v>46067</v>
      </c>
    </row>
    <row r="273" spans="1:10">
      <c r="A273" t="s">
        <v>3652</v>
      </c>
      <c r="B273" t="s">
        <v>913</v>
      </c>
      <c r="C273" s="57">
        <v>45895</v>
      </c>
      <c r="D273" s="57">
        <v>45895</v>
      </c>
      <c r="F273" s="11">
        <v>1110</v>
      </c>
      <c r="G273" t="s">
        <v>3653</v>
      </c>
      <c r="H273" t="s">
        <v>751</v>
      </c>
      <c r="I273" s="11">
        <v>200.16</v>
      </c>
      <c r="J273" s="57">
        <v>45955</v>
      </c>
    </row>
    <row r="274" spans="1:10">
      <c r="A274" t="s">
        <v>912</v>
      </c>
      <c r="B274" t="s">
        <v>925</v>
      </c>
      <c r="C274" s="57">
        <v>45955</v>
      </c>
      <c r="D274" s="57">
        <v>45955</v>
      </c>
      <c r="F274" s="11">
        <v>498.96</v>
      </c>
      <c r="G274" t="s">
        <v>3967</v>
      </c>
      <c r="H274" t="s">
        <v>751</v>
      </c>
      <c r="I274" s="11">
        <v>89.98</v>
      </c>
      <c r="J274" s="57">
        <v>46015</v>
      </c>
    </row>
    <row r="275" spans="1:10">
      <c r="A275" t="s">
        <v>912</v>
      </c>
      <c r="B275" t="s">
        <v>923</v>
      </c>
      <c r="C275" s="57">
        <v>45923</v>
      </c>
      <c r="D275" s="57">
        <v>45923</v>
      </c>
      <c r="F275" s="11">
        <v>221.78</v>
      </c>
      <c r="G275" t="s">
        <v>3968</v>
      </c>
      <c r="H275" t="s">
        <v>751</v>
      </c>
      <c r="I275" s="11">
        <v>39.99</v>
      </c>
      <c r="J275" s="57">
        <v>45983</v>
      </c>
    </row>
    <row r="276" spans="1:10">
      <c r="A276" t="s">
        <v>912</v>
      </c>
      <c r="B276" t="s">
        <v>921</v>
      </c>
      <c r="C276" s="57">
        <v>45923</v>
      </c>
      <c r="D276" s="57">
        <v>45923</v>
      </c>
      <c r="F276" s="11">
        <v>1606.93</v>
      </c>
      <c r="G276" t="s">
        <v>3969</v>
      </c>
      <c r="H276" t="s">
        <v>751</v>
      </c>
      <c r="I276" s="11">
        <v>289.77</v>
      </c>
      <c r="J276" s="57">
        <v>45983</v>
      </c>
    </row>
    <row r="277" spans="1:10">
      <c r="A277" t="s">
        <v>912</v>
      </c>
      <c r="B277" t="s">
        <v>919</v>
      </c>
      <c r="C277" s="57">
        <v>45923</v>
      </c>
      <c r="D277" s="57">
        <v>45923</v>
      </c>
      <c r="F277" s="11">
        <v>121</v>
      </c>
      <c r="G277" t="s">
        <v>3970</v>
      </c>
      <c r="H277" t="s">
        <v>751</v>
      </c>
      <c r="I277" s="11">
        <v>21.82</v>
      </c>
      <c r="J277" s="57">
        <v>45983</v>
      </c>
    </row>
    <row r="278" spans="1:10">
      <c r="A278" t="s">
        <v>912</v>
      </c>
      <c r="B278" t="s">
        <v>917</v>
      </c>
      <c r="C278" s="57">
        <v>45923</v>
      </c>
      <c r="D278" s="57">
        <v>45923</v>
      </c>
      <c r="F278" s="11">
        <v>749.62</v>
      </c>
      <c r="G278" t="s">
        <v>3971</v>
      </c>
      <c r="H278" t="s">
        <v>751</v>
      </c>
      <c r="I278" s="11">
        <v>135.18</v>
      </c>
      <c r="J278" s="57">
        <v>45983</v>
      </c>
    </row>
    <row r="279" spans="1:10">
      <c r="A279" t="s">
        <v>912</v>
      </c>
      <c r="B279" t="s">
        <v>915</v>
      </c>
      <c r="C279" s="57">
        <v>45923</v>
      </c>
      <c r="D279" s="57">
        <v>45923</v>
      </c>
      <c r="F279" s="11">
        <v>300</v>
      </c>
      <c r="G279" t="s">
        <v>3972</v>
      </c>
      <c r="H279" t="s">
        <v>751</v>
      </c>
      <c r="I279" s="11">
        <v>54.1</v>
      </c>
      <c r="J279" s="57">
        <v>45983</v>
      </c>
    </row>
    <row r="280" spans="1:10">
      <c r="A280" t="s">
        <v>912</v>
      </c>
      <c r="B280" t="s">
        <v>4326</v>
      </c>
      <c r="C280" s="57">
        <v>46083</v>
      </c>
      <c r="D280" s="57">
        <v>46084</v>
      </c>
      <c r="F280" s="11">
        <v>546.38</v>
      </c>
      <c r="G280" t="s">
        <v>4327</v>
      </c>
      <c r="H280" t="s">
        <v>751</v>
      </c>
      <c r="I280" s="11">
        <v>98.53</v>
      </c>
      <c r="J280" s="57">
        <v>46084</v>
      </c>
    </row>
    <row r="281" spans="1:10">
      <c r="A281" t="s">
        <v>912</v>
      </c>
      <c r="B281" t="s">
        <v>4328</v>
      </c>
      <c r="C281" s="57">
        <v>46083</v>
      </c>
      <c r="D281" s="57">
        <v>46084</v>
      </c>
      <c r="F281" s="11">
        <v>111.62</v>
      </c>
      <c r="G281" t="s">
        <v>4329</v>
      </c>
      <c r="H281" t="s">
        <v>751</v>
      </c>
      <c r="I281" s="11">
        <v>20.13</v>
      </c>
      <c r="J281" s="57">
        <v>46084</v>
      </c>
    </row>
    <row r="282" spans="1:10" hidden="1">
      <c r="A282" t="s">
        <v>3654</v>
      </c>
      <c r="B282" t="s">
        <v>3655</v>
      </c>
      <c r="C282" s="57">
        <v>45962</v>
      </c>
      <c r="F282" s="11">
        <v>295.95</v>
      </c>
      <c r="G282" t="s">
        <v>3656</v>
      </c>
      <c r="I282" s="11">
        <v>53.37</v>
      </c>
    </row>
    <row r="283" spans="1:10" hidden="1">
      <c r="A283" t="s">
        <v>3654</v>
      </c>
      <c r="B283" t="s">
        <v>928</v>
      </c>
      <c r="C283" s="57">
        <v>45958</v>
      </c>
      <c r="E283" t="s">
        <v>4191</v>
      </c>
      <c r="F283" s="11">
        <v>215.45</v>
      </c>
      <c r="G283" t="s">
        <v>3657</v>
      </c>
      <c r="I283" s="11">
        <v>38.85</v>
      </c>
    </row>
    <row r="284" spans="1:10" hidden="1">
      <c r="A284" t="s">
        <v>930</v>
      </c>
      <c r="B284" t="s">
        <v>3327</v>
      </c>
      <c r="C284" s="57">
        <v>46022</v>
      </c>
      <c r="F284" s="11">
        <v>741.56</v>
      </c>
      <c r="G284" t="s">
        <v>3328</v>
      </c>
      <c r="H284" t="s">
        <v>3309</v>
      </c>
      <c r="I284" s="11">
        <v>133.72</v>
      </c>
    </row>
    <row r="285" spans="1:10" hidden="1">
      <c r="A285" t="s">
        <v>930</v>
      </c>
      <c r="B285" t="s">
        <v>992</v>
      </c>
      <c r="C285" s="57">
        <v>46006</v>
      </c>
      <c r="F285" s="11">
        <v>560.03</v>
      </c>
      <c r="G285" t="s">
        <v>3973</v>
      </c>
      <c r="H285" t="s">
        <v>3309</v>
      </c>
      <c r="I285" s="11">
        <v>100.99</v>
      </c>
    </row>
    <row r="286" spans="1:10" hidden="1">
      <c r="A286" t="s">
        <v>930</v>
      </c>
      <c r="B286" t="s">
        <v>991</v>
      </c>
      <c r="C286" s="57">
        <v>45991</v>
      </c>
      <c r="F286" s="11">
        <v>764.62</v>
      </c>
      <c r="G286" t="s">
        <v>3974</v>
      </c>
      <c r="H286" t="s">
        <v>3309</v>
      </c>
      <c r="I286" s="11">
        <v>137.88</v>
      </c>
    </row>
    <row r="287" spans="1:10" hidden="1">
      <c r="A287" t="s">
        <v>930</v>
      </c>
      <c r="B287" t="s">
        <v>989</v>
      </c>
      <c r="C287" s="57">
        <v>45976</v>
      </c>
      <c r="F287" s="11">
        <v>415.6</v>
      </c>
      <c r="G287" t="s">
        <v>3975</v>
      </c>
      <c r="H287" t="s">
        <v>3309</v>
      </c>
      <c r="I287" s="11">
        <v>74.94</v>
      </c>
    </row>
    <row r="288" spans="1:10" hidden="1">
      <c r="A288" t="s">
        <v>930</v>
      </c>
      <c r="B288" t="s">
        <v>987</v>
      </c>
      <c r="C288" s="57">
        <v>45961</v>
      </c>
      <c r="F288" s="11">
        <v>758.4</v>
      </c>
      <c r="G288" t="s">
        <v>3976</v>
      </c>
      <c r="H288" t="s">
        <v>3309</v>
      </c>
      <c r="I288" s="11">
        <v>136.76</v>
      </c>
    </row>
    <row r="289" spans="1:9" hidden="1">
      <c r="A289" t="s">
        <v>930</v>
      </c>
      <c r="B289" t="s">
        <v>3660</v>
      </c>
      <c r="C289" s="57">
        <v>45945</v>
      </c>
      <c r="E289" t="s">
        <v>4191</v>
      </c>
      <c r="F289" s="11">
        <v>328.43</v>
      </c>
      <c r="G289" t="s">
        <v>3661</v>
      </c>
      <c r="H289" t="s">
        <v>3309</v>
      </c>
      <c r="I289" s="11">
        <v>59.23</v>
      </c>
    </row>
    <row r="290" spans="1:9" hidden="1">
      <c r="A290" t="s">
        <v>930</v>
      </c>
      <c r="B290" t="s">
        <v>984</v>
      </c>
      <c r="C290" s="57">
        <v>45930</v>
      </c>
      <c r="F290" s="11">
        <v>620.88</v>
      </c>
      <c r="G290" t="s">
        <v>3977</v>
      </c>
      <c r="H290" t="s">
        <v>3309</v>
      </c>
      <c r="I290" s="11">
        <v>111.96</v>
      </c>
    </row>
    <row r="291" spans="1:9" hidden="1">
      <c r="A291" t="s">
        <v>930</v>
      </c>
      <c r="B291" t="s">
        <v>981</v>
      </c>
      <c r="C291" s="57">
        <v>45915</v>
      </c>
      <c r="F291" s="11">
        <v>662.09</v>
      </c>
      <c r="G291" t="s">
        <v>3978</v>
      </c>
      <c r="H291" t="s">
        <v>3309</v>
      </c>
      <c r="I291" s="11">
        <v>119.39</v>
      </c>
    </row>
    <row r="292" spans="1:9" hidden="1">
      <c r="A292" t="s">
        <v>930</v>
      </c>
      <c r="B292" t="s">
        <v>978</v>
      </c>
      <c r="C292" s="57">
        <v>45900</v>
      </c>
      <c r="F292" s="11">
        <v>748.7</v>
      </c>
      <c r="G292" t="s">
        <v>3979</v>
      </c>
      <c r="H292" t="s">
        <v>3309</v>
      </c>
      <c r="I292" s="11">
        <v>135.01</v>
      </c>
    </row>
    <row r="293" spans="1:9" hidden="1">
      <c r="A293" t="s">
        <v>930</v>
      </c>
      <c r="B293" t="s">
        <v>975</v>
      </c>
      <c r="C293" s="57">
        <v>45884</v>
      </c>
      <c r="F293" s="11">
        <v>1157.67</v>
      </c>
      <c r="G293" t="s">
        <v>3980</v>
      </c>
      <c r="H293" t="s">
        <v>3309</v>
      </c>
      <c r="I293" s="11">
        <v>208.76</v>
      </c>
    </row>
    <row r="294" spans="1:9" hidden="1">
      <c r="A294" t="s">
        <v>930</v>
      </c>
      <c r="B294" t="s">
        <v>972</v>
      </c>
      <c r="C294" s="57">
        <v>45869</v>
      </c>
      <c r="F294" s="11">
        <v>986.36</v>
      </c>
      <c r="G294" t="s">
        <v>3981</v>
      </c>
      <c r="H294" t="s">
        <v>3309</v>
      </c>
      <c r="I294" s="11">
        <v>177.87</v>
      </c>
    </row>
    <row r="295" spans="1:9" hidden="1">
      <c r="A295" t="s">
        <v>930</v>
      </c>
      <c r="B295" t="s">
        <v>969</v>
      </c>
      <c r="C295" s="57">
        <v>45853</v>
      </c>
      <c r="F295" s="11">
        <v>1247.81</v>
      </c>
      <c r="G295" t="s">
        <v>3982</v>
      </c>
      <c r="H295" t="s">
        <v>3309</v>
      </c>
      <c r="I295" s="11">
        <v>225.01</v>
      </c>
    </row>
    <row r="296" spans="1:9" hidden="1">
      <c r="A296" t="s">
        <v>930</v>
      </c>
      <c r="B296" t="s">
        <v>965</v>
      </c>
      <c r="C296" s="57">
        <v>45838</v>
      </c>
      <c r="F296" s="11">
        <v>738.19</v>
      </c>
      <c r="G296" t="s">
        <v>3983</v>
      </c>
      <c r="H296" t="s">
        <v>3309</v>
      </c>
      <c r="I296" s="11">
        <v>133.12</v>
      </c>
    </row>
    <row r="297" spans="1:9" hidden="1">
      <c r="A297" t="s">
        <v>930</v>
      </c>
      <c r="B297" t="s">
        <v>961</v>
      </c>
      <c r="C297" s="57">
        <v>45823</v>
      </c>
      <c r="F297" s="11">
        <v>579.76</v>
      </c>
      <c r="G297" t="s">
        <v>3984</v>
      </c>
      <c r="H297" t="s">
        <v>3309</v>
      </c>
      <c r="I297" s="11">
        <v>104.55</v>
      </c>
    </row>
    <row r="298" spans="1:9" hidden="1">
      <c r="A298" t="s">
        <v>930</v>
      </c>
      <c r="B298" t="s">
        <v>958</v>
      </c>
      <c r="C298" s="57">
        <v>45808</v>
      </c>
      <c r="F298" s="11">
        <v>942.34</v>
      </c>
      <c r="G298" t="s">
        <v>3985</v>
      </c>
      <c r="H298" t="s">
        <v>3309</v>
      </c>
      <c r="I298" s="11">
        <v>169.93</v>
      </c>
    </row>
    <row r="299" spans="1:9" hidden="1">
      <c r="A299" t="s">
        <v>930</v>
      </c>
      <c r="B299" t="s">
        <v>955</v>
      </c>
      <c r="C299" s="57">
        <v>45792</v>
      </c>
      <c r="F299" s="11">
        <v>568.62</v>
      </c>
      <c r="G299" t="s">
        <v>3986</v>
      </c>
      <c r="H299" t="s">
        <v>3309</v>
      </c>
      <c r="I299" s="11">
        <v>102.54</v>
      </c>
    </row>
    <row r="300" spans="1:9" hidden="1">
      <c r="A300" t="s">
        <v>930</v>
      </c>
      <c r="B300" t="s">
        <v>952</v>
      </c>
      <c r="C300" s="57">
        <v>45777</v>
      </c>
      <c r="F300" s="11">
        <v>615.79999999999995</v>
      </c>
      <c r="G300" t="s">
        <v>3987</v>
      </c>
      <c r="H300" t="s">
        <v>3309</v>
      </c>
      <c r="I300" s="11">
        <v>111.05</v>
      </c>
    </row>
    <row r="301" spans="1:9" hidden="1">
      <c r="A301" t="s">
        <v>930</v>
      </c>
      <c r="B301" t="s">
        <v>949</v>
      </c>
      <c r="C301" s="57">
        <v>45762</v>
      </c>
      <c r="F301" s="11">
        <v>846.19</v>
      </c>
      <c r="G301" t="s">
        <v>3988</v>
      </c>
      <c r="H301" t="s">
        <v>3309</v>
      </c>
      <c r="I301" s="11">
        <v>152.59</v>
      </c>
    </row>
    <row r="302" spans="1:9" hidden="1">
      <c r="A302" t="s">
        <v>930</v>
      </c>
      <c r="B302" t="s">
        <v>946</v>
      </c>
      <c r="C302" s="57">
        <v>45747</v>
      </c>
      <c r="F302" s="11">
        <v>828.84</v>
      </c>
      <c r="G302" t="s">
        <v>3989</v>
      </c>
      <c r="H302" t="s">
        <v>3309</v>
      </c>
      <c r="I302" s="11">
        <v>149.46</v>
      </c>
    </row>
    <row r="303" spans="1:9" hidden="1">
      <c r="A303" t="s">
        <v>930</v>
      </c>
      <c r="B303" t="s">
        <v>943</v>
      </c>
      <c r="C303" s="57">
        <v>45731</v>
      </c>
      <c r="F303" s="11">
        <v>729.96</v>
      </c>
      <c r="G303" t="s">
        <v>3990</v>
      </c>
      <c r="H303" t="s">
        <v>3309</v>
      </c>
      <c r="I303" s="11">
        <v>131.63</v>
      </c>
    </row>
    <row r="304" spans="1:9" hidden="1">
      <c r="A304" t="s">
        <v>930</v>
      </c>
      <c r="B304" t="s">
        <v>940</v>
      </c>
      <c r="C304" s="57">
        <v>45716</v>
      </c>
      <c r="F304" s="11">
        <v>749.5</v>
      </c>
      <c r="G304" t="s">
        <v>3991</v>
      </c>
      <c r="H304" t="s">
        <v>3309</v>
      </c>
      <c r="I304" s="11">
        <v>135.16</v>
      </c>
    </row>
    <row r="305" spans="1:10" hidden="1">
      <c r="A305" t="s">
        <v>930</v>
      </c>
      <c r="B305" t="s">
        <v>3658</v>
      </c>
      <c r="C305" s="57">
        <v>45703</v>
      </c>
      <c r="F305" s="11">
        <v>916.36</v>
      </c>
      <c r="G305" t="s">
        <v>3659</v>
      </c>
      <c r="H305" t="s">
        <v>3309</v>
      </c>
      <c r="I305" s="11">
        <v>165.25</v>
      </c>
    </row>
    <row r="306" spans="1:10" hidden="1">
      <c r="A306" t="s">
        <v>930</v>
      </c>
      <c r="B306" t="s">
        <v>934</v>
      </c>
      <c r="C306" s="57">
        <v>45688</v>
      </c>
      <c r="F306" s="11">
        <v>1206.6199999999999</v>
      </c>
      <c r="G306" t="s">
        <v>3992</v>
      </c>
      <c r="H306" t="s">
        <v>3309</v>
      </c>
      <c r="I306" s="11">
        <v>217.59</v>
      </c>
    </row>
    <row r="307" spans="1:10" hidden="1">
      <c r="A307" t="s">
        <v>930</v>
      </c>
      <c r="B307" t="s">
        <v>931</v>
      </c>
      <c r="C307" s="57">
        <v>45672</v>
      </c>
      <c r="F307" s="11">
        <v>693.19</v>
      </c>
      <c r="G307" t="s">
        <v>3993</v>
      </c>
      <c r="H307" t="s">
        <v>3309</v>
      </c>
      <c r="I307" s="11">
        <v>125</v>
      </c>
    </row>
    <row r="308" spans="1:10" hidden="1">
      <c r="A308" t="s">
        <v>930</v>
      </c>
      <c r="B308" t="s">
        <v>4121</v>
      </c>
      <c r="C308" s="57">
        <v>46037</v>
      </c>
      <c r="F308" s="11">
        <v>672.99</v>
      </c>
      <c r="G308" t="s">
        <v>4122</v>
      </c>
      <c r="H308" t="s">
        <v>3309</v>
      </c>
      <c r="I308" s="11">
        <v>121.36</v>
      </c>
    </row>
    <row r="309" spans="1:10" hidden="1">
      <c r="A309" t="s">
        <v>930</v>
      </c>
      <c r="B309" t="s">
        <v>4228</v>
      </c>
      <c r="C309" s="57">
        <v>46053</v>
      </c>
      <c r="F309" s="11">
        <v>883.87</v>
      </c>
      <c r="G309" t="s">
        <v>4229</v>
      </c>
      <c r="H309" t="s">
        <v>3309</v>
      </c>
      <c r="I309" s="11">
        <v>159.38999999999999</v>
      </c>
    </row>
    <row r="310" spans="1:10" hidden="1">
      <c r="A310" t="s">
        <v>930</v>
      </c>
      <c r="B310" t="s">
        <v>4256</v>
      </c>
      <c r="C310" s="57">
        <v>46068</v>
      </c>
      <c r="F310" s="11">
        <v>561.80999999999995</v>
      </c>
      <c r="G310" t="s">
        <v>3975</v>
      </c>
      <c r="H310" t="s">
        <v>3309</v>
      </c>
      <c r="I310" s="11">
        <v>101.31</v>
      </c>
    </row>
    <row r="311" spans="1:10" hidden="1">
      <c r="A311" t="s">
        <v>930</v>
      </c>
      <c r="B311" t="s">
        <v>4330</v>
      </c>
      <c r="C311" s="57">
        <v>46081</v>
      </c>
      <c r="F311" s="11">
        <v>550.69000000000005</v>
      </c>
      <c r="G311" t="s">
        <v>4331</v>
      </c>
      <c r="H311" t="s">
        <v>3309</v>
      </c>
      <c r="I311" s="11">
        <v>99.3</v>
      </c>
    </row>
    <row r="312" spans="1:10" hidden="1">
      <c r="A312" t="s">
        <v>3662</v>
      </c>
      <c r="B312" t="s">
        <v>1045</v>
      </c>
      <c r="C312" s="57">
        <v>45991</v>
      </c>
      <c r="D312" s="57">
        <v>46001</v>
      </c>
      <c r="F312" s="11">
        <v>427</v>
      </c>
      <c r="G312" t="s">
        <v>3671</v>
      </c>
      <c r="H312" t="s">
        <v>3314</v>
      </c>
      <c r="I312" s="11">
        <v>77</v>
      </c>
      <c r="J312" s="57">
        <v>46001</v>
      </c>
    </row>
    <row r="313" spans="1:10" hidden="1">
      <c r="A313" t="s">
        <v>3662</v>
      </c>
      <c r="B313" t="s">
        <v>1042</v>
      </c>
      <c r="C313" s="57">
        <v>45950</v>
      </c>
      <c r="D313" s="57">
        <v>45971</v>
      </c>
      <c r="F313" s="11">
        <v>854</v>
      </c>
      <c r="G313" t="s">
        <v>3670</v>
      </c>
      <c r="H313" t="s">
        <v>3314</v>
      </c>
      <c r="I313" s="11">
        <v>154</v>
      </c>
      <c r="J313" s="57">
        <v>45971</v>
      </c>
    </row>
    <row r="314" spans="1:10" hidden="1">
      <c r="A314" t="s">
        <v>3662</v>
      </c>
      <c r="B314" t="s">
        <v>1039</v>
      </c>
      <c r="C314" s="57">
        <v>45930</v>
      </c>
      <c r="D314" s="57">
        <v>46001</v>
      </c>
      <c r="F314" s="11">
        <v>2598.6</v>
      </c>
      <c r="G314" t="s">
        <v>3672</v>
      </c>
      <c r="H314" t="s">
        <v>125</v>
      </c>
      <c r="I314" s="11">
        <v>468.6</v>
      </c>
      <c r="J314" s="57">
        <v>46001</v>
      </c>
    </row>
    <row r="315" spans="1:10" hidden="1">
      <c r="A315" t="s">
        <v>3662</v>
      </c>
      <c r="B315" t="s">
        <v>3667</v>
      </c>
      <c r="C315" s="57">
        <v>45930</v>
      </c>
      <c r="D315" s="57">
        <v>45940</v>
      </c>
      <c r="E315" t="s">
        <v>4191</v>
      </c>
      <c r="F315" s="11">
        <v>6344</v>
      </c>
      <c r="G315" t="s">
        <v>3668</v>
      </c>
      <c r="H315" t="s">
        <v>3314</v>
      </c>
      <c r="I315" s="11">
        <v>1144</v>
      </c>
      <c r="J315" s="57">
        <v>45940</v>
      </c>
    </row>
    <row r="316" spans="1:10" hidden="1">
      <c r="A316" t="s">
        <v>3662</v>
      </c>
      <c r="B316" t="s">
        <v>1037</v>
      </c>
      <c r="C316" s="57">
        <v>45930</v>
      </c>
      <c r="D316" s="57">
        <v>45940</v>
      </c>
      <c r="F316" s="11">
        <v>854</v>
      </c>
      <c r="G316" t="s">
        <v>3664</v>
      </c>
      <c r="H316" t="s">
        <v>3314</v>
      </c>
      <c r="I316" s="11">
        <v>154</v>
      </c>
      <c r="J316" s="57">
        <v>45940</v>
      </c>
    </row>
    <row r="317" spans="1:10" hidden="1">
      <c r="A317" t="s">
        <v>3662</v>
      </c>
      <c r="B317" t="s">
        <v>1034</v>
      </c>
      <c r="C317" s="57">
        <v>45917</v>
      </c>
      <c r="F317" s="11">
        <v>11598.83</v>
      </c>
      <c r="G317" t="s">
        <v>3663</v>
      </c>
      <c r="I317" s="11">
        <v>0</v>
      </c>
    </row>
    <row r="318" spans="1:10" hidden="1">
      <c r="A318" t="s">
        <v>3662</v>
      </c>
      <c r="B318" t="s">
        <v>1031</v>
      </c>
      <c r="C318" s="57">
        <v>45900</v>
      </c>
      <c r="D318" s="57">
        <v>45910</v>
      </c>
      <c r="F318" s="11">
        <v>427</v>
      </c>
      <c r="G318" t="s">
        <v>3669</v>
      </c>
      <c r="H318" t="s">
        <v>3314</v>
      </c>
      <c r="I318" s="11">
        <v>77</v>
      </c>
      <c r="J318" s="57">
        <v>45910</v>
      </c>
    </row>
    <row r="319" spans="1:10" hidden="1">
      <c r="A319" t="s">
        <v>3662</v>
      </c>
      <c r="B319" t="s">
        <v>1028</v>
      </c>
      <c r="C319" s="57">
        <v>45869</v>
      </c>
      <c r="D319" s="57">
        <v>45879</v>
      </c>
      <c r="F319" s="11">
        <v>2745</v>
      </c>
      <c r="G319" t="s">
        <v>3665</v>
      </c>
      <c r="H319" t="s">
        <v>3314</v>
      </c>
      <c r="I319" s="11">
        <v>495</v>
      </c>
      <c r="J319" s="57">
        <v>45879</v>
      </c>
    </row>
    <row r="320" spans="1:10" hidden="1">
      <c r="A320" t="s">
        <v>3662</v>
      </c>
      <c r="B320" t="s">
        <v>1007</v>
      </c>
      <c r="C320" s="57">
        <v>45677</v>
      </c>
      <c r="D320" s="57">
        <v>45698</v>
      </c>
      <c r="F320" s="11">
        <v>427</v>
      </c>
      <c r="G320" t="s">
        <v>3666</v>
      </c>
      <c r="H320" t="s">
        <v>3314</v>
      </c>
      <c r="I320" s="11">
        <v>77</v>
      </c>
      <c r="J320" s="57">
        <v>45698</v>
      </c>
    </row>
    <row r="321" spans="1:10" hidden="1">
      <c r="A321" t="s">
        <v>3662</v>
      </c>
      <c r="B321" t="s">
        <v>1712</v>
      </c>
      <c r="C321" s="57">
        <v>46042</v>
      </c>
      <c r="D321" s="57">
        <v>46063</v>
      </c>
      <c r="F321" s="11">
        <v>427</v>
      </c>
      <c r="G321" t="s">
        <v>4133</v>
      </c>
      <c r="H321" t="s">
        <v>3314</v>
      </c>
      <c r="I321" s="11">
        <v>77</v>
      </c>
      <c r="J321" s="57">
        <v>46063</v>
      </c>
    </row>
    <row r="322" spans="1:10" hidden="1">
      <c r="A322" t="s">
        <v>994</v>
      </c>
      <c r="B322" t="s">
        <v>999</v>
      </c>
      <c r="C322" s="57">
        <v>45808</v>
      </c>
      <c r="F322" s="11">
        <v>890.6</v>
      </c>
      <c r="G322" t="s">
        <v>3994</v>
      </c>
      <c r="I322" s="11">
        <v>160.6</v>
      </c>
    </row>
    <row r="323" spans="1:10" hidden="1">
      <c r="A323" t="s">
        <v>994</v>
      </c>
      <c r="B323" t="s">
        <v>997</v>
      </c>
      <c r="C323" s="57">
        <v>45777</v>
      </c>
      <c r="F323" s="11">
        <v>180.56</v>
      </c>
      <c r="G323" t="s">
        <v>3995</v>
      </c>
      <c r="I323" s="11">
        <v>32.56</v>
      </c>
    </row>
    <row r="324" spans="1:10" hidden="1">
      <c r="A324" t="s">
        <v>994</v>
      </c>
      <c r="B324" t="s">
        <v>995</v>
      </c>
      <c r="C324" s="57">
        <v>45747</v>
      </c>
      <c r="F324" s="11">
        <v>1660.42</v>
      </c>
      <c r="G324" t="s">
        <v>3996</v>
      </c>
      <c r="I324" s="11">
        <v>299.42</v>
      </c>
    </row>
    <row r="325" spans="1:10" hidden="1">
      <c r="A325" t="s">
        <v>3673</v>
      </c>
      <c r="B325" t="s">
        <v>3674</v>
      </c>
      <c r="C325" s="57">
        <v>45838</v>
      </c>
      <c r="F325" s="11">
        <v>180</v>
      </c>
      <c r="G325" t="s">
        <v>3675</v>
      </c>
      <c r="I325" s="11">
        <v>16.36</v>
      </c>
    </row>
    <row r="326" spans="1:10" hidden="1">
      <c r="A326" t="s">
        <v>3673</v>
      </c>
      <c r="B326" t="s">
        <v>3676</v>
      </c>
      <c r="C326" s="57">
        <v>45832</v>
      </c>
      <c r="F326" s="11">
        <v>405.01</v>
      </c>
      <c r="G326" t="s">
        <v>3677</v>
      </c>
      <c r="I326" s="11">
        <v>36.82</v>
      </c>
    </row>
    <row r="327" spans="1:10" hidden="1">
      <c r="A327" t="s">
        <v>1047</v>
      </c>
      <c r="B327" t="s">
        <v>1058</v>
      </c>
      <c r="C327" s="57">
        <v>45964</v>
      </c>
      <c r="D327" s="57">
        <v>45964</v>
      </c>
      <c r="F327" s="11">
        <v>2412.5100000000002</v>
      </c>
      <c r="G327" t="s">
        <v>3997</v>
      </c>
      <c r="H327" t="s">
        <v>3314</v>
      </c>
      <c r="I327" s="11">
        <v>435.04</v>
      </c>
      <c r="J327" s="57">
        <v>46024</v>
      </c>
    </row>
    <row r="328" spans="1:10" hidden="1">
      <c r="A328" t="s">
        <v>1047</v>
      </c>
      <c r="B328" t="s">
        <v>1056</v>
      </c>
      <c r="C328" s="57">
        <v>45964</v>
      </c>
      <c r="D328" s="57">
        <v>45964</v>
      </c>
      <c r="F328" s="11">
        <v>2087.4899999999998</v>
      </c>
      <c r="G328" t="s">
        <v>3679</v>
      </c>
      <c r="H328" t="s">
        <v>3314</v>
      </c>
      <c r="I328" s="11">
        <v>376.43</v>
      </c>
      <c r="J328" s="57">
        <v>46024</v>
      </c>
    </row>
    <row r="329" spans="1:10" hidden="1">
      <c r="A329" t="s">
        <v>1047</v>
      </c>
      <c r="B329" t="s">
        <v>3678</v>
      </c>
      <c r="C329" s="57">
        <v>45947</v>
      </c>
      <c r="D329" s="57">
        <v>45947</v>
      </c>
      <c r="E329" t="s">
        <v>4191</v>
      </c>
      <c r="F329" s="11">
        <v>4500.01</v>
      </c>
      <c r="G329" t="s">
        <v>3679</v>
      </c>
      <c r="H329" t="s">
        <v>3314</v>
      </c>
      <c r="I329" s="11">
        <v>811.48</v>
      </c>
      <c r="J329" s="57">
        <v>46007</v>
      </c>
    </row>
    <row r="330" spans="1:10" hidden="1">
      <c r="A330" t="s">
        <v>1047</v>
      </c>
      <c r="B330" t="s">
        <v>1065</v>
      </c>
      <c r="C330" s="57">
        <v>45686</v>
      </c>
      <c r="D330" s="57">
        <v>45686</v>
      </c>
      <c r="F330" s="11">
        <v>5210.62</v>
      </c>
      <c r="G330" t="s">
        <v>3998</v>
      </c>
      <c r="H330" t="s">
        <v>3314</v>
      </c>
      <c r="I330" s="11">
        <v>939.62</v>
      </c>
      <c r="J330" s="57">
        <v>45746</v>
      </c>
    </row>
    <row r="331" spans="1:10" hidden="1">
      <c r="A331" t="s">
        <v>1047</v>
      </c>
      <c r="B331" t="s">
        <v>1063</v>
      </c>
      <c r="C331" s="57">
        <v>45686</v>
      </c>
      <c r="D331" s="57">
        <v>45686</v>
      </c>
      <c r="F331" s="11">
        <v>5559.07</v>
      </c>
      <c r="G331" t="s">
        <v>3999</v>
      </c>
      <c r="H331" t="s">
        <v>3314</v>
      </c>
      <c r="I331" s="11">
        <v>943.42</v>
      </c>
      <c r="J331" s="57">
        <v>45746</v>
      </c>
    </row>
    <row r="332" spans="1:10" hidden="1">
      <c r="A332" t="s">
        <v>1067</v>
      </c>
      <c r="B332" t="s">
        <v>3680</v>
      </c>
      <c r="C332" s="57">
        <v>45804</v>
      </c>
      <c r="F332" s="11">
        <v>74</v>
      </c>
      <c r="G332" t="s">
        <v>3681</v>
      </c>
      <c r="H332" t="s">
        <v>350</v>
      </c>
      <c r="I332" s="11">
        <v>6.73</v>
      </c>
    </row>
    <row r="333" spans="1:10" hidden="1">
      <c r="A333" t="s">
        <v>3682</v>
      </c>
      <c r="B333" t="s">
        <v>1087</v>
      </c>
      <c r="C333" s="57">
        <v>45995</v>
      </c>
      <c r="F333" s="11">
        <v>39.89</v>
      </c>
      <c r="G333" t="s">
        <v>3693</v>
      </c>
      <c r="I333" s="11">
        <v>7.19</v>
      </c>
    </row>
    <row r="334" spans="1:10" hidden="1">
      <c r="A334" t="s">
        <v>3682</v>
      </c>
      <c r="B334" t="s">
        <v>1086</v>
      </c>
      <c r="C334" s="57">
        <v>45985</v>
      </c>
      <c r="F334" s="11">
        <v>355.82</v>
      </c>
      <c r="G334" t="s">
        <v>3692</v>
      </c>
      <c r="I334" s="11">
        <v>64.16</v>
      </c>
    </row>
    <row r="335" spans="1:10" hidden="1">
      <c r="A335" t="s">
        <v>3682</v>
      </c>
      <c r="B335" t="s">
        <v>1083</v>
      </c>
      <c r="C335" s="57">
        <v>45982</v>
      </c>
      <c r="F335" s="11">
        <v>121.53</v>
      </c>
      <c r="G335" t="s">
        <v>3691</v>
      </c>
      <c r="I335" s="11">
        <v>21.06</v>
      </c>
    </row>
    <row r="336" spans="1:10" hidden="1">
      <c r="A336" t="s">
        <v>3682</v>
      </c>
      <c r="B336" t="s">
        <v>1081</v>
      </c>
      <c r="C336" s="57">
        <v>45966</v>
      </c>
      <c r="F336" s="11">
        <v>65.95</v>
      </c>
      <c r="G336" t="s">
        <v>3694</v>
      </c>
      <c r="I336" s="11">
        <v>11.89</v>
      </c>
    </row>
    <row r="337" spans="1:10" hidden="1">
      <c r="A337" t="s">
        <v>3682</v>
      </c>
      <c r="B337" t="s">
        <v>1082</v>
      </c>
      <c r="C337" s="57">
        <v>45966</v>
      </c>
      <c r="F337" s="11">
        <v>91</v>
      </c>
      <c r="G337" t="s">
        <v>3690</v>
      </c>
      <c r="I337" s="11">
        <v>16.41</v>
      </c>
    </row>
    <row r="338" spans="1:10" hidden="1">
      <c r="A338" t="s">
        <v>3682</v>
      </c>
      <c r="B338" t="s">
        <v>3688</v>
      </c>
      <c r="C338" s="57">
        <v>45947</v>
      </c>
      <c r="E338" t="s">
        <v>4191</v>
      </c>
      <c r="F338" s="11">
        <v>229.99</v>
      </c>
      <c r="G338" t="s">
        <v>3689</v>
      </c>
      <c r="I338" s="11">
        <v>41.47</v>
      </c>
    </row>
    <row r="339" spans="1:10" hidden="1">
      <c r="A339" t="s">
        <v>3682</v>
      </c>
      <c r="B339" t="s">
        <v>1079</v>
      </c>
      <c r="C339" s="57">
        <v>45880</v>
      </c>
      <c r="F339" s="11">
        <v>157.35</v>
      </c>
      <c r="G339" t="s">
        <v>3687</v>
      </c>
      <c r="I339" s="11">
        <v>28.37</v>
      </c>
    </row>
    <row r="340" spans="1:10" hidden="1">
      <c r="A340" t="s">
        <v>3682</v>
      </c>
      <c r="B340" t="s">
        <v>1077</v>
      </c>
      <c r="C340" s="57">
        <v>45868</v>
      </c>
      <c r="F340" s="11">
        <v>119.88</v>
      </c>
      <c r="G340" t="s">
        <v>3686</v>
      </c>
      <c r="I340" s="11">
        <v>21.62</v>
      </c>
    </row>
    <row r="341" spans="1:10" hidden="1">
      <c r="A341" t="s">
        <v>3682</v>
      </c>
      <c r="B341" t="s">
        <v>1075</v>
      </c>
      <c r="C341" s="57">
        <v>45854</v>
      </c>
      <c r="F341" s="11">
        <v>1216.9000000000001</v>
      </c>
      <c r="G341" t="s">
        <v>3685</v>
      </c>
      <c r="I341" s="11">
        <v>219.44</v>
      </c>
    </row>
    <row r="342" spans="1:10" hidden="1">
      <c r="A342" t="s">
        <v>3682</v>
      </c>
      <c r="B342" t="s">
        <v>1073</v>
      </c>
      <c r="C342" s="57">
        <v>45840</v>
      </c>
      <c r="F342" s="11">
        <v>809.7</v>
      </c>
      <c r="G342" t="s">
        <v>3684</v>
      </c>
      <c r="I342" s="11">
        <v>146.01</v>
      </c>
    </row>
    <row r="343" spans="1:10" hidden="1">
      <c r="A343" t="s">
        <v>3682</v>
      </c>
      <c r="B343" t="s">
        <v>1071</v>
      </c>
      <c r="C343" s="57">
        <v>45815</v>
      </c>
      <c r="F343" s="11">
        <v>638.14</v>
      </c>
      <c r="G343" t="s">
        <v>3683</v>
      </c>
      <c r="I343" s="11">
        <v>115.07</v>
      </c>
    </row>
    <row r="344" spans="1:10" hidden="1">
      <c r="A344" t="s">
        <v>1090</v>
      </c>
      <c r="B344" t="s">
        <v>1094</v>
      </c>
      <c r="C344" s="57">
        <v>45974</v>
      </c>
      <c r="D344" s="57">
        <v>45974</v>
      </c>
      <c r="F344" s="11">
        <v>114.68</v>
      </c>
      <c r="G344" t="s">
        <v>4000</v>
      </c>
      <c r="H344" t="s">
        <v>3314</v>
      </c>
      <c r="I344" s="11">
        <v>20.68</v>
      </c>
      <c r="J344" s="57">
        <v>46034</v>
      </c>
    </row>
    <row r="345" spans="1:10" hidden="1">
      <c r="A345" t="s">
        <v>1090</v>
      </c>
      <c r="B345" t="s">
        <v>1091</v>
      </c>
      <c r="C345" s="57">
        <v>45672</v>
      </c>
      <c r="D345" s="57">
        <v>45672</v>
      </c>
      <c r="F345" s="11">
        <v>150.01</v>
      </c>
      <c r="G345" t="s">
        <v>4001</v>
      </c>
      <c r="H345" t="s">
        <v>3314</v>
      </c>
      <c r="I345" s="11">
        <v>27.05</v>
      </c>
      <c r="J345" s="57">
        <v>45732</v>
      </c>
    </row>
    <row r="346" spans="1:10" hidden="1">
      <c r="A346" t="s">
        <v>3695</v>
      </c>
      <c r="B346" t="s">
        <v>1100</v>
      </c>
      <c r="C346" s="57">
        <v>45825</v>
      </c>
      <c r="F346" s="11">
        <v>25.5</v>
      </c>
      <c r="G346" t="s">
        <v>3696</v>
      </c>
      <c r="H346" t="s">
        <v>350</v>
      </c>
      <c r="I346" s="11">
        <v>2.3199999999999998</v>
      </c>
    </row>
    <row r="347" spans="1:10" hidden="1">
      <c r="A347" t="s">
        <v>3695</v>
      </c>
      <c r="B347" t="s">
        <v>1098</v>
      </c>
      <c r="C347" s="57">
        <v>45761</v>
      </c>
      <c r="F347" s="11">
        <v>24.5</v>
      </c>
      <c r="G347" t="s">
        <v>3697</v>
      </c>
      <c r="H347" t="s">
        <v>350</v>
      </c>
      <c r="I347" s="11">
        <v>2.23</v>
      </c>
    </row>
    <row r="348" spans="1:10" hidden="1">
      <c r="A348" t="s">
        <v>3695</v>
      </c>
      <c r="B348" t="s">
        <v>1096</v>
      </c>
      <c r="C348" s="57">
        <v>45686</v>
      </c>
      <c r="F348" s="11">
        <v>26.5</v>
      </c>
      <c r="G348" t="s">
        <v>3698</v>
      </c>
      <c r="H348" t="s">
        <v>751</v>
      </c>
      <c r="I348" s="11">
        <v>2.41</v>
      </c>
    </row>
    <row r="349" spans="1:10" hidden="1">
      <c r="A349" t="s">
        <v>1102</v>
      </c>
      <c r="B349" t="s">
        <v>1114</v>
      </c>
      <c r="C349" s="57">
        <v>45924</v>
      </c>
      <c r="D349" s="57">
        <v>45924</v>
      </c>
      <c r="F349" s="11">
        <v>865.96</v>
      </c>
      <c r="G349" t="s">
        <v>4002</v>
      </c>
      <c r="H349" t="s">
        <v>3314</v>
      </c>
      <c r="I349" s="11">
        <v>156.16</v>
      </c>
      <c r="J349" s="57">
        <v>45984</v>
      </c>
    </row>
    <row r="350" spans="1:10" hidden="1">
      <c r="A350" t="s">
        <v>1102</v>
      </c>
      <c r="B350" t="s">
        <v>1112</v>
      </c>
      <c r="C350" s="57">
        <v>45747</v>
      </c>
      <c r="D350" s="57">
        <v>45747</v>
      </c>
      <c r="F350" s="11">
        <v>3010.07</v>
      </c>
      <c r="G350" t="s">
        <v>4003</v>
      </c>
      <c r="H350" t="s">
        <v>3314</v>
      </c>
      <c r="I350" s="11">
        <v>542.79999999999995</v>
      </c>
      <c r="J350" s="57">
        <v>45807</v>
      </c>
    </row>
    <row r="351" spans="1:10" hidden="1">
      <c r="A351" t="s">
        <v>1102</v>
      </c>
      <c r="B351" t="s">
        <v>1108</v>
      </c>
      <c r="C351" s="57">
        <v>45716</v>
      </c>
      <c r="D351" s="57">
        <v>45716</v>
      </c>
      <c r="F351" s="11">
        <v>1837.86</v>
      </c>
      <c r="G351" t="s">
        <v>4004</v>
      </c>
      <c r="H351" t="s">
        <v>3314</v>
      </c>
      <c r="I351" s="11">
        <v>331.42</v>
      </c>
      <c r="J351" s="57">
        <v>45776</v>
      </c>
    </row>
    <row r="352" spans="1:10" hidden="1">
      <c r="A352" t="s">
        <v>1102</v>
      </c>
      <c r="B352" t="s">
        <v>1103</v>
      </c>
      <c r="C352" s="57">
        <v>45688</v>
      </c>
      <c r="D352" s="57">
        <v>45688</v>
      </c>
      <c r="F352" s="11">
        <v>7210.99</v>
      </c>
      <c r="G352" t="s">
        <v>4005</v>
      </c>
      <c r="H352" t="s">
        <v>3314</v>
      </c>
      <c r="I352" s="11">
        <v>1300.3399999999999</v>
      </c>
      <c r="J352" s="57">
        <v>45748</v>
      </c>
    </row>
    <row r="353" spans="1:10" hidden="1">
      <c r="A353" t="s">
        <v>1120</v>
      </c>
      <c r="B353" t="s">
        <v>3329</v>
      </c>
      <c r="C353" s="57">
        <v>46014</v>
      </c>
      <c r="F353" s="11">
        <v>10027.799999999999</v>
      </c>
      <c r="G353" t="s">
        <v>3330</v>
      </c>
      <c r="H353" t="s">
        <v>3314</v>
      </c>
      <c r="I353" s="11">
        <v>1808.29</v>
      </c>
    </row>
    <row r="354" spans="1:10" hidden="1">
      <c r="A354" t="s">
        <v>1120</v>
      </c>
      <c r="B354" t="s">
        <v>1130</v>
      </c>
      <c r="C354" s="57">
        <v>45859</v>
      </c>
      <c r="D354" s="57">
        <v>45930</v>
      </c>
      <c r="F354" s="11">
        <v>2409.5500000000002</v>
      </c>
      <c r="G354" t="s">
        <v>4006</v>
      </c>
      <c r="H354" t="s">
        <v>3314</v>
      </c>
      <c r="I354" s="11">
        <v>434.51</v>
      </c>
      <c r="J354" s="57">
        <v>45930</v>
      </c>
    </row>
    <row r="355" spans="1:10" hidden="1">
      <c r="A355" t="s">
        <v>1120</v>
      </c>
      <c r="B355" t="s">
        <v>1127</v>
      </c>
      <c r="C355" s="57">
        <v>45747</v>
      </c>
      <c r="D355" s="57">
        <v>45808</v>
      </c>
      <c r="F355" s="11">
        <v>2300.9</v>
      </c>
      <c r="G355" t="s">
        <v>4007</v>
      </c>
      <c r="H355" t="s">
        <v>3314</v>
      </c>
      <c r="I355" s="11">
        <v>414.92</v>
      </c>
      <c r="J355" s="57">
        <v>45808</v>
      </c>
    </row>
    <row r="356" spans="1:10" hidden="1">
      <c r="A356" t="s">
        <v>1120</v>
      </c>
      <c r="B356" t="s">
        <v>1124</v>
      </c>
      <c r="C356" s="57">
        <v>45716</v>
      </c>
      <c r="D356" s="57">
        <v>45777</v>
      </c>
      <c r="F356" s="11">
        <v>563.63</v>
      </c>
      <c r="G356" t="s">
        <v>4008</v>
      </c>
      <c r="H356" t="s">
        <v>3314</v>
      </c>
      <c r="I356" s="11">
        <v>101.64</v>
      </c>
      <c r="J356" s="57">
        <v>45777</v>
      </c>
    </row>
    <row r="357" spans="1:10" hidden="1">
      <c r="A357" t="s">
        <v>3699</v>
      </c>
      <c r="B357" t="s">
        <v>1134</v>
      </c>
      <c r="C357" s="57">
        <v>45965</v>
      </c>
      <c r="F357" s="11">
        <v>110</v>
      </c>
      <c r="G357" t="s">
        <v>3700</v>
      </c>
      <c r="H357" t="s">
        <v>751</v>
      </c>
      <c r="I357" s="11">
        <v>8.65</v>
      </c>
    </row>
    <row r="358" spans="1:10" hidden="1">
      <c r="A358" t="s">
        <v>3701</v>
      </c>
      <c r="B358" t="s">
        <v>1139</v>
      </c>
      <c r="C358" s="57">
        <v>45988</v>
      </c>
      <c r="D358" s="57">
        <v>45988</v>
      </c>
      <c r="F358" s="11">
        <v>59</v>
      </c>
      <c r="G358" t="s">
        <v>3703</v>
      </c>
      <c r="H358" t="s">
        <v>350</v>
      </c>
      <c r="I358" s="11">
        <v>5.36</v>
      </c>
      <c r="J358" s="57">
        <v>46048</v>
      </c>
    </row>
    <row r="359" spans="1:10" hidden="1">
      <c r="A359" t="s">
        <v>3701</v>
      </c>
      <c r="B359" t="s">
        <v>1137</v>
      </c>
      <c r="C359" s="57">
        <v>45815</v>
      </c>
      <c r="D359" s="57">
        <v>45815</v>
      </c>
      <c r="F359" s="11">
        <v>48.5</v>
      </c>
      <c r="G359" t="s">
        <v>3702</v>
      </c>
      <c r="H359" t="s">
        <v>350</v>
      </c>
      <c r="I359" s="11">
        <v>4.41</v>
      </c>
      <c r="J359" s="57">
        <v>45875</v>
      </c>
    </row>
    <row r="360" spans="1:10" hidden="1">
      <c r="A360" t="s">
        <v>3704</v>
      </c>
      <c r="B360" t="s">
        <v>1143</v>
      </c>
      <c r="C360" s="57">
        <v>45952</v>
      </c>
      <c r="D360" s="57">
        <v>45952</v>
      </c>
      <c r="F360" s="11">
        <v>2500</v>
      </c>
      <c r="G360" t="s">
        <v>3705</v>
      </c>
      <c r="H360" t="s">
        <v>3314</v>
      </c>
      <c r="I360" s="11">
        <v>526.24</v>
      </c>
      <c r="J360" s="57">
        <v>46012</v>
      </c>
    </row>
    <row r="361" spans="1:10" hidden="1">
      <c r="A361" t="s">
        <v>1145</v>
      </c>
      <c r="B361" t="s">
        <v>1146</v>
      </c>
      <c r="C361" s="57">
        <v>45930</v>
      </c>
      <c r="D361" s="57">
        <v>45991</v>
      </c>
      <c r="F361" s="11">
        <v>187.31</v>
      </c>
      <c r="G361" t="s">
        <v>4009</v>
      </c>
      <c r="H361" t="s">
        <v>125</v>
      </c>
      <c r="I361" s="11">
        <v>33.78</v>
      </c>
      <c r="J361" s="57">
        <v>45991</v>
      </c>
    </row>
    <row r="362" spans="1:10" hidden="1">
      <c r="A362" t="s">
        <v>1149</v>
      </c>
      <c r="B362" t="s">
        <v>719</v>
      </c>
      <c r="C362" s="57">
        <v>45705</v>
      </c>
      <c r="D362" s="57">
        <v>45705</v>
      </c>
      <c r="F362" s="11">
        <v>1734</v>
      </c>
      <c r="G362" t="s">
        <v>4010</v>
      </c>
      <c r="H362" t="s">
        <v>3314</v>
      </c>
      <c r="I362" s="11">
        <v>0</v>
      </c>
      <c r="J362" s="57">
        <v>45765</v>
      </c>
    </row>
    <row r="363" spans="1:10" hidden="1">
      <c r="A363" t="s">
        <v>1149</v>
      </c>
      <c r="B363" t="s">
        <v>338</v>
      </c>
      <c r="C363" s="57">
        <v>45670</v>
      </c>
      <c r="D363" s="57">
        <v>45670</v>
      </c>
      <c r="F363" s="11">
        <v>3770.8</v>
      </c>
      <c r="G363" t="s">
        <v>4011</v>
      </c>
      <c r="H363" t="s">
        <v>3314</v>
      </c>
      <c r="I363" s="11">
        <v>0</v>
      </c>
      <c r="J363" s="57">
        <v>45730</v>
      </c>
    </row>
    <row r="364" spans="1:10" hidden="1">
      <c r="A364" t="s">
        <v>1152</v>
      </c>
      <c r="B364" t="s">
        <v>1153</v>
      </c>
      <c r="C364" s="57">
        <v>45841</v>
      </c>
      <c r="D364" s="57">
        <v>45841</v>
      </c>
      <c r="F364" s="11">
        <v>204.48</v>
      </c>
      <c r="G364" t="s">
        <v>4012</v>
      </c>
      <c r="H364" t="s">
        <v>751</v>
      </c>
      <c r="I364" s="11">
        <v>18.59</v>
      </c>
      <c r="J364" s="57">
        <v>45901</v>
      </c>
    </row>
    <row r="365" spans="1:10" hidden="1">
      <c r="A365" t="s">
        <v>3706</v>
      </c>
      <c r="B365" t="s">
        <v>3709</v>
      </c>
      <c r="C365" s="57">
        <v>45847</v>
      </c>
      <c r="D365" s="57">
        <v>45847</v>
      </c>
      <c r="F365" s="11">
        <v>304.98</v>
      </c>
      <c r="G365" t="s">
        <v>3710</v>
      </c>
      <c r="H365" t="s">
        <v>350</v>
      </c>
      <c r="I365" s="11">
        <v>55</v>
      </c>
      <c r="J365" s="57">
        <v>45907</v>
      </c>
    </row>
    <row r="366" spans="1:10" hidden="1">
      <c r="A366" t="s">
        <v>3706</v>
      </c>
      <c r="B366" t="s">
        <v>3707</v>
      </c>
      <c r="C366" s="57">
        <v>45847</v>
      </c>
      <c r="D366" s="57">
        <v>45847</v>
      </c>
      <c r="F366" s="11">
        <v>39.99</v>
      </c>
      <c r="G366" t="s">
        <v>3708</v>
      </c>
      <c r="H366" t="s">
        <v>350</v>
      </c>
      <c r="I366" s="11">
        <v>7.21</v>
      </c>
      <c r="J366" s="57">
        <v>45907</v>
      </c>
    </row>
    <row r="367" spans="1:10" hidden="1">
      <c r="A367" t="s">
        <v>1161</v>
      </c>
      <c r="B367" t="s">
        <v>3711</v>
      </c>
      <c r="C367" s="57">
        <v>45789</v>
      </c>
      <c r="F367" s="11">
        <v>26</v>
      </c>
      <c r="G367" t="s">
        <v>3340</v>
      </c>
      <c r="I367" s="11">
        <v>2.36</v>
      </c>
    </row>
    <row r="368" spans="1:10" hidden="1">
      <c r="A368" t="s">
        <v>1161</v>
      </c>
      <c r="B368" t="s">
        <v>3712</v>
      </c>
      <c r="C368" s="57">
        <v>45761</v>
      </c>
      <c r="F368" s="11">
        <v>52</v>
      </c>
      <c r="G368" t="s">
        <v>3340</v>
      </c>
      <c r="I368" s="11">
        <v>4.7300000000000004</v>
      </c>
    </row>
    <row r="369" spans="1:10" hidden="1">
      <c r="A369" t="s">
        <v>1166</v>
      </c>
      <c r="B369" t="s">
        <v>1174</v>
      </c>
      <c r="C369" s="57">
        <v>45762</v>
      </c>
      <c r="D369" s="57">
        <v>45777</v>
      </c>
      <c r="F369" s="11">
        <v>705.49</v>
      </c>
      <c r="G369" t="s">
        <v>4013</v>
      </c>
      <c r="H369" t="s">
        <v>3309</v>
      </c>
      <c r="I369" s="11">
        <v>127.22</v>
      </c>
      <c r="J369" s="57">
        <v>45777</v>
      </c>
    </row>
    <row r="370" spans="1:10" hidden="1">
      <c r="A370" t="s">
        <v>1166</v>
      </c>
      <c r="B370" t="s">
        <v>1171</v>
      </c>
      <c r="C370" s="57">
        <v>45730</v>
      </c>
      <c r="D370" s="57">
        <v>45747</v>
      </c>
      <c r="F370" s="11">
        <v>1163.22</v>
      </c>
      <c r="G370" t="s">
        <v>4013</v>
      </c>
      <c r="H370" t="s">
        <v>3309</v>
      </c>
      <c r="I370" s="11">
        <v>209.73</v>
      </c>
      <c r="J370" s="57">
        <v>45747</v>
      </c>
    </row>
    <row r="371" spans="1:10" hidden="1">
      <c r="A371" t="s">
        <v>1166</v>
      </c>
      <c r="B371" t="s">
        <v>1169</v>
      </c>
      <c r="C371" s="57">
        <v>45705</v>
      </c>
      <c r="D371" s="57">
        <v>45720</v>
      </c>
      <c r="F371" s="11">
        <v>1270</v>
      </c>
      <c r="G371" t="s">
        <v>4013</v>
      </c>
      <c r="H371" t="s">
        <v>3309</v>
      </c>
      <c r="I371" s="11">
        <v>229.05</v>
      </c>
      <c r="J371" s="57">
        <v>45720</v>
      </c>
    </row>
    <row r="372" spans="1:10" hidden="1">
      <c r="A372" t="s">
        <v>1166</v>
      </c>
      <c r="B372" t="s">
        <v>1167</v>
      </c>
      <c r="C372" s="57">
        <v>45673</v>
      </c>
      <c r="D372" s="57">
        <v>45688</v>
      </c>
      <c r="F372" s="11">
        <v>1176.4100000000001</v>
      </c>
      <c r="G372" t="s">
        <v>4013</v>
      </c>
      <c r="H372" t="s">
        <v>3309</v>
      </c>
      <c r="I372" s="11">
        <v>212.14</v>
      </c>
      <c r="J372" s="57">
        <v>45688</v>
      </c>
    </row>
    <row r="373" spans="1:10" hidden="1">
      <c r="A373" t="s">
        <v>3713</v>
      </c>
      <c r="B373" t="s">
        <v>1181</v>
      </c>
      <c r="C373" s="57">
        <v>45860</v>
      </c>
      <c r="F373" s="11">
        <v>16.64</v>
      </c>
      <c r="G373" t="s">
        <v>3714</v>
      </c>
      <c r="I373" s="11">
        <v>3</v>
      </c>
    </row>
    <row r="374" spans="1:10" hidden="1">
      <c r="A374" t="s">
        <v>3713</v>
      </c>
      <c r="B374" t="s">
        <v>1179</v>
      </c>
      <c r="C374" s="57">
        <v>45822</v>
      </c>
      <c r="F374" s="11">
        <v>233.5</v>
      </c>
      <c r="G374" t="s">
        <v>3715</v>
      </c>
      <c r="I374" s="11">
        <v>25.3</v>
      </c>
    </row>
    <row r="375" spans="1:10" hidden="1">
      <c r="A375" t="s">
        <v>3713</v>
      </c>
      <c r="B375" t="s">
        <v>1177</v>
      </c>
      <c r="C375" s="57">
        <v>45724</v>
      </c>
      <c r="F375" s="11">
        <v>182.27</v>
      </c>
      <c r="G375" t="s">
        <v>3716</v>
      </c>
      <c r="I375" s="11">
        <v>32.58</v>
      </c>
    </row>
    <row r="376" spans="1:10" hidden="1">
      <c r="A376" t="s">
        <v>1186</v>
      </c>
      <c r="B376" t="s">
        <v>3331</v>
      </c>
      <c r="C376" s="57">
        <v>46020</v>
      </c>
      <c r="D376" s="57">
        <v>46053</v>
      </c>
      <c r="F376" s="11">
        <v>101.2</v>
      </c>
      <c r="G376" t="s">
        <v>3332</v>
      </c>
      <c r="H376" t="s">
        <v>3314</v>
      </c>
      <c r="I376" s="11">
        <v>0</v>
      </c>
      <c r="J376" s="57">
        <v>46053</v>
      </c>
    </row>
    <row r="377" spans="1:10" hidden="1">
      <c r="A377" t="s">
        <v>1186</v>
      </c>
      <c r="B377" t="s">
        <v>1199</v>
      </c>
      <c r="C377" s="57">
        <v>46002</v>
      </c>
      <c r="D377" s="57">
        <v>46053</v>
      </c>
      <c r="F377" s="11">
        <v>448.4</v>
      </c>
      <c r="G377" t="s">
        <v>4014</v>
      </c>
      <c r="H377" t="s">
        <v>3314</v>
      </c>
      <c r="I377" s="11">
        <v>0</v>
      </c>
      <c r="J377" s="57">
        <v>46053</v>
      </c>
    </row>
    <row r="378" spans="1:10" hidden="1">
      <c r="A378" t="s">
        <v>1186</v>
      </c>
      <c r="B378" t="s">
        <v>1195</v>
      </c>
      <c r="C378" s="57">
        <v>45792</v>
      </c>
      <c r="D378" s="57">
        <v>45838</v>
      </c>
      <c r="E378" t="s">
        <v>4191</v>
      </c>
      <c r="F378" s="11">
        <v>165.2</v>
      </c>
      <c r="G378" t="s">
        <v>4015</v>
      </c>
      <c r="H378" t="s">
        <v>3314</v>
      </c>
      <c r="I378" s="11">
        <v>0</v>
      </c>
      <c r="J378" s="57">
        <v>45838</v>
      </c>
    </row>
    <row r="379" spans="1:10" hidden="1">
      <c r="A379" t="s">
        <v>1201</v>
      </c>
      <c r="B379" t="s">
        <v>1202</v>
      </c>
      <c r="C379" s="57">
        <v>45725</v>
      </c>
      <c r="F379" s="11">
        <v>203.7</v>
      </c>
      <c r="G379" t="s">
        <v>4016</v>
      </c>
      <c r="H379" t="s">
        <v>751</v>
      </c>
      <c r="I379" s="11">
        <v>18.52</v>
      </c>
    </row>
    <row r="380" spans="1:10" hidden="1">
      <c r="A380" t="s">
        <v>1204</v>
      </c>
      <c r="B380" t="s">
        <v>3717</v>
      </c>
      <c r="C380" s="57">
        <v>45991</v>
      </c>
      <c r="D380" s="57">
        <v>46022</v>
      </c>
      <c r="F380" s="11">
        <v>227.51</v>
      </c>
      <c r="G380" t="s">
        <v>3718</v>
      </c>
      <c r="H380" t="s">
        <v>125</v>
      </c>
      <c r="I380" s="11">
        <v>41.03</v>
      </c>
      <c r="J380" s="57">
        <v>46022</v>
      </c>
    </row>
    <row r="381" spans="1:10" hidden="1">
      <c r="A381" t="s">
        <v>1204</v>
      </c>
      <c r="B381" t="s">
        <v>1210</v>
      </c>
      <c r="C381" s="57">
        <v>45838</v>
      </c>
      <c r="D381" s="57">
        <v>45869</v>
      </c>
      <c r="F381" s="11">
        <v>139.68</v>
      </c>
      <c r="G381" t="s">
        <v>4017</v>
      </c>
      <c r="H381" t="s">
        <v>125</v>
      </c>
      <c r="I381" s="11">
        <v>25.19</v>
      </c>
      <c r="J381" s="57">
        <v>45869</v>
      </c>
    </row>
    <row r="382" spans="1:10" hidden="1">
      <c r="A382" t="s">
        <v>1204</v>
      </c>
      <c r="B382" t="s">
        <v>1208</v>
      </c>
      <c r="C382" s="57">
        <v>45716</v>
      </c>
      <c r="D382" s="57">
        <v>45747</v>
      </c>
      <c r="F382" s="11">
        <v>98.26</v>
      </c>
      <c r="G382" t="s">
        <v>4018</v>
      </c>
      <c r="H382" t="s">
        <v>125</v>
      </c>
      <c r="I382" s="11">
        <v>17.72</v>
      </c>
      <c r="J382" s="57">
        <v>45747</v>
      </c>
    </row>
    <row r="383" spans="1:10" hidden="1">
      <c r="A383" t="s">
        <v>1204</v>
      </c>
      <c r="B383" t="s">
        <v>1205</v>
      </c>
      <c r="C383" s="57">
        <v>45687</v>
      </c>
      <c r="D383" s="57">
        <v>45716</v>
      </c>
      <c r="F383" s="11">
        <v>419.99</v>
      </c>
      <c r="G383" t="s">
        <v>4019</v>
      </c>
      <c r="H383" t="s">
        <v>125</v>
      </c>
      <c r="I383" s="11">
        <v>75.739999999999995</v>
      </c>
      <c r="J383" s="57">
        <v>45716</v>
      </c>
    </row>
    <row r="384" spans="1:10" hidden="1">
      <c r="A384" t="s">
        <v>1204</v>
      </c>
      <c r="B384" t="s">
        <v>4324</v>
      </c>
      <c r="C384" s="57">
        <v>46081</v>
      </c>
      <c r="D384" s="57">
        <v>46112</v>
      </c>
      <c r="F384" s="11">
        <v>153.54</v>
      </c>
      <c r="G384" t="s">
        <v>4325</v>
      </c>
      <c r="H384" t="s">
        <v>125</v>
      </c>
      <c r="I384" s="11">
        <v>27.69</v>
      </c>
      <c r="J384" s="57">
        <v>46112</v>
      </c>
    </row>
    <row r="385" spans="1:10" hidden="1">
      <c r="A385" t="s">
        <v>1214</v>
      </c>
      <c r="B385" t="s">
        <v>1217</v>
      </c>
      <c r="C385" s="57">
        <v>45933</v>
      </c>
      <c r="F385" s="11">
        <v>149.6</v>
      </c>
      <c r="G385" t="s">
        <v>4020</v>
      </c>
      <c r="H385" t="s">
        <v>751</v>
      </c>
      <c r="I385" s="11">
        <v>13.6</v>
      </c>
    </row>
    <row r="386" spans="1:10" hidden="1">
      <c r="A386" t="s">
        <v>1214</v>
      </c>
      <c r="B386" t="s">
        <v>1215</v>
      </c>
      <c r="C386" s="57">
        <v>45736</v>
      </c>
      <c r="F386" s="11">
        <v>222.4</v>
      </c>
      <c r="G386" t="s">
        <v>4021</v>
      </c>
      <c r="H386" t="s">
        <v>751</v>
      </c>
      <c r="I386" s="11">
        <v>20.22</v>
      </c>
    </row>
    <row r="387" spans="1:10" hidden="1">
      <c r="A387" t="s">
        <v>3719</v>
      </c>
      <c r="B387" t="s">
        <v>1223</v>
      </c>
      <c r="C387" s="57">
        <v>45938</v>
      </c>
      <c r="D387" s="57">
        <v>45938</v>
      </c>
      <c r="F387" s="11">
        <v>239</v>
      </c>
      <c r="G387" t="s">
        <v>3720</v>
      </c>
      <c r="H387" t="s">
        <v>751</v>
      </c>
      <c r="I387" s="11">
        <v>43.1</v>
      </c>
      <c r="J387" s="57">
        <v>45998</v>
      </c>
    </row>
    <row r="388" spans="1:10" hidden="1">
      <c r="A388" t="s">
        <v>3719</v>
      </c>
      <c r="B388" t="s">
        <v>1220</v>
      </c>
      <c r="C388" s="57">
        <v>45730</v>
      </c>
      <c r="D388" s="57">
        <v>45730</v>
      </c>
      <c r="F388" s="11">
        <v>89</v>
      </c>
      <c r="G388" t="s">
        <v>3721</v>
      </c>
      <c r="H388" t="s">
        <v>751</v>
      </c>
      <c r="I388" s="11">
        <v>16.05</v>
      </c>
      <c r="J388" s="57">
        <v>45790</v>
      </c>
    </row>
    <row r="389" spans="1:10" hidden="1">
      <c r="A389" t="s">
        <v>1226</v>
      </c>
      <c r="B389" t="s">
        <v>335</v>
      </c>
      <c r="C389" s="57">
        <v>46062</v>
      </c>
      <c r="D389" s="57">
        <v>46062</v>
      </c>
      <c r="F389" s="11">
        <v>900</v>
      </c>
      <c r="G389" t="s">
        <v>4224</v>
      </c>
      <c r="H389" t="s">
        <v>3314</v>
      </c>
      <c r="I389" s="11">
        <v>0</v>
      </c>
      <c r="J389" s="57">
        <v>46122</v>
      </c>
    </row>
    <row r="390" spans="1:10" hidden="1">
      <c r="A390" t="s">
        <v>1232</v>
      </c>
      <c r="B390" t="s">
        <v>3722</v>
      </c>
      <c r="C390" s="57">
        <v>45930</v>
      </c>
      <c r="D390" s="57">
        <v>45961</v>
      </c>
      <c r="F390" s="11">
        <v>1067.5</v>
      </c>
      <c r="G390" t="s">
        <v>3723</v>
      </c>
      <c r="H390" t="s">
        <v>3314</v>
      </c>
      <c r="I390" s="11">
        <v>192.5</v>
      </c>
      <c r="J390" s="57">
        <v>45961</v>
      </c>
    </row>
    <row r="391" spans="1:10" hidden="1">
      <c r="A391" t="s">
        <v>3356</v>
      </c>
      <c r="B391" t="s">
        <v>3333</v>
      </c>
      <c r="C391" s="57">
        <v>46014</v>
      </c>
      <c r="D391" s="57">
        <v>46014</v>
      </c>
      <c r="F391" s="11">
        <v>668.56</v>
      </c>
      <c r="G391" t="s">
        <v>3334</v>
      </c>
      <c r="H391" t="s">
        <v>751</v>
      </c>
      <c r="I391" s="11">
        <v>120.56</v>
      </c>
      <c r="J391" s="57">
        <v>46074</v>
      </c>
    </row>
    <row r="392" spans="1:10" hidden="1">
      <c r="A392" t="s">
        <v>1235</v>
      </c>
      <c r="B392" t="s">
        <v>1277</v>
      </c>
      <c r="C392" s="57">
        <v>46001</v>
      </c>
      <c r="D392" s="57">
        <v>46021</v>
      </c>
      <c r="F392" s="11">
        <v>60.99</v>
      </c>
      <c r="G392" t="s">
        <v>4022</v>
      </c>
      <c r="H392" t="s">
        <v>3309</v>
      </c>
      <c r="I392" s="11">
        <v>11</v>
      </c>
      <c r="J392" s="57">
        <v>46021</v>
      </c>
    </row>
    <row r="393" spans="1:10" hidden="1">
      <c r="A393" t="s">
        <v>1235</v>
      </c>
      <c r="B393" t="s">
        <v>1279</v>
      </c>
      <c r="C393" s="57">
        <v>46001</v>
      </c>
      <c r="D393" s="57">
        <v>46021</v>
      </c>
      <c r="F393" s="11">
        <v>754.95</v>
      </c>
      <c r="G393" t="s">
        <v>4022</v>
      </c>
      <c r="H393" t="s">
        <v>3309</v>
      </c>
      <c r="I393" s="11">
        <v>136.13999999999999</v>
      </c>
      <c r="J393" s="57">
        <v>46021</v>
      </c>
    </row>
    <row r="394" spans="1:10" hidden="1">
      <c r="A394" t="s">
        <v>1235</v>
      </c>
      <c r="B394" t="s">
        <v>1272</v>
      </c>
      <c r="C394" s="57">
        <v>45968</v>
      </c>
      <c r="D394" s="57">
        <v>45989</v>
      </c>
      <c r="F394" s="11">
        <v>62.11</v>
      </c>
      <c r="G394" t="s">
        <v>4022</v>
      </c>
      <c r="H394" t="s">
        <v>3309</v>
      </c>
      <c r="I394" s="11">
        <v>11.2</v>
      </c>
      <c r="J394" s="57">
        <v>45989</v>
      </c>
    </row>
    <row r="395" spans="1:10" hidden="1">
      <c r="A395" t="s">
        <v>1235</v>
      </c>
      <c r="B395" t="s">
        <v>1274</v>
      </c>
      <c r="C395" s="57">
        <v>45968</v>
      </c>
      <c r="D395" s="57">
        <v>45989</v>
      </c>
      <c r="F395" s="11">
        <v>315.44</v>
      </c>
      <c r="G395" t="s">
        <v>4022</v>
      </c>
      <c r="H395" t="s">
        <v>3309</v>
      </c>
      <c r="I395" s="11">
        <v>56.88</v>
      </c>
      <c r="J395" s="57">
        <v>45989</v>
      </c>
    </row>
    <row r="396" spans="1:10" hidden="1">
      <c r="A396" t="s">
        <v>1235</v>
      </c>
      <c r="B396" t="s">
        <v>1270</v>
      </c>
      <c r="C396" s="57">
        <v>45938</v>
      </c>
      <c r="D396" s="57">
        <v>45958</v>
      </c>
      <c r="F396" s="11">
        <v>61.22</v>
      </c>
      <c r="G396" t="s">
        <v>4022</v>
      </c>
      <c r="H396" t="s">
        <v>3309</v>
      </c>
      <c r="I396" s="11">
        <v>11.04</v>
      </c>
      <c r="J396" s="57">
        <v>45958</v>
      </c>
    </row>
    <row r="397" spans="1:10" hidden="1">
      <c r="A397" t="s">
        <v>1235</v>
      </c>
      <c r="B397" t="s">
        <v>1268</v>
      </c>
      <c r="C397" s="57">
        <v>45938</v>
      </c>
      <c r="D397" s="57">
        <v>45958</v>
      </c>
      <c r="F397" s="11">
        <v>149.27000000000001</v>
      </c>
      <c r="G397" t="s">
        <v>4023</v>
      </c>
      <c r="H397" t="s">
        <v>3309</v>
      </c>
      <c r="I397" s="11">
        <v>26.92</v>
      </c>
      <c r="J397" s="57">
        <v>45958</v>
      </c>
    </row>
    <row r="398" spans="1:10" hidden="1">
      <c r="A398" t="s">
        <v>1235</v>
      </c>
      <c r="B398" t="s">
        <v>1266</v>
      </c>
      <c r="C398" s="57">
        <v>45909</v>
      </c>
      <c r="D398" s="57">
        <v>45929</v>
      </c>
      <c r="F398" s="11">
        <v>67.14</v>
      </c>
      <c r="G398" t="s">
        <v>4022</v>
      </c>
      <c r="H398" t="s">
        <v>3309</v>
      </c>
      <c r="I398" s="11">
        <v>12.11</v>
      </c>
      <c r="J398" s="57">
        <v>45929</v>
      </c>
    </row>
    <row r="399" spans="1:10" hidden="1">
      <c r="A399" t="s">
        <v>1235</v>
      </c>
      <c r="B399" t="s">
        <v>1264</v>
      </c>
      <c r="C399" s="57">
        <v>45909</v>
      </c>
      <c r="D399" s="57">
        <v>45929</v>
      </c>
      <c r="F399" s="11">
        <v>153.02000000000001</v>
      </c>
      <c r="G399" t="s">
        <v>4022</v>
      </c>
      <c r="H399" t="s">
        <v>3309</v>
      </c>
      <c r="I399" s="11">
        <v>27.59</v>
      </c>
      <c r="J399" s="57">
        <v>45929</v>
      </c>
    </row>
    <row r="400" spans="1:10" hidden="1">
      <c r="A400" t="s">
        <v>1235</v>
      </c>
      <c r="B400" t="s">
        <v>1262</v>
      </c>
      <c r="C400" s="57">
        <v>45876</v>
      </c>
      <c r="D400" s="57">
        <v>45896</v>
      </c>
      <c r="F400" s="11">
        <v>62.13</v>
      </c>
      <c r="G400" t="s">
        <v>4022</v>
      </c>
      <c r="H400" t="s">
        <v>3309</v>
      </c>
      <c r="I400" s="11">
        <v>11.2</v>
      </c>
      <c r="J400" s="57">
        <v>45896</v>
      </c>
    </row>
    <row r="401" spans="1:10" hidden="1">
      <c r="A401" t="s">
        <v>1235</v>
      </c>
      <c r="B401" t="s">
        <v>1260</v>
      </c>
      <c r="C401" s="57">
        <v>45876</v>
      </c>
      <c r="D401" s="57">
        <v>45896</v>
      </c>
      <c r="F401" s="11">
        <v>204.87</v>
      </c>
      <c r="G401" t="s">
        <v>4022</v>
      </c>
      <c r="H401" t="s">
        <v>3309</v>
      </c>
      <c r="I401" s="11">
        <v>36.94</v>
      </c>
      <c r="J401" s="57">
        <v>45896</v>
      </c>
    </row>
    <row r="402" spans="1:10" hidden="1">
      <c r="A402" t="s">
        <v>1235</v>
      </c>
      <c r="B402" t="s">
        <v>1258</v>
      </c>
      <c r="C402" s="57">
        <v>45848</v>
      </c>
      <c r="D402" s="57">
        <v>45868</v>
      </c>
      <c r="F402" s="11">
        <v>61.67</v>
      </c>
      <c r="G402" t="s">
        <v>4022</v>
      </c>
      <c r="H402" t="s">
        <v>3309</v>
      </c>
      <c r="I402" s="11">
        <v>11.12</v>
      </c>
      <c r="J402" s="57">
        <v>45868</v>
      </c>
    </row>
    <row r="403" spans="1:10" hidden="1">
      <c r="A403" t="s">
        <v>1235</v>
      </c>
      <c r="B403" t="s">
        <v>3724</v>
      </c>
      <c r="C403" s="57">
        <v>45848</v>
      </c>
      <c r="D403" s="57">
        <v>45868</v>
      </c>
      <c r="F403" s="11">
        <v>195.83</v>
      </c>
      <c r="G403" t="s">
        <v>3725</v>
      </c>
      <c r="H403" t="s">
        <v>3309</v>
      </c>
      <c r="I403" s="11">
        <v>35.31</v>
      </c>
      <c r="J403" s="57">
        <v>45868</v>
      </c>
    </row>
    <row r="404" spans="1:10" hidden="1">
      <c r="A404" t="s">
        <v>1235</v>
      </c>
      <c r="B404" t="s">
        <v>1254</v>
      </c>
      <c r="C404" s="57">
        <v>45817</v>
      </c>
      <c r="D404" s="57">
        <v>45838</v>
      </c>
      <c r="F404" s="11">
        <v>60.74</v>
      </c>
      <c r="G404" t="s">
        <v>4024</v>
      </c>
      <c r="H404" t="s">
        <v>3309</v>
      </c>
      <c r="I404" s="11">
        <v>10.95</v>
      </c>
      <c r="J404" s="57">
        <v>45838</v>
      </c>
    </row>
    <row r="405" spans="1:10" hidden="1">
      <c r="A405" t="s">
        <v>1235</v>
      </c>
      <c r="B405" t="s">
        <v>1252</v>
      </c>
      <c r="C405" s="57">
        <v>45817</v>
      </c>
      <c r="D405" s="57">
        <v>45838</v>
      </c>
      <c r="F405" s="11">
        <v>141.63999999999999</v>
      </c>
      <c r="G405" t="s">
        <v>4024</v>
      </c>
      <c r="H405" t="s">
        <v>3309</v>
      </c>
      <c r="I405" s="11">
        <v>25.54</v>
      </c>
      <c r="J405" s="57">
        <v>45838</v>
      </c>
    </row>
    <row r="406" spans="1:10" hidden="1">
      <c r="A406" t="s">
        <v>1235</v>
      </c>
      <c r="B406" t="s">
        <v>1248</v>
      </c>
      <c r="C406" s="57">
        <v>45789</v>
      </c>
      <c r="D406" s="57">
        <v>45811</v>
      </c>
      <c r="F406" s="11">
        <v>60.46</v>
      </c>
      <c r="G406" t="s">
        <v>4024</v>
      </c>
      <c r="H406" t="s">
        <v>3309</v>
      </c>
      <c r="I406" s="11">
        <v>10.9</v>
      </c>
      <c r="J406" s="57">
        <v>45811</v>
      </c>
    </row>
    <row r="407" spans="1:10" hidden="1">
      <c r="A407" t="s">
        <v>1235</v>
      </c>
      <c r="B407" t="s">
        <v>1246</v>
      </c>
      <c r="C407" s="57">
        <v>45789</v>
      </c>
      <c r="D407" s="57">
        <v>45811</v>
      </c>
      <c r="F407" s="11">
        <v>285.48</v>
      </c>
      <c r="G407" t="s">
        <v>4024</v>
      </c>
      <c r="H407" t="s">
        <v>3309</v>
      </c>
      <c r="I407" s="11">
        <v>51.48</v>
      </c>
      <c r="J407" s="57">
        <v>45811</v>
      </c>
    </row>
    <row r="408" spans="1:10" hidden="1">
      <c r="A408" t="s">
        <v>1235</v>
      </c>
      <c r="B408" t="s">
        <v>1244</v>
      </c>
      <c r="C408" s="57">
        <v>45756</v>
      </c>
      <c r="D408" s="57">
        <v>45776</v>
      </c>
      <c r="F408" s="11">
        <v>62.38</v>
      </c>
      <c r="G408" t="s">
        <v>4024</v>
      </c>
      <c r="H408" t="s">
        <v>3309</v>
      </c>
      <c r="I408" s="11">
        <v>11.25</v>
      </c>
      <c r="J408" s="57">
        <v>45776</v>
      </c>
    </row>
    <row r="409" spans="1:10" hidden="1">
      <c r="A409" t="s">
        <v>1235</v>
      </c>
      <c r="B409" t="s">
        <v>1241</v>
      </c>
      <c r="C409" s="57">
        <v>45727</v>
      </c>
      <c r="D409" s="57">
        <v>45747</v>
      </c>
      <c r="F409" s="11">
        <v>64.180000000000007</v>
      </c>
      <c r="G409" t="s">
        <v>4024</v>
      </c>
      <c r="H409" t="s">
        <v>3309</v>
      </c>
      <c r="I409" s="11">
        <v>11.57</v>
      </c>
      <c r="J409" s="57">
        <v>45747</v>
      </c>
    </row>
    <row r="410" spans="1:10" hidden="1">
      <c r="A410" t="s">
        <v>1235</v>
      </c>
      <c r="B410" t="s">
        <v>1239</v>
      </c>
      <c r="C410" s="57">
        <v>45695</v>
      </c>
      <c r="D410" s="57">
        <v>45715</v>
      </c>
      <c r="F410" s="11">
        <v>127.55</v>
      </c>
      <c r="G410" t="s">
        <v>4024</v>
      </c>
      <c r="H410" t="s">
        <v>3309</v>
      </c>
      <c r="I410" s="11">
        <v>23</v>
      </c>
      <c r="J410" s="57">
        <v>45715</v>
      </c>
    </row>
    <row r="411" spans="1:10" hidden="1">
      <c r="A411" t="s">
        <v>1235</v>
      </c>
      <c r="B411" t="s">
        <v>1236</v>
      </c>
      <c r="C411" s="57">
        <v>45670</v>
      </c>
      <c r="D411" s="57">
        <v>45691</v>
      </c>
      <c r="F411" s="11">
        <v>123.33</v>
      </c>
      <c r="G411" t="s">
        <v>4024</v>
      </c>
      <c r="H411" t="s">
        <v>3309</v>
      </c>
      <c r="I411" s="11">
        <v>22.24</v>
      </c>
      <c r="J411" s="57">
        <v>45691</v>
      </c>
    </row>
    <row r="412" spans="1:10" hidden="1">
      <c r="A412" t="s">
        <v>1235</v>
      </c>
      <c r="B412" t="s">
        <v>4115</v>
      </c>
      <c r="C412" s="57">
        <v>46034</v>
      </c>
      <c r="D412" s="57">
        <v>46055</v>
      </c>
      <c r="F412" s="11">
        <v>67.38</v>
      </c>
      <c r="G412" t="s">
        <v>4116</v>
      </c>
      <c r="H412" t="s">
        <v>3309</v>
      </c>
      <c r="I412" s="11">
        <v>11.54</v>
      </c>
      <c r="J412" s="57">
        <v>46055</v>
      </c>
    </row>
    <row r="413" spans="1:10" hidden="1">
      <c r="A413" t="s">
        <v>1235</v>
      </c>
      <c r="B413" t="s">
        <v>4117</v>
      </c>
      <c r="C413" s="57">
        <v>46034</v>
      </c>
      <c r="D413" s="57">
        <v>46055</v>
      </c>
      <c r="E413" t="s">
        <v>4191</v>
      </c>
      <c r="F413" s="11">
        <v>887.49</v>
      </c>
      <c r="G413" t="s">
        <v>4118</v>
      </c>
      <c r="H413" t="s">
        <v>3309</v>
      </c>
      <c r="I413" s="11">
        <v>159.82</v>
      </c>
      <c r="J413" s="57">
        <v>46055</v>
      </c>
    </row>
    <row r="414" spans="1:10" hidden="1">
      <c r="A414" t="s">
        <v>1235</v>
      </c>
      <c r="B414" t="s">
        <v>4242</v>
      </c>
      <c r="C414" s="57">
        <v>46063</v>
      </c>
      <c r="D414" s="57">
        <v>46083</v>
      </c>
      <c r="F414" s="11">
        <v>124.06</v>
      </c>
      <c r="G414" t="s">
        <v>4022</v>
      </c>
      <c r="H414" t="s">
        <v>3309</v>
      </c>
      <c r="I414" s="11">
        <v>22.37</v>
      </c>
      <c r="J414" s="57">
        <v>46083</v>
      </c>
    </row>
    <row r="415" spans="1:10" hidden="1">
      <c r="A415" t="s">
        <v>1235</v>
      </c>
      <c r="B415" t="s">
        <v>4243</v>
      </c>
      <c r="C415" s="57">
        <v>46063</v>
      </c>
      <c r="D415" s="57">
        <v>46083</v>
      </c>
      <c r="F415" s="11">
        <v>1139.02</v>
      </c>
      <c r="G415" t="s">
        <v>4022</v>
      </c>
      <c r="H415" t="s">
        <v>3309</v>
      </c>
      <c r="I415" s="11">
        <v>205.4</v>
      </c>
      <c r="J415" s="57">
        <v>46083</v>
      </c>
    </row>
    <row r="416" spans="1:10" hidden="1">
      <c r="A416" t="s">
        <v>1281</v>
      </c>
      <c r="B416" t="s">
        <v>495</v>
      </c>
      <c r="C416" s="57">
        <v>45702</v>
      </c>
      <c r="F416" s="11">
        <v>106.32</v>
      </c>
      <c r="G416" t="s">
        <v>4025</v>
      </c>
      <c r="I416" s="11">
        <v>19.170000000000002</v>
      </c>
    </row>
    <row r="417" spans="1:10" hidden="1">
      <c r="A417" t="s">
        <v>1283</v>
      </c>
      <c r="B417" t="s">
        <v>1285</v>
      </c>
      <c r="C417" s="57">
        <v>45826</v>
      </c>
      <c r="F417" s="11">
        <v>17</v>
      </c>
      <c r="G417" t="s">
        <v>4026</v>
      </c>
      <c r="H417" t="s">
        <v>350</v>
      </c>
      <c r="I417" s="11">
        <v>1.55</v>
      </c>
    </row>
    <row r="418" spans="1:10" hidden="1">
      <c r="A418" t="s">
        <v>1283</v>
      </c>
      <c r="B418" t="s">
        <v>590</v>
      </c>
      <c r="C418" s="57">
        <v>45762</v>
      </c>
      <c r="F418" s="11">
        <v>9</v>
      </c>
      <c r="G418" t="s">
        <v>4027</v>
      </c>
      <c r="H418" t="s">
        <v>350</v>
      </c>
      <c r="I418" s="11">
        <v>0.82</v>
      </c>
    </row>
    <row r="419" spans="1:10" hidden="1">
      <c r="A419" t="s">
        <v>1333</v>
      </c>
      <c r="B419" t="s">
        <v>3728</v>
      </c>
      <c r="C419" s="57">
        <v>46003</v>
      </c>
      <c r="D419" s="57">
        <v>46053</v>
      </c>
      <c r="F419" s="11">
        <v>361.17</v>
      </c>
      <c r="G419" t="s">
        <v>3729</v>
      </c>
      <c r="H419" t="s">
        <v>3314</v>
      </c>
      <c r="I419" s="11">
        <v>65.13</v>
      </c>
      <c r="J419" s="57">
        <v>46053</v>
      </c>
    </row>
    <row r="420" spans="1:10" hidden="1">
      <c r="A420" t="s">
        <v>1333</v>
      </c>
      <c r="B420" t="s">
        <v>3726</v>
      </c>
      <c r="C420" s="57">
        <v>45933</v>
      </c>
      <c r="D420" s="57">
        <v>45991</v>
      </c>
      <c r="F420" s="11">
        <v>112.07</v>
      </c>
      <c r="G420" t="s">
        <v>3727</v>
      </c>
      <c r="H420" t="s">
        <v>3314</v>
      </c>
      <c r="I420" s="11">
        <v>20.21</v>
      </c>
      <c r="J420" s="57">
        <v>45991</v>
      </c>
    </row>
    <row r="421" spans="1:10" hidden="1">
      <c r="A421" t="s">
        <v>3730</v>
      </c>
      <c r="B421" t="s">
        <v>1288</v>
      </c>
      <c r="C421" s="57">
        <v>45912</v>
      </c>
      <c r="F421" s="11">
        <v>107</v>
      </c>
      <c r="G421" t="s">
        <v>3731</v>
      </c>
      <c r="H421" t="s">
        <v>350</v>
      </c>
      <c r="I421" s="11">
        <v>9.73</v>
      </c>
    </row>
    <row r="422" spans="1:10" hidden="1">
      <c r="A422" t="s">
        <v>1290</v>
      </c>
      <c r="B422" t="s">
        <v>3335</v>
      </c>
      <c r="C422" s="57">
        <v>46021</v>
      </c>
      <c r="D422" s="57">
        <v>46021</v>
      </c>
      <c r="F422" s="11">
        <v>11</v>
      </c>
      <c r="G422" t="s">
        <v>3336</v>
      </c>
      <c r="H422" t="s">
        <v>3309</v>
      </c>
      <c r="I422" s="11">
        <v>1.98</v>
      </c>
      <c r="J422" s="57">
        <v>46081</v>
      </c>
    </row>
    <row r="423" spans="1:10" hidden="1">
      <c r="A423" t="s">
        <v>1290</v>
      </c>
      <c r="B423" t="s">
        <v>3337</v>
      </c>
      <c r="C423" s="57">
        <v>46021</v>
      </c>
      <c r="D423" s="57">
        <v>46021</v>
      </c>
      <c r="F423" s="11">
        <v>5.2</v>
      </c>
      <c r="G423" t="s">
        <v>3336</v>
      </c>
      <c r="H423" t="s">
        <v>3309</v>
      </c>
      <c r="I423" s="11">
        <v>0.94</v>
      </c>
      <c r="J423" s="57">
        <v>46081</v>
      </c>
    </row>
    <row r="424" spans="1:10" hidden="1">
      <c r="A424" t="s">
        <v>1290</v>
      </c>
      <c r="B424" t="s">
        <v>3338</v>
      </c>
      <c r="C424" s="57">
        <v>46021</v>
      </c>
      <c r="D424" s="57">
        <v>46021</v>
      </c>
      <c r="F424" s="11">
        <v>6.6</v>
      </c>
      <c r="G424" t="s">
        <v>3336</v>
      </c>
      <c r="H424" t="s">
        <v>3309</v>
      </c>
      <c r="I424" s="11">
        <v>1.19</v>
      </c>
      <c r="J424" s="57">
        <v>46081</v>
      </c>
    </row>
    <row r="425" spans="1:10" hidden="1">
      <c r="A425" t="s">
        <v>1290</v>
      </c>
      <c r="B425" t="s">
        <v>3742</v>
      </c>
      <c r="C425" s="57">
        <v>45991</v>
      </c>
      <c r="D425" s="57">
        <v>45991</v>
      </c>
      <c r="F425" s="11">
        <v>25</v>
      </c>
      <c r="G425" t="s">
        <v>3336</v>
      </c>
      <c r="H425" t="s">
        <v>3309</v>
      </c>
      <c r="I425" s="11">
        <v>4.51</v>
      </c>
      <c r="J425" s="57">
        <v>46051</v>
      </c>
    </row>
    <row r="426" spans="1:10" hidden="1">
      <c r="A426" t="s">
        <v>1290</v>
      </c>
      <c r="B426" t="s">
        <v>3747</v>
      </c>
      <c r="C426" s="57">
        <v>45960</v>
      </c>
      <c r="D426" s="57">
        <v>45960</v>
      </c>
      <c r="F426" s="11">
        <v>24.2</v>
      </c>
      <c r="G426" t="s">
        <v>3336</v>
      </c>
      <c r="H426" t="s">
        <v>3309</v>
      </c>
      <c r="I426" s="11">
        <v>4.3600000000000003</v>
      </c>
      <c r="J426" s="57">
        <v>46020</v>
      </c>
    </row>
    <row r="427" spans="1:10" hidden="1">
      <c r="A427" t="s">
        <v>1290</v>
      </c>
      <c r="B427" t="s">
        <v>3746</v>
      </c>
      <c r="C427" s="57">
        <v>45930</v>
      </c>
      <c r="D427" s="57">
        <v>45930</v>
      </c>
      <c r="F427" s="11">
        <v>13.2</v>
      </c>
      <c r="G427" t="s">
        <v>3336</v>
      </c>
      <c r="H427" t="s">
        <v>3309</v>
      </c>
      <c r="I427" s="11">
        <v>2.38</v>
      </c>
      <c r="J427" s="57">
        <v>45990</v>
      </c>
    </row>
    <row r="428" spans="1:10" hidden="1">
      <c r="A428" t="s">
        <v>1290</v>
      </c>
      <c r="B428" t="s">
        <v>3745</v>
      </c>
      <c r="C428" s="57">
        <v>45930</v>
      </c>
      <c r="D428" s="57">
        <v>45930</v>
      </c>
      <c r="F428" s="11">
        <v>2.2000000000000002</v>
      </c>
      <c r="G428" t="s">
        <v>3336</v>
      </c>
      <c r="H428" t="s">
        <v>3309</v>
      </c>
      <c r="I428" s="11">
        <v>0.4</v>
      </c>
      <c r="J428" s="57">
        <v>45990</v>
      </c>
    </row>
    <row r="429" spans="1:10" hidden="1">
      <c r="A429" t="s">
        <v>1290</v>
      </c>
      <c r="B429" t="s">
        <v>3744</v>
      </c>
      <c r="C429" s="57">
        <v>45899</v>
      </c>
      <c r="D429" s="57">
        <v>45899</v>
      </c>
      <c r="F429" s="11">
        <v>30.4</v>
      </c>
      <c r="G429" t="s">
        <v>3336</v>
      </c>
      <c r="H429" t="s">
        <v>3309</v>
      </c>
      <c r="I429" s="11">
        <v>5.48</v>
      </c>
      <c r="J429" s="57">
        <v>45959</v>
      </c>
    </row>
    <row r="430" spans="1:10" hidden="1">
      <c r="A430" t="s">
        <v>1290</v>
      </c>
      <c r="B430" t="s">
        <v>3743</v>
      </c>
      <c r="C430" s="57">
        <v>45899</v>
      </c>
      <c r="D430" s="57">
        <v>45899</v>
      </c>
      <c r="F430" s="11">
        <v>6.6</v>
      </c>
      <c r="G430" t="s">
        <v>3336</v>
      </c>
      <c r="H430" t="s">
        <v>3309</v>
      </c>
      <c r="I430" s="11">
        <v>1.19</v>
      </c>
      <c r="J430" s="57">
        <v>45959</v>
      </c>
    </row>
    <row r="431" spans="1:10" hidden="1">
      <c r="A431" t="s">
        <v>1290</v>
      </c>
      <c r="B431" t="s">
        <v>3749</v>
      </c>
      <c r="C431" s="57">
        <v>45868</v>
      </c>
      <c r="D431" s="57">
        <v>45868</v>
      </c>
      <c r="F431" s="11">
        <v>18.600000000000001</v>
      </c>
      <c r="G431" t="s">
        <v>3336</v>
      </c>
      <c r="H431" t="s">
        <v>3309</v>
      </c>
      <c r="I431" s="11">
        <v>3.35</v>
      </c>
      <c r="J431" s="57">
        <v>45928</v>
      </c>
    </row>
    <row r="432" spans="1:10" hidden="1">
      <c r="A432" t="s">
        <v>1290</v>
      </c>
      <c r="B432" t="s">
        <v>3741</v>
      </c>
      <c r="C432" s="57">
        <v>45838</v>
      </c>
      <c r="D432" s="57">
        <v>45838</v>
      </c>
      <c r="F432" s="11">
        <v>37.6</v>
      </c>
      <c r="G432" t="s">
        <v>3336</v>
      </c>
      <c r="H432" t="s">
        <v>3309</v>
      </c>
      <c r="I432" s="11">
        <v>6.78</v>
      </c>
      <c r="J432" s="57">
        <v>45898</v>
      </c>
    </row>
    <row r="433" spans="1:10" hidden="1">
      <c r="A433" t="s">
        <v>1290</v>
      </c>
      <c r="B433" t="s">
        <v>3740</v>
      </c>
      <c r="C433" s="57">
        <v>45838</v>
      </c>
      <c r="D433" s="57">
        <v>45838</v>
      </c>
      <c r="F433" s="11">
        <v>2.2000000000000002</v>
      </c>
      <c r="G433" t="s">
        <v>3336</v>
      </c>
      <c r="H433" t="s">
        <v>3309</v>
      </c>
      <c r="I433" s="11">
        <v>0.4</v>
      </c>
      <c r="J433" s="57">
        <v>45898</v>
      </c>
    </row>
    <row r="434" spans="1:10" hidden="1">
      <c r="A434" t="s">
        <v>1290</v>
      </c>
      <c r="B434" t="s">
        <v>3739</v>
      </c>
      <c r="C434" s="57">
        <v>45807</v>
      </c>
      <c r="D434" s="57">
        <v>45807</v>
      </c>
      <c r="F434" s="11">
        <v>90.8</v>
      </c>
      <c r="G434" t="s">
        <v>3336</v>
      </c>
      <c r="H434" t="s">
        <v>3309</v>
      </c>
      <c r="I434" s="11">
        <v>16.37</v>
      </c>
      <c r="J434" s="57">
        <v>45867</v>
      </c>
    </row>
    <row r="435" spans="1:10" hidden="1">
      <c r="A435" t="s">
        <v>1290</v>
      </c>
      <c r="B435" t="s">
        <v>3738</v>
      </c>
      <c r="C435" s="57">
        <v>45777</v>
      </c>
      <c r="D435" s="57">
        <v>45777</v>
      </c>
      <c r="F435" s="11">
        <v>60.4</v>
      </c>
      <c r="G435" t="s">
        <v>3336</v>
      </c>
      <c r="H435" t="s">
        <v>3309</v>
      </c>
      <c r="I435" s="11">
        <v>10.89</v>
      </c>
      <c r="J435" s="57">
        <v>45837</v>
      </c>
    </row>
    <row r="436" spans="1:10" hidden="1">
      <c r="A436" t="s">
        <v>1290</v>
      </c>
      <c r="B436" t="s">
        <v>3737</v>
      </c>
      <c r="C436" s="57">
        <v>45746</v>
      </c>
      <c r="D436" s="57">
        <v>45746</v>
      </c>
      <c r="F436" s="11">
        <v>103.2</v>
      </c>
      <c r="G436" t="s">
        <v>3336</v>
      </c>
      <c r="H436" t="s">
        <v>3309</v>
      </c>
      <c r="I436" s="11">
        <v>18.61</v>
      </c>
      <c r="J436" s="57">
        <v>45806</v>
      </c>
    </row>
    <row r="437" spans="1:10" hidden="1">
      <c r="A437" t="s">
        <v>1290</v>
      </c>
      <c r="B437" t="s">
        <v>3736</v>
      </c>
      <c r="C437" s="57">
        <v>45746</v>
      </c>
      <c r="D437" s="57">
        <v>45746</v>
      </c>
      <c r="F437" s="11">
        <v>2.2000000000000002</v>
      </c>
      <c r="G437" t="s">
        <v>3336</v>
      </c>
      <c r="H437" t="s">
        <v>3309</v>
      </c>
      <c r="I437" s="11">
        <v>0.4</v>
      </c>
      <c r="J437" s="57">
        <v>45806</v>
      </c>
    </row>
    <row r="438" spans="1:10" hidden="1">
      <c r="A438" t="s">
        <v>1290</v>
      </c>
      <c r="B438" t="s">
        <v>3735</v>
      </c>
      <c r="C438" s="57">
        <v>45746</v>
      </c>
      <c r="D438" s="57">
        <v>45746</v>
      </c>
      <c r="F438" s="11">
        <v>6.6</v>
      </c>
      <c r="G438" t="s">
        <v>3336</v>
      </c>
      <c r="H438" t="s">
        <v>3309</v>
      </c>
      <c r="I438" s="11">
        <v>1.19</v>
      </c>
      <c r="J438" s="57">
        <v>45806</v>
      </c>
    </row>
    <row r="439" spans="1:10" hidden="1">
      <c r="A439" t="s">
        <v>1290</v>
      </c>
      <c r="B439" t="s">
        <v>3734</v>
      </c>
      <c r="C439" s="57">
        <v>45716</v>
      </c>
      <c r="D439" s="57">
        <v>45716</v>
      </c>
      <c r="F439" s="11">
        <v>47.6</v>
      </c>
      <c r="G439" t="s">
        <v>3336</v>
      </c>
      <c r="H439" t="s">
        <v>3309</v>
      </c>
      <c r="I439" s="11">
        <v>8.58</v>
      </c>
      <c r="J439" s="57">
        <v>45776</v>
      </c>
    </row>
    <row r="440" spans="1:10" hidden="1">
      <c r="A440" t="s">
        <v>1290</v>
      </c>
      <c r="B440" t="s">
        <v>3733</v>
      </c>
      <c r="C440" s="57">
        <v>45687</v>
      </c>
      <c r="D440" s="57">
        <v>45687</v>
      </c>
      <c r="F440" s="11">
        <v>17.600000000000001</v>
      </c>
      <c r="G440" t="s">
        <v>3336</v>
      </c>
      <c r="H440" t="s">
        <v>3309</v>
      </c>
      <c r="I440" s="11">
        <v>3.17</v>
      </c>
      <c r="J440" s="57">
        <v>45747</v>
      </c>
    </row>
    <row r="441" spans="1:10" hidden="1">
      <c r="A441" t="s">
        <v>1290</v>
      </c>
      <c r="B441" t="s">
        <v>3732</v>
      </c>
      <c r="C441" s="57">
        <v>45687</v>
      </c>
      <c r="D441" s="57">
        <v>45687</v>
      </c>
      <c r="F441" s="11">
        <v>10.5</v>
      </c>
      <c r="G441" t="s">
        <v>3336</v>
      </c>
      <c r="H441" t="s">
        <v>3309</v>
      </c>
      <c r="I441" s="11">
        <v>1.89</v>
      </c>
      <c r="J441" s="57">
        <v>45747</v>
      </c>
    </row>
    <row r="442" spans="1:10" hidden="1">
      <c r="A442" t="s">
        <v>1290</v>
      </c>
      <c r="B442" t="s">
        <v>3748</v>
      </c>
      <c r="C442" s="57">
        <v>45687</v>
      </c>
      <c r="D442" s="57">
        <v>45687</v>
      </c>
      <c r="F442" s="11">
        <v>2.2000000000000002</v>
      </c>
      <c r="G442" t="s">
        <v>3336</v>
      </c>
      <c r="H442" t="s">
        <v>3309</v>
      </c>
      <c r="I442" s="11">
        <v>0.4</v>
      </c>
      <c r="J442" s="57">
        <v>45747</v>
      </c>
    </row>
    <row r="443" spans="1:10" hidden="1">
      <c r="A443" t="s">
        <v>1290</v>
      </c>
      <c r="B443" t="s">
        <v>3750</v>
      </c>
      <c r="C443" s="57">
        <v>45687</v>
      </c>
      <c r="D443" s="57">
        <v>45687</v>
      </c>
      <c r="F443" s="11">
        <v>3.3</v>
      </c>
      <c r="G443" t="s">
        <v>3336</v>
      </c>
      <c r="H443" t="s">
        <v>3309</v>
      </c>
      <c r="I443" s="11">
        <v>0.6</v>
      </c>
      <c r="J443" s="57">
        <v>45747</v>
      </c>
    </row>
    <row r="444" spans="1:10" hidden="1">
      <c r="A444" t="s">
        <v>1290</v>
      </c>
      <c r="B444" t="s">
        <v>4176</v>
      </c>
      <c r="C444" s="57">
        <v>46052</v>
      </c>
      <c r="D444" s="57">
        <v>46052</v>
      </c>
      <c r="F444" s="11">
        <v>2.2000000000000002</v>
      </c>
      <c r="G444" t="s">
        <v>3336</v>
      </c>
      <c r="H444" t="s">
        <v>3309</v>
      </c>
      <c r="I444" s="11">
        <v>0.4</v>
      </c>
      <c r="J444" s="57">
        <v>46112</v>
      </c>
    </row>
    <row r="445" spans="1:10" hidden="1">
      <c r="A445" t="s">
        <v>1290</v>
      </c>
      <c r="B445" t="s">
        <v>4316</v>
      </c>
      <c r="C445" s="57">
        <v>46081</v>
      </c>
      <c r="D445" s="57">
        <v>46081</v>
      </c>
      <c r="F445" s="11">
        <v>18.7</v>
      </c>
      <c r="G445" t="s">
        <v>3336</v>
      </c>
      <c r="H445" t="s">
        <v>3309</v>
      </c>
      <c r="I445" s="11">
        <v>3.37</v>
      </c>
      <c r="J445" s="57">
        <v>46141</v>
      </c>
    </row>
    <row r="446" spans="1:10" hidden="1">
      <c r="A446" t="s">
        <v>1330</v>
      </c>
      <c r="B446" t="s">
        <v>3753</v>
      </c>
      <c r="C446" s="57">
        <v>45747</v>
      </c>
      <c r="D446" s="57">
        <v>45777</v>
      </c>
      <c r="F446" s="11">
        <v>57.2</v>
      </c>
      <c r="G446" t="s">
        <v>3754</v>
      </c>
      <c r="H446" t="s">
        <v>3314</v>
      </c>
      <c r="I446" s="11">
        <v>0</v>
      </c>
      <c r="J446" s="57">
        <v>45777</v>
      </c>
    </row>
    <row r="447" spans="1:10" hidden="1">
      <c r="A447" t="s">
        <v>1330</v>
      </c>
      <c r="B447" t="s">
        <v>3751</v>
      </c>
      <c r="C447" s="57">
        <v>46022</v>
      </c>
      <c r="D447" s="57">
        <v>46053</v>
      </c>
      <c r="F447" s="11">
        <v>41.6</v>
      </c>
      <c r="G447" t="s">
        <v>3752</v>
      </c>
      <c r="H447" t="s">
        <v>3314</v>
      </c>
      <c r="I447" s="11">
        <v>0</v>
      </c>
      <c r="J447" s="57">
        <v>46053</v>
      </c>
    </row>
    <row r="448" spans="1:10" hidden="1">
      <c r="A448" t="s">
        <v>1338</v>
      </c>
      <c r="B448" t="s">
        <v>1339</v>
      </c>
      <c r="C448" s="57">
        <v>45684</v>
      </c>
      <c r="D448" s="57">
        <v>45726</v>
      </c>
      <c r="F448" s="11">
        <v>53090</v>
      </c>
      <c r="G448" t="s">
        <v>4028</v>
      </c>
      <c r="H448" t="s">
        <v>125</v>
      </c>
      <c r="I448" s="11">
        <v>0</v>
      </c>
      <c r="J448" s="57">
        <v>45726</v>
      </c>
    </row>
    <row r="449" spans="1:10" hidden="1">
      <c r="A449" t="s">
        <v>1338</v>
      </c>
      <c r="B449" t="s">
        <v>1339</v>
      </c>
      <c r="C449" s="57">
        <v>45684</v>
      </c>
      <c r="D449" s="57">
        <v>45757</v>
      </c>
      <c r="F449" s="11">
        <v>53090</v>
      </c>
      <c r="G449" t="s">
        <v>4028</v>
      </c>
      <c r="H449" t="s">
        <v>125</v>
      </c>
      <c r="I449" s="11">
        <v>0</v>
      </c>
      <c r="J449" s="57">
        <v>45757</v>
      </c>
    </row>
    <row r="450" spans="1:10" hidden="1">
      <c r="A450" t="s">
        <v>3755</v>
      </c>
      <c r="B450" t="s">
        <v>3756</v>
      </c>
      <c r="C450" s="57">
        <v>45994</v>
      </c>
      <c r="F450" s="11">
        <v>520</v>
      </c>
      <c r="G450" t="s">
        <v>3340</v>
      </c>
      <c r="H450" t="s">
        <v>350</v>
      </c>
      <c r="I450" s="11">
        <v>47.27</v>
      </c>
    </row>
    <row r="451" spans="1:10" hidden="1">
      <c r="A451" t="s">
        <v>3755</v>
      </c>
      <c r="B451" t="s">
        <v>3339</v>
      </c>
      <c r="C451" s="57">
        <v>46022</v>
      </c>
      <c r="F451" s="11">
        <v>351</v>
      </c>
      <c r="G451" t="s">
        <v>3340</v>
      </c>
      <c r="H451" t="s">
        <v>350</v>
      </c>
      <c r="I451" s="11">
        <v>31.91</v>
      </c>
    </row>
    <row r="452" spans="1:10" hidden="1">
      <c r="A452" t="s">
        <v>3755</v>
      </c>
      <c r="B452" t="s">
        <v>4172</v>
      </c>
      <c r="C452" s="57">
        <v>46055</v>
      </c>
      <c r="F452" s="11">
        <v>455</v>
      </c>
      <c r="G452" t="s">
        <v>3340</v>
      </c>
      <c r="H452" t="s">
        <v>350</v>
      </c>
      <c r="I452" s="11">
        <v>41.36</v>
      </c>
    </row>
    <row r="453" spans="1:10" hidden="1">
      <c r="A453" t="s">
        <v>3757</v>
      </c>
      <c r="B453" t="s">
        <v>3758</v>
      </c>
      <c r="C453" s="57">
        <v>45972</v>
      </c>
      <c r="D453" s="57">
        <v>45972</v>
      </c>
      <c r="F453" s="11">
        <v>410</v>
      </c>
      <c r="G453" t="s">
        <v>3759</v>
      </c>
      <c r="H453" t="s">
        <v>751</v>
      </c>
      <c r="I453" s="11">
        <v>0</v>
      </c>
      <c r="J453" s="57">
        <v>46032</v>
      </c>
    </row>
    <row r="454" spans="1:10" hidden="1">
      <c r="A454" t="s">
        <v>3757</v>
      </c>
      <c r="B454" t="s">
        <v>3760</v>
      </c>
      <c r="C454" s="57">
        <v>45972</v>
      </c>
      <c r="D454" s="57">
        <v>45972</v>
      </c>
      <c r="F454" s="11">
        <v>4200</v>
      </c>
      <c r="G454" t="s">
        <v>3761</v>
      </c>
      <c r="H454" t="s">
        <v>3314</v>
      </c>
      <c r="I454" s="11">
        <v>0</v>
      </c>
      <c r="J454" s="57">
        <v>46032</v>
      </c>
    </row>
    <row r="455" spans="1:10" hidden="1">
      <c r="A455" t="s">
        <v>1366</v>
      </c>
      <c r="B455" t="s">
        <v>893</v>
      </c>
      <c r="C455" s="57">
        <v>45950</v>
      </c>
      <c r="D455" s="57">
        <v>45950</v>
      </c>
      <c r="F455" s="11">
        <v>2850</v>
      </c>
      <c r="G455" t="s">
        <v>4029</v>
      </c>
      <c r="H455" t="s">
        <v>751</v>
      </c>
      <c r="I455" s="11">
        <v>0</v>
      </c>
      <c r="J455" s="57">
        <v>46010</v>
      </c>
    </row>
    <row r="456" spans="1:10" hidden="1">
      <c r="A456" t="s">
        <v>3762</v>
      </c>
      <c r="B456" t="s">
        <v>3763</v>
      </c>
      <c r="C456" s="57">
        <v>45951</v>
      </c>
      <c r="D456" s="57">
        <v>45951</v>
      </c>
      <c r="E456" t="s">
        <v>4191</v>
      </c>
      <c r="F456" s="11">
        <v>284.89</v>
      </c>
      <c r="G456" t="s">
        <v>3764</v>
      </c>
      <c r="H456" t="s">
        <v>751</v>
      </c>
      <c r="I456" s="11">
        <v>51.37</v>
      </c>
      <c r="J456" s="57">
        <v>46011</v>
      </c>
    </row>
    <row r="457" spans="1:10" hidden="1">
      <c r="A457" t="s">
        <v>1378</v>
      </c>
      <c r="B457" t="s">
        <v>1379</v>
      </c>
      <c r="C457" s="57">
        <v>45714</v>
      </c>
      <c r="D457" s="57">
        <v>45714</v>
      </c>
      <c r="F457" s="11">
        <v>47.64</v>
      </c>
      <c r="G457" t="s">
        <v>4030</v>
      </c>
      <c r="H457" t="s">
        <v>3314</v>
      </c>
      <c r="I457" s="11">
        <v>8.59</v>
      </c>
      <c r="J457" s="57">
        <v>45774</v>
      </c>
    </row>
    <row r="458" spans="1:10" hidden="1">
      <c r="A458" t="s">
        <v>3765</v>
      </c>
      <c r="B458" t="s">
        <v>1382</v>
      </c>
      <c r="C458" s="57">
        <v>45716</v>
      </c>
      <c r="D458" s="57">
        <v>45787</v>
      </c>
      <c r="E458" t="s">
        <v>4191</v>
      </c>
      <c r="F458" s="11">
        <v>4432.09</v>
      </c>
      <c r="G458" t="s">
        <v>3766</v>
      </c>
      <c r="H458" t="s">
        <v>125</v>
      </c>
      <c r="I458" s="11">
        <v>799.23</v>
      </c>
      <c r="J458" s="57">
        <v>45787</v>
      </c>
    </row>
    <row r="459" spans="1:10" hidden="1">
      <c r="A459" t="s">
        <v>1385</v>
      </c>
      <c r="B459" t="s">
        <v>1386</v>
      </c>
      <c r="C459" s="57">
        <v>45729</v>
      </c>
      <c r="D459" s="57">
        <v>45729</v>
      </c>
      <c r="F459" s="11">
        <v>28.94</v>
      </c>
      <c r="G459" t="s">
        <v>4031</v>
      </c>
      <c r="H459" t="s">
        <v>751</v>
      </c>
      <c r="I459" s="11">
        <v>5.22</v>
      </c>
      <c r="J459" s="57">
        <v>45789</v>
      </c>
    </row>
    <row r="460" spans="1:10" hidden="1">
      <c r="A460" t="s">
        <v>3767</v>
      </c>
      <c r="B460" t="s">
        <v>1391</v>
      </c>
      <c r="C460" s="57">
        <v>45828</v>
      </c>
      <c r="D460" s="57">
        <v>45869</v>
      </c>
      <c r="F460" s="11">
        <v>219.6</v>
      </c>
      <c r="G460" t="s">
        <v>3768</v>
      </c>
      <c r="H460" t="s">
        <v>3314</v>
      </c>
      <c r="I460" s="11">
        <v>39.6</v>
      </c>
      <c r="J460" s="57">
        <v>45869</v>
      </c>
    </row>
    <row r="461" spans="1:10" hidden="1">
      <c r="A461" t="s">
        <v>3767</v>
      </c>
      <c r="B461" t="s">
        <v>1389</v>
      </c>
      <c r="C461" s="57">
        <v>45671</v>
      </c>
      <c r="D461" s="57">
        <v>45716</v>
      </c>
      <c r="F461" s="11">
        <v>597.79999999999995</v>
      </c>
      <c r="G461" t="s">
        <v>3769</v>
      </c>
      <c r="H461" t="s">
        <v>125</v>
      </c>
      <c r="I461" s="11">
        <v>107.8</v>
      </c>
      <c r="J461" s="57">
        <v>45716</v>
      </c>
    </row>
    <row r="462" spans="1:10" hidden="1">
      <c r="A462" t="s">
        <v>1393</v>
      </c>
      <c r="B462" t="s">
        <v>1394</v>
      </c>
      <c r="C462" s="57">
        <v>45761</v>
      </c>
      <c r="D462" s="57">
        <v>45808</v>
      </c>
      <c r="F462" s="11">
        <v>1378.6</v>
      </c>
      <c r="G462" t="s">
        <v>4032</v>
      </c>
      <c r="H462" t="s">
        <v>3314</v>
      </c>
      <c r="I462" s="11">
        <v>248.6</v>
      </c>
      <c r="J462" s="57">
        <v>45808</v>
      </c>
    </row>
    <row r="463" spans="1:10" hidden="1">
      <c r="A463" t="s">
        <v>1396</v>
      </c>
      <c r="B463" t="s">
        <v>3770</v>
      </c>
      <c r="C463" s="57">
        <v>45857</v>
      </c>
      <c r="D463" s="57">
        <v>45900</v>
      </c>
      <c r="F463" s="11">
        <v>329.4</v>
      </c>
      <c r="G463" t="s">
        <v>3771</v>
      </c>
      <c r="H463" t="s">
        <v>125</v>
      </c>
      <c r="I463" s="11">
        <v>59.4</v>
      </c>
      <c r="J463" s="57">
        <v>45900</v>
      </c>
    </row>
    <row r="464" spans="1:10" hidden="1">
      <c r="A464" t="s">
        <v>1400</v>
      </c>
      <c r="B464" t="s">
        <v>3772</v>
      </c>
      <c r="C464" s="57">
        <v>45819</v>
      </c>
      <c r="F464" s="11">
        <v>120.5</v>
      </c>
      <c r="G464" t="s">
        <v>3773</v>
      </c>
      <c r="I464" s="11">
        <v>10.96</v>
      </c>
    </row>
    <row r="465" spans="1:10" hidden="1">
      <c r="A465" t="s">
        <v>1404</v>
      </c>
      <c r="B465" t="s">
        <v>1433</v>
      </c>
      <c r="C465" s="57">
        <v>45838</v>
      </c>
      <c r="D465" s="57">
        <v>45940</v>
      </c>
      <c r="F465" s="11">
        <v>36.6</v>
      </c>
      <c r="G465" t="s">
        <v>4033</v>
      </c>
      <c r="H465" t="s">
        <v>3314</v>
      </c>
      <c r="I465" s="11">
        <v>6.6</v>
      </c>
      <c r="J465" s="57">
        <v>45940</v>
      </c>
    </row>
    <row r="466" spans="1:10" hidden="1">
      <c r="A466" t="s">
        <v>1404</v>
      </c>
      <c r="B466" t="s">
        <v>1430</v>
      </c>
      <c r="C466" s="57">
        <v>45838</v>
      </c>
      <c r="D466" s="57">
        <v>45940</v>
      </c>
      <c r="F466" s="11">
        <v>364.54</v>
      </c>
      <c r="G466" t="s">
        <v>4034</v>
      </c>
      <c r="H466" t="s">
        <v>3314</v>
      </c>
      <c r="I466" s="11">
        <v>65.739999999999995</v>
      </c>
      <c r="J466" s="57">
        <v>45940</v>
      </c>
    </row>
    <row r="467" spans="1:10" hidden="1">
      <c r="A467" t="s">
        <v>1404</v>
      </c>
      <c r="B467" t="s">
        <v>1428</v>
      </c>
      <c r="C467" s="57">
        <v>45807</v>
      </c>
      <c r="D467" s="57">
        <v>45910</v>
      </c>
      <c r="F467" s="11">
        <v>51.92</v>
      </c>
      <c r="G467" t="s">
        <v>4035</v>
      </c>
      <c r="H467" t="s">
        <v>3314</v>
      </c>
      <c r="I467" s="11">
        <v>9.36</v>
      </c>
      <c r="J467" s="57">
        <v>45910</v>
      </c>
    </row>
    <row r="468" spans="1:10" hidden="1">
      <c r="A468" t="s">
        <v>1404</v>
      </c>
      <c r="B468" t="s">
        <v>1426</v>
      </c>
      <c r="C468" s="57">
        <v>45777</v>
      </c>
      <c r="D468" s="57">
        <v>45879</v>
      </c>
      <c r="F468" s="11">
        <v>4452.29</v>
      </c>
      <c r="G468" t="s">
        <v>4036</v>
      </c>
      <c r="H468" t="s">
        <v>3314</v>
      </c>
      <c r="I468" s="11">
        <v>802.87</v>
      </c>
      <c r="J468" s="57">
        <v>45879</v>
      </c>
    </row>
    <row r="469" spans="1:10" hidden="1">
      <c r="A469" t="s">
        <v>1404</v>
      </c>
      <c r="B469" t="s">
        <v>641</v>
      </c>
      <c r="C469" s="57">
        <v>45747</v>
      </c>
      <c r="D469" s="57">
        <v>45848</v>
      </c>
      <c r="F469" s="11">
        <v>3159.26</v>
      </c>
      <c r="G469" t="s">
        <v>4037</v>
      </c>
      <c r="H469" t="s">
        <v>3314</v>
      </c>
      <c r="I469" s="11">
        <v>569.70000000000005</v>
      </c>
      <c r="J469" s="57">
        <v>45848</v>
      </c>
    </row>
    <row r="470" spans="1:10" hidden="1">
      <c r="A470" t="s">
        <v>3774</v>
      </c>
      <c r="B470" t="s">
        <v>335</v>
      </c>
      <c r="C470" s="57">
        <v>45688</v>
      </c>
      <c r="D470" s="57">
        <v>45688</v>
      </c>
      <c r="E470" t="s">
        <v>4191</v>
      </c>
      <c r="F470" s="11">
        <v>2880</v>
      </c>
      <c r="G470" t="s">
        <v>3775</v>
      </c>
      <c r="H470" t="s">
        <v>3314</v>
      </c>
      <c r="I470" s="11">
        <v>0</v>
      </c>
      <c r="J470" s="57">
        <v>45748</v>
      </c>
    </row>
    <row r="471" spans="1:10" hidden="1">
      <c r="A471" t="s">
        <v>1435</v>
      </c>
      <c r="B471" t="s">
        <v>3776</v>
      </c>
      <c r="C471" s="57">
        <v>45754</v>
      </c>
      <c r="D471" s="57">
        <v>45754</v>
      </c>
      <c r="E471" t="s">
        <v>4191</v>
      </c>
      <c r="F471" s="11">
        <v>170.62</v>
      </c>
      <c r="G471" t="s">
        <v>3777</v>
      </c>
      <c r="H471" t="s">
        <v>3314</v>
      </c>
      <c r="I471" s="11">
        <v>30.77</v>
      </c>
      <c r="J471" s="57">
        <v>45814</v>
      </c>
    </row>
    <row r="472" spans="1:10" hidden="1">
      <c r="A472" t="s">
        <v>1435</v>
      </c>
      <c r="B472" t="s">
        <v>1436</v>
      </c>
      <c r="C472" s="57">
        <v>45742</v>
      </c>
      <c r="D472" s="57">
        <v>45742</v>
      </c>
      <c r="F472" s="11">
        <v>87.23</v>
      </c>
      <c r="G472" t="s">
        <v>4038</v>
      </c>
      <c r="H472" t="s">
        <v>3314</v>
      </c>
      <c r="I472" s="11">
        <v>15.73</v>
      </c>
      <c r="J472" s="57">
        <v>45802</v>
      </c>
    </row>
    <row r="473" spans="1:10" hidden="1">
      <c r="A473" t="s">
        <v>1438</v>
      </c>
      <c r="B473" t="s">
        <v>1441</v>
      </c>
      <c r="C473" s="57">
        <v>45734</v>
      </c>
      <c r="D473" s="57">
        <v>45741</v>
      </c>
      <c r="F473" s="11">
        <v>154.22</v>
      </c>
      <c r="G473" t="s">
        <v>3779</v>
      </c>
      <c r="H473" t="s">
        <v>3309</v>
      </c>
      <c r="I473" s="11">
        <v>27.81</v>
      </c>
      <c r="J473" s="57">
        <v>45741</v>
      </c>
    </row>
    <row r="474" spans="1:10" hidden="1">
      <c r="A474" t="s">
        <v>1438</v>
      </c>
      <c r="B474" t="s">
        <v>1439</v>
      </c>
      <c r="C474" s="57">
        <v>45701</v>
      </c>
      <c r="D474" s="57">
        <v>45713</v>
      </c>
      <c r="F474" s="11">
        <v>154.22</v>
      </c>
      <c r="G474" t="s">
        <v>3779</v>
      </c>
      <c r="H474" t="s">
        <v>3309</v>
      </c>
      <c r="I474" s="11">
        <v>27.81</v>
      </c>
      <c r="J474" s="57">
        <v>45713</v>
      </c>
    </row>
    <row r="475" spans="1:10" hidden="1">
      <c r="A475" t="s">
        <v>1438</v>
      </c>
      <c r="B475" t="s">
        <v>3778</v>
      </c>
      <c r="C475" s="57">
        <v>45666</v>
      </c>
      <c r="D475" s="57">
        <v>45682</v>
      </c>
      <c r="E475" t="s">
        <v>4191</v>
      </c>
      <c r="F475" s="11">
        <v>167.54</v>
      </c>
      <c r="G475" t="s">
        <v>3779</v>
      </c>
      <c r="H475" t="s">
        <v>3309</v>
      </c>
      <c r="I475" s="11">
        <v>30.21</v>
      </c>
      <c r="J475" s="57">
        <v>45682</v>
      </c>
    </row>
    <row r="476" spans="1:10" hidden="1">
      <c r="A476" t="s">
        <v>3780</v>
      </c>
      <c r="B476" t="s">
        <v>3781</v>
      </c>
      <c r="C476" s="57">
        <v>45944</v>
      </c>
      <c r="E476" t="s">
        <v>4191</v>
      </c>
      <c r="F476" s="11">
        <v>17.7</v>
      </c>
      <c r="G476" t="s">
        <v>3782</v>
      </c>
      <c r="I476" s="11">
        <v>1.61</v>
      </c>
    </row>
    <row r="477" spans="1:10" hidden="1">
      <c r="A477" t="s">
        <v>1458</v>
      </c>
      <c r="B477" t="s">
        <v>1063</v>
      </c>
      <c r="C477" s="57">
        <v>45751</v>
      </c>
      <c r="F477" s="11">
        <v>502</v>
      </c>
      <c r="G477" t="s">
        <v>4039</v>
      </c>
      <c r="I477" s="11">
        <v>0</v>
      </c>
    </row>
    <row r="478" spans="1:10" hidden="1">
      <c r="A478" t="s">
        <v>1453</v>
      </c>
      <c r="B478" t="s">
        <v>335</v>
      </c>
      <c r="C478" s="57">
        <v>46002</v>
      </c>
      <c r="E478" t="s">
        <v>4191</v>
      </c>
      <c r="F478" s="11">
        <v>20000</v>
      </c>
      <c r="G478" t="s">
        <v>4040</v>
      </c>
      <c r="I478" s="11">
        <v>0</v>
      </c>
    </row>
    <row r="479" spans="1:10" hidden="1">
      <c r="A479" t="s">
        <v>1453</v>
      </c>
      <c r="B479" t="s">
        <v>338</v>
      </c>
      <c r="C479" s="57">
        <v>45833</v>
      </c>
      <c r="F479" s="11">
        <v>4000</v>
      </c>
      <c r="G479" t="s">
        <v>4040</v>
      </c>
      <c r="I479" s="11">
        <v>0</v>
      </c>
    </row>
    <row r="480" spans="1:10" hidden="1">
      <c r="A480" t="s">
        <v>1461</v>
      </c>
      <c r="B480" t="s">
        <v>3783</v>
      </c>
      <c r="C480" s="57">
        <v>45840</v>
      </c>
      <c r="F480" s="11">
        <v>13</v>
      </c>
      <c r="G480" t="s">
        <v>3340</v>
      </c>
      <c r="I480" s="11">
        <v>1.18</v>
      </c>
    </row>
    <row r="481" spans="1:10" hidden="1">
      <c r="A481" t="s">
        <v>1461</v>
      </c>
      <c r="B481" t="s">
        <v>3784</v>
      </c>
      <c r="C481" s="57">
        <v>45838</v>
      </c>
      <c r="F481" s="11">
        <v>26</v>
      </c>
      <c r="G481" t="s">
        <v>3340</v>
      </c>
      <c r="I481" s="11">
        <v>2.36</v>
      </c>
    </row>
    <row r="482" spans="1:10" hidden="1">
      <c r="A482" t="s">
        <v>1461</v>
      </c>
      <c r="B482" t="s">
        <v>3785</v>
      </c>
      <c r="C482" s="57">
        <v>45796</v>
      </c>
      <c r="F482" s="11">
        <v>26</v>
      </c>
      <c r="G482" t="s">
        <v>3340</v>
      </c>
      <c r="I482" s="11">
        <v>2.36</v>
      </c>
    </row>
    <row r="483" spans="1:10" hidden="1">
      <c r="A483" t="s">
        <v>1461</v>
      </c>
      <c r="B483" t="s">
        <v>3786</v>
      </c>
      <c r="C483" s="57">
        <v>45793</v>
      </c>
      <c r="F483" s="11">
        <v>39</v>
      </c>
      <c r="G483" t="s">
        <v>3340</v>
      </c>
      <c r="I483" s="11">
        <v>3.55</v>
      </c>
    </row>
    <row r="484" spans="1:10" hidden="1">
      <c r="A484" t="s">
        <v>1461</v>
      </c>
      <c r="B484" t="s">
        <v>3787</v>
      </c>
      <c r="C484" s="57">
        <v>45792</v>
      </c>
      <c r="F484" s="11">
        <v>39</v>
      </c>
      <c r="G484" t="s">
        <v>3340</v>
      </c>
      <c r="I484" s="11">
        <v>3.55</v>
      </c>
    </row>
    <row r="485" spans="1:10" hidden="1">
      <c r="A485" t="s">
        <v>1472</v>
      </c>
      <c r="B485" t="s">
        <v>1478</v>
      </c>
      <c r="C485" s="57">
        <v>45743</v>
      </c>
      <c r="E485" t="s">
        <v>4191</v>
      </c>
      <c r="F485" s="11">
        <v>2061.8000000000002</v>
      </c>
      <c r="G485" t="s">
        <v>4041</v>
      </c>
      <c r="I485" s="11">
        <v>371.8</v>
      </c>
    </row>
    <row r="486" spans="1:10" hidden="1">
      <c r="A486" t="s">
        <v>1472</v>
      </c>
      <c r="B486" t="s">
        <v>1476</v>
      </c>
      <c r="C486" s="57">
        <v>45713</v>
      </c>
      <c r="E486" t="s">
        <v>4191</v>
      </c>
      <c r="F486" s="11">
        <v>3050</v>
      </c>
      <c r="G486" t="s">
        <v>4042</v>
      </c>
      <c r="I486" s="11">
        <v>550</v>
      </c>
    </row>
    <row r="487" spans="1:10" hidden="1">
      <c r="A487" t="s">
        <v>1472</v>
      </c>
      <c r="B487" t="s">
        <v>1473</v>
      </c>
      <c r="C487" s="57">
        <v>45693</v>
      </c>
      <c r="F487" s="11">
        <v>3050</v>
      </c>
      <c r="G487" t="s">
        <v>4043</v>
      </c>
      <c r="I487" s="11">
        <v>550</v>
      </c>
    </row>
    <row r="488" spans="1:10" hidden="1">
      <c r="A488" t="s">
        <v>1480</v>
      </c>
      <c r="B488" t="s">
        <v>3788</v>
      </c>
      <c r="C488" s="57">
        <v>45860</v>
      </c>
      <c r="D488" s="57">
        <v>45860</v>
      </c>
      <c r="F488" s="11">
        <v>92.07</v>
      </c>
      <c r="G488" t="s">
        <v>3789</v>
      </c>
      <c r="H488" t="s">
        <v>350</v>
      </c>
      <c r="I488" s="11">
        <v>16.600000000000001</v>
      </c>
      <c r="J488" s="57">
        <v>45920</v>
      </c>
    </row>
    <row r="489" spans="1:10" hidden="1">
      <c r="A489" t="s">
        <v>3790</v>
      </c>
      <c r="B489" t="s">
        <v>1491</v>
      </c>
      <c r="C489" s="57">
        <v>45991</v>
      </c>
      <c r="D489" s="57">
        <v>46022</v>
      </c>
      <c r="F489" s="11">
        <v>1700</v>
      </c>
      <c r="G489" t="s">
        <v>3791</v>
      </c>
      <c r="H489" t="s">
        <v>3314</v>
      </c>
      <c r="I489" s="11">
        <v>0</v>
      </c>
      <c r="J489" s="57">
        <v>46022</v>
      </c>
    </row>
    <row r="490" spans="1:10" hidden="1">
      <c r="A490" t="s">
        <v>3790</v>
      </c>
      <c r="B490" t="s">
        <v>1490</v>
      </c>
      <c r="C490" s="57">
        <v>45991</v>
      </c>
      <c r="D490" s="57">
        <v>46022</v>
      </c>
      <c r="F490" s="11">
        <v>3600</v>
      </c>
      <c r="G490" t="s">
        <v>3792</v>
      </c>
      <c r="H490" t="s">
        <v>3314</v>
      </c>
      <c r="I490" s="11">
        <v>0</v>
      </c>
      <c r="J490" s="57">
        <v>46022</v>
      </c>
    </row>
    <row r="491" spans="1:10" hidden="1">
      <c r="A491" t="s">
        <v>3790</v>
      </c>
      <c r="B491" t="s">
        <v>4230</v>
      </c>
      <c r="C491" s="57">
        <v>46052</v>
      </c>
      <c r="D491" s="57">
        <v>46081</v>
      </c>
      <c r="F491" s="11">
        <v>1400</v>
      </c>
      <c r="G491" t="s">
        <v>4231</v>
      </c>
      <c r="H491" t="s">
        <v>3314</v>
      </c>
      <c r="I491" s="11">
        <v>0</v>
      </c>
      <c r="J491" s="57">
        <v>46081</v>
      </c>
    </row>
    <row r="492" spans="1:10" hidden="1">
      <c r="A492" t="s">
        <v>3793</v>
      </c>
      <c r="B492" t="s">
        <v>3794</v>
      </c>
      <c r="C492" s="57">
        <v>45673</v>
      </c>
      <c r="D492" s="57">
        <v>45716</v>
      </c>
      <c r="F492" s="11">
        <v>2500</v>
      </c>
      <c r="G492" t="s">
        <v>3795</v>
      </c>
      <c r="H492" t="s">
        <v>125</v>
      </c>
      <c r="I492" s="11">
        <v>0</v>
      </c>
      <c r="J492" s="57">
        <v>45716</v>
      </c>
    </row>
    <row r="493" spans="1:10" hidden="1">
      <c r="A493" t="s">
        <v>1495</v>
      </c>
      <c r="B493" t="s">
        <v>1515</v>
      </c>
      <c r="C493" s="57">
        <v>45852</v>
      </c>
      <c r="D493" s="57">
        <v>45940</v>
      </c>
      <c r="F493" s="11">
        <v>366</v>
      </c>
      <c r="G493" t="s">
        <v>4044</v>
      </c>
      <c r="H493" t="s">
        <v>125</v>
      </c>
      <c r="I493" s="11">
        <v>66</v>
      </c>
      <c r="J493" s="57">
        <v>45940</v>
      </c>
    </row>
    <row r="494" spans="1:10" hidden="1">
      <c r="A494" t="s">
        <v>1495</v>
      </c>
      <c r="B494" t="s">
        <v>1508</v>
      </c>
      <c r="C494" s="57">
        <v>45803</v>
      </c>
      <c r="E494" t="s">
        <v>4191</v>
      </c>
      <c r="F494" s="11">
        <v>45000</v>
      </c>
      <c r="G494" t="s">
        <v>4045</v>
      </c>
      <c r="I494" s="11">
        <v>0</v>
      </c>
    </row>
    <row r="495" spans="1:10" hidden="1">
      <c r="A495" t="s">
        <v>1495</v>
      </c>
      <c r="B495" t="s">
        <v>1505</v>
      </c>
      <c r="C495" s="57">
        <v>45803</v>
      </c>
      <c r="E495" t="s">
        <v>4191</v>
      </c>
      <c r="F495" s="11">
        <v>80000</v>
      </c>
      <c r="G495" t="s">
        <v>4046</v>
      </c>
      <c r="I495" s="11">
        <v>0</v>
      </c>
    </row>
    <row r="496" spans="1:10" hidden="1">
      <c r="A496" t="s">
        <v>4189</v>
      </c>
      <c r="B496" t="s">
        <v>26</v>
      </c>
      <c r="C496" s="57">
        <v>46055</v>
      </c>
      <c r="D496" s="57">
        <v>46055</v>
      </c>
      <c r="F496" s="11">
        <v>1065</v>
      </c>
      <c r="G496" t="s">
        <v>4190</v>
      </c>
      <c r="H496" t="s">
        <v>751</v>
      </c>
      <c r="I496" s="11">
        <v>96.82</v>
      </c>
      <c r="J496" s="57">
        <v>46115</v>
      </c>
    </row>
    <row r="497" spans="1:10" hidden="1">
      <c r="A497" t="s">
        <v>1518</v>
      </c>
      <c r="B497" t="s">
        <v>1546</v>
      </c>
      <c r="C497" s="57">
        <v>45898</v>
      </c>
      <c r="F497" s="11">
        <v>24.4</v>
      </c>
      <c r="G497" t="s">
        <v>4047</v>
      </c>
      <c r="H497" t="s">
        <v>3314</v>
      </c>
      <c r="I497" s="11">
        <v>0.94</v>
      </c>
    </row>
    <row r="498" spans="1:10" hidden="1">
      <c r="A498" t="s">
        <v>1518</v>
      </c>
      <c r="B498" t="s">
        <v>1543</v>
      </c>
      <c r="C498" s="57">
        <v>45869</v>
      </c>
      <c r="F498" s="11">
        <v>457.6</v>
      </c>
      <c r="G498" t="s">
        <v>4048</v>
      </c>
      <c r="H498" t="s">
        <v>3314</v>
      </c>
      <c r="I498" s="11">
        <v>17.600000000000001</v>
      </c>
    </row>
    <row r="499" spans="1:10" hidden="1">
      <c r="A499" t="s">
        <v>1518</v>
      </c>
      <c r="B499" t="s">
        <v>1541</v>
      </c>
      <c r="C499" s="57">
        <v>45845</v>
      </c>
      <c r="F499" s="11">
        <v>33.700000000000003</v>
      </c>
      <c r="G499" t="s">
        <v>4049</v>
      </c>
      <c r="H499" t="s">
        <v>350</v>
      </c>
      <c r="I499" s="11">
        <v>1.3</v>
      </c>
    </row>
    <row r="500" spans="1:10" hidden="1">
      <c r="A500" t="s">
        <v>1518</v>
      </c>
      <c r="B500" t="s">
        <v>1539</v>
      </c>
      <c r="C500" s="57">
        <v>45842</v>
      </c>
      <c r="F500" s="11">
        <v>35.1</v>
      </c>
      <c r="G500" t="s">
        <v>4050</v>
      </c>
      <c r="H500" t="s">
        <v>350</v>
      </c>
      <c r="I500" s="11">
        <v>1.35</v>
      </c>
    </row>
    <row r="501" spans="1:10" hidden="1">
      <c r="A501" t="s">
        <v>1518</v>
      </c>
      <c r="B501" t="s">
        <v>1537</v>
      </c>
      <c r="C501" s="57">
        <v>45841</v>
      </c>
      <c r="F501" s="11">
        <v>22.7</v>
      </c>
      <c r="G501" t="s">
        <v>4051</v>
      </c>
      <c r="H501" t="s">
        <v>350</v>
      </c>
      <c r="I501" s="11">
        <v>0.87</v>
      </c>
    </row>
    <row r="502" spans="1:10" hidden="1">
      <c r="A502" t="s">
        <v>1518</v>
      </c>
      <c r="B502" t="s">
        <v>1535</v>
      </c>
      <c r="C502" s="57">
        <v>45840</v>
      </c>
      <c r="F502" s="11">
        <v>25.2</v>
      </c>
      <c r="G502" t="s">
        <v>4052</v>
      </c>
      <c r="H502" t="s">
        <v>350</v>
      </c>
      <c r="I502" s="11">
        <v>0.97</v>
      </c>
    </row>
    <row r="503" spans="1:10" hidden="1">
      <c r="A503" t="s">
        <v>1518</v>
      </c>
      <c r="B503" t="s">
        <v>1532</v>
      </c>
      <c r="C503" s="57">
        <v>45839</v>
      </c>
      <c r="F503" s="11">
        <v>24.7</v>
      </c>
      <c r="G503" t="s">
        <v>4053</v>
      </c>
      <c r="H503" t="s">
        <v>350</v>
      </c>
      <c r="I503" s="11">
        <v>0.95</v>
      </c>
    </row>
    <row r="504" spans="1:10" hidden="1">
      <c r="A504" t="s">
        <v>1518</v>
      </c>
      <c r="B504" t="s">
        <v>1530</v>
      </c>
      <c r="C504" s="57">
        <v>45838</v>
      </c>
      <c r="F504" s="11">
        <v>33.200000000000003</v>
      </c>
      <c r="G504" t="s">
        <v>4054</v>
      </c>
      <c r="H504" t="s">
        <v>350</v>
      </c>
      <c r="I504" s="11">
        <v>1.28</v>
      </c>
    </row>
    <row r="505" spans="1:10" hidden="1">
      <c r="A505" t="s">
        <v>1518</v>
      </c>
      <c r="B505" t="s">
        <v>1528</v>
      </c>
      <c r="C505" s="57">
        <v>45835</v>
      </c>
      <c r="F505" s="11">
        <v>24.4</v>
      </c>
      <c r="G505" t="s">
        <v>4055</v>
      </c>
      <c r="H505" t="s">
        <v>350</v>
      </c>
      <c r="I505" s="11">
        <v>0.94</v>
      </c>
    </row>
    <row r="506" spans="1:10" hidden="1">
      <c r="A506" t="s">
        <v>1518</v>
      </c>
      <c r="B506" t="s">
        <v>1525</v>
      </c>
      <c r="C506" s="57">
        <v>45834</v>
      </c>
      <c r="F506" s="11">
        <v>24.4</v>
      </c>
      <c r="G506" t="s">
        <v>4055</v>
      </c>
      <c r="H506" t="s">
        <v>350</v>
      </c>
      <c r="I506" s="11">
        <v>0.94</v>
      </c>
    </row>
    <row r="507" spans="1:10" hidden="1">
      <c r="A507" t="s">
        <v>1518</v>
      </c>
      <c r="B507" t="s">
        <v>1523</v>
      </c>
      <c r="C507" s="57">
        <v>45833</v>
      </c>
      <c r="F507" s="11">
        <v>36.4</v>
      </c>
      <c r="G507" t="s">
        <v>4056</v>
      </c>
      <c r="H507" t="s">
        <v>350</v>
      </c>
      <c r="I507" s="11">
        <v>1.4</v>
      </c>
    </row>
    <row r="508" spans="1:10" hidden="1">
      <c r="A508" t="s">
        <v>1518</v>
      </c>
      <c r="B508" t="s">
        <v>1521</v>
      </c>
      <c r="C508" s="57">
        <v>45832</v>
      </c>
      <c r="F508" s="11">
        <v>25.1</v>
      </c>
      <c r="G508" t="s">
        <v>4057</v>
      </c>
      <c r="H508" t="s">
        <v>350</v>
      </c>
      <c r="I508" s="11">
        <v>0.97</v>
      </c>
    </row>
    <row r="509" spans="1:10" hidden="1">
      <c r="A509" t="s">
        <v>1518</v>
      </c>
      <c r="B509" t="s">
        <v>1519</v>
      </c>
      <c r="C509" s="57">
        <v>45828</v>
      </c>
      <c r="F509" s="11">
        <v>28.1</v>
      </c>
      <c r="G509" t="s">
        <v>4058</v>
      </c>
      <c r="H509" t="s">
        <v>350</v>
      </c>
      <c r="I509" s="11">
        <v>1.08</v>
      </c>
    </row>
    <row r="510" spans="1:10" hidden="1">
      <c r="A510" t="s">
        <v>1551</v>
      </c>
      <c r="B510" t="s">
        <v>1560</v>
      </c>
      <c r="C510" s="57">
        <v>45887</v>
      </c>
      <c r="D510" s="57">
        <v>45961</v>
      </c>
      <c r="F510" s="11">
        <v>1370</v>
      </c>
      <c r="G510" t="s">
        <v>4059</v>
      </c>
      <c r="H510" t="s">
        <v>3314</v>
      </c>
      <c r="I510" s="11">
        <v>0</v>
      </c>
      <c r="J510" s="57">
        <v>45961</v>
      </c>
    </row>
    <row r="511" spans="1:10" hidden="1">
      <c r="A511" t="s">
        <v>1551</v>
      </c>
      <c r="B511" t="s">
        <v>1552</v>
      </c>
      <c r="C511" s="57">
        <v>45808</v>
      </c>
      <c r="D511" s="57">
        <v>45869</v>
      </c>
      <c r="F511" s="11">
        <v>2325</v>
      </c>
      <c r="G511" t="s">
        <v>4060</v>
      </c>
      <c r="H511" t="s">
        <v>3314</v>
      </c>
      <c r="I511" s="11">
        <v>0</v>
      </c>
      <c r="J511" s="57">
        <v>45869</v>
      </c>
    </row>
    <row r="512" spans="1:10" hidden="1">
      <c r="A512" t="s">
        <v>1551</v>
      </c>
      <c r="B512" t="s">
        <v>1556</v>
      </c>
      <c r="C512" s="57">
        <v>45808</v>
      </c>
      <c r="D512" s="57">
        <v>45869</v>
      </c>
      <c r="F512" s="11">
        <v>2000</v>
      </c>
      <c r="G512" t="s">
        <v>4061</v>
      </c>
      <c r="H512" t="s">
        <v>3314</v>
      </c>
      <c r="I512" s="11">
        <v>0</v>
      </c>
      <c r="J512" s="57">
        <v>45869</v>
      </c>
    </row>
    <row r="513" spans="1:10" hidden="1">
      <c r="A513" t="s">
        <v>3796</v>
      </c>
      <c r="B513" t="s">
        <v>1585</v>
      </c>
      <c r="C513" s="57">
        <v>45838</v>
      </c>
      <c r="D513" s="57">
        <v>45838</v>
      </c>
      <c r="F513" s="11">
        <v>366</v>
      </c>
      <c r="G513" t="s">
        <v>3801</v>
      </c>
      <c r="H513" t="s">
        <v>3314</v>
      </c>
      <c r="I513" s="11">
        <v>66</v>
      </c>
      <c r="J513" s="57">
        <v>45898</v>
      </c>
    </row>
    <row r="514" spans="1:10" hidden="1">
      <c r="A514" t="s">
        <v>3796</v>
      </c>
      <c r="B514" t="s">
        <v>1583</v>
      </c>
      <c r="C514" s="57">
        <v>45808</v>
      </c>
      <c r="D514" s="57">
        <v>45808</v>
      </c>
      <c r="F514" s="11">
        <v>366</v>
      </c>
      <c r="G514" t="s">
        <v>3802</v>
      </c>
      <c r="H514" t="s">
        <v>3314</v>
      </c>
      <c r="I514" s="11">
        <v>66</v>
      </c>
      <c r="J514" s="57">
        <v>45868</v>
      </c>
    </row>
    <row r="515" spans="1:10" hidden="1">
      <c r="A515" t="s">
        <v>3796</v>
      </c>
      <c r="B515" t="s">
        <v>1581</v>
      </c>
      <c r="C515" s="57">
        <v>45777</v>
      </c>
      <c r="D515" s="57">
        <v>45777</v>
      </c>
      <c r="F515" s="11">
        <v>366</v>
      </c>
      <c r="G515" t="s">
        <v>3800</v>
      </c>
      <c r="H515" t="s">
        <v>3314</v>
      </c>
      <c r="I515" s="11">
        <v>66</v>
      </c>
      <c r="J515" s="57">
        <v>45837</v>
      </c>
    </row>
    <row r="516" spans="1:10" hidden="1">
      <c r="A516" t="s">
        <v>3796</v>
      </c>
      <c r="B516" t="s">
        <v>1579</v>
      </c>
      <c r="C516" s="57">
        <v>45747</v>
      </c>
      <c r="D516" s="57">
        <v>45747</v>
      </c>
      <c r="F516" s="11">
        <v>366</v>
      </c>
      <c r="G516" t="s">
        <v>3803</v>
      </c>
      <c r="H516" t="s">
        <v>3314</v>
      </c>
      <c r="I516" s="11">
        <v>66</v>
      </c>
      <c r="J516" s="57">
        <v>45807</v>
      </c>
    </row>
    <row r="517" spans="1:10" hidden="1">
      <c r="A517" t="s">
        <v>3796</v>
      </c>
      <c r="B517" t="s">
        <v>1576</v>
      </c>
      <c r="C517" s="57">
        <v>45716</v>
      </c>
      <c r="D517" s="57">
        <v>45716</v>
      </c>
      <c r="F517" s="11">
        <v>366</v>
      </c>
      <c r="G517" t="s">
        <v>3798</v>
      </c>
      <c r="H517" t="s">
        <v>3314</v>
      </c>
      <c r="I517" s="11">
        <v>66</v>
      </c>
      <c r="J517" s="57">
        <v>45776</v>
      </c>
    </row>
    <row r="518" spans="1:10" hidden="1">
      <c r="A518" t="s">
        <v>3796</v>
      </c>
      <c r="B518" t="s">
        <v>1568</v>
      </c>
      <c r="C518" s="57">
        <v>45688</v>
      </c>
      <c r="D518" s="57">
        <v>45688</v>
      </c>
      <c r="E518" t="s">
        <v>4191</v>
      </c>
      <c r="F518" s="11">
        <v>7076</v>
      </c>
      <c r="G518" t="s">
        <v>3799</v>
      </c>
      <c r="H518" t="s">
        <v>3314</v>
      </c>
      <c r="I518" s="11">
        <v>1276</v>
      </c>
      <c r="J518" s="57">
        <v>45748</v>
      </c>
    </row>
    <row r="519" spans="1:10" hidden="1">
      <c r="A519" t="s">
        <v>3796</v>
      </c>
      <c r="B519" t="s">
        <v>1570</v>
      </c>
      <c r="C519" s="57">
        <v>45688</v>
      </c>
      <c r="D519" s="57">
        <v>45688</v>
      </c>
      <c r="F519" s="11">
        <v>280.60000000000002</v>
      </c>
      <c r="G519" t="s">
        <v>3797</v>
      </c>
      <c r="H519" t="s">
        <v>3314</v>
      </c>
      <c r="I519" s="11">
        <v>50.6</v>
      </c>
      <c r="J519" s="57">
        <v>45748</v>
      </c>
    </row>
    <row r="520" spans="1:10" hidden="1">
      <c r="A520" t="s">
        <v>3804</v>
      </c>
      <c r="B520" t="s">
        <v>3805</v>
      </c>
      <c r="C520" s="57">
        <v>45898</v>
      </c>
      <c r="D520" s="57">
        <v>45898</v>
      </c>
      <c r="F520" s="11">
        <v>80.06</v>
      </c>
      <c r="G520" t="s">
        <v>3806</v>
      </c>
      <c r="H520" t="s">
        <v>751</v>
      </c>
      <c r="I520" s="11">
        <v>14.44</v>
      </c>
      <c r="J520" s="57">
        <v>45958</v>
      </c>
    </row>
    <row r="521" spans="1:10" hidden="1">
      <c r="A521" t="s">
        <v>1593</v>
      </c>
      <c r="B521" t="s">
        <v>902</v>
      </c>
      <c r="C521" s="57">
        <v>46003</v>
      </c>
      <c r="D521" s="57">
        <v>46003</v>
      </c>
      <c r="E521" t="s">
        <v>4191</v>
      </c>
      <c r="F521" s="11">
        <v>0</v>
      </c>
      <c r="G521" t="s">
        <v>4062</v>
      </c>
      <c r="H521" t="s">
        <v>125</v>
      </c>
      <c r="I521" s="11">
        <v>182.81</v>
      </c>
      <c r="J521" s="57">
        <v>46063</v>
      </c>
    </row>
    <row r="522" spans="1:10" hidden="1">
      <c r="A522" t="s">
        <v>1593</v>
      </c>
      <c r="B522" t="s">
        <v>1596</v>
      </c>
      <c r="C522" s="57">
        <v>45901</v>
      </c>
      <c r="D522" s="57">
        <v>45901</v>
      </c>
      <c r="E522" t="s">
        <v>4191</v>
      </c>
      <c r="F522" s="11">
        <v>0</v>
      </c>
      <c r="G522" t="s">
        <v>4063</v>
      </c>
      <c r="H522" t="s">
        <v>125</v>
      </c>
      <c r="I522" s="11">
        <v>245.5</v>
      </c>
      <c r="J522" s="57">
        <v>45961</v>
      </c>
    </row>
    <row r="523" spans="1:10" hidden="1">
      <c r="A523" t="s">
        <v>1593</v>
      </c>
      <c r="B523" t="s">
        <v>1592</v>
      </c>
      <c r="C523" s="57">
        <v>45876</v>
      </c>
      <c r="D523" s="57">
        <v>45876</v>
      </c>
      <c r="E523" t="s">
        <v>4191</v>
      </c>
      <c r="F523" s="11">
        <v>0</v>
      </c>
      <c r="G523" t="s">
        <v>3807</v>
      </c>
      <c r="H523" t="s">
        <v>125</v>
      </c>
      <c r="I523" s="11">
        <v>266.32</v>
      </c>
      <c r="J523" s="57">
        <v>45936</v>
      </c>
    </row>
    <row r="524" spans="1:10" hidden="1">
      <c r="A524" t="s">
        <v>1593</v>
      </c>
      <c r="B524" t="s">
        <v>3808</v>
      </c>
      <c r="C524" s="57">
        <v>45734</v>
      </c>
      <c r="D524" s="57">
        <v>45734</v>
      </c>
      <c r="E524" t="s">
        <v>4191</v>
      </c>
      <c r="F524" s="11">
        <v>0</v>
      </c>
      <c r="G524" t="s">
        <v>3809</v>
      </c>
      <c r="H524" t="s">
        <v>3314</v>
      </c>
      <c r="I524" s="11">
        <v>266.32</v>
      </c>
      <c r="J524" s="57">
        <v>45794</v>
      </c>
    </row>
    <row r="525" spans="1:10" hidden="1">
      <c r="A525" t="s">
        <v>1601</v>
      </c>
      <c r="B525" t="s">
        <v>1602</v>
      </c>
      <c r="C525" s="57">
        <v>45677</v>
      </c>
      <c r="F525" s="11">
        <v>300</v>
      </c>
      <c r="G525" t="s">
        <v>4064</v>
      </c>
      <c r="I525" s="11">
        <v>56.16</v>
      </c>
    </row>
    <row r="526" spans="1:10" hidden="1">
      <c r="A526" t="s">
        <v>3810</v>
      </c>
      <c r="B526" t="s">
        <v>3811</v>
      </c>
      <c r="C526" s="57">
        <v>45968</v>
      </c>
      <c r="D526" s="57">
        <v>45968</v>
      </c>
      <c r="F526" s="11">
        <v>572.32000000000005</v>
      </c>
      <c r="G526" t="s">
        <v>3812</v>
      </c>
      <c r="H526" t="s">
        <v>3314</v>
      </c>
      <c r="I526" s="11">
        <v>114.4</v>
      </c>
      <c r="J526" s="57">
        <v>46028</v>
      </c>
    </row>
    <row r="527" spans="1:10" hidden="1">
      <c r="A527" t="s">
        <v>3810</v>
      </c>
      <c r="B527" t="s">
        <v>3813</v>
      </c>
      <c r="C527" s="57">
        <v>45939</v>
      </c>
      <c r="D527" s="57">
        <v>45939</v>
      </c>
      <c r="E527" t="s">
        <v>4191</v>
      </c>
      <c r="F527" s="11">
        <v>1603.2</v>
      </c>
      <c r="G527" t="s">
        <v>3814</v>
      </c>
      <c r="H527" t="s">
        <v>3314</v>
      </c>
      <c r="I527" s="11">
        <v>343.2</v>
      </c>
      <c r="J527" s="57">
        <v>45999</v>
      </c>
    </row>
    <row r="528" spans="1:10" hidden="1">
      <c r="A528" t="s">
        <v>3810</v>
      </c>
      <c r="B528" t="s">
        <v>3815</v>
      </c>
      <c r="C528" s="57">
        <v>45939</v>
      </c>
      <c r="D528" s="57">
        <v>45939</v>
      </c>
      <c r="F528" s="11">
        <v>3206.4</v>
      </c>
      <c r="G528" t="s">
        <v>3316</v>
      </c>
      <c r="H528" t="s">
        <v>3314</v>
      </c>
      <c r="I528" s="11">
        <v>686.4</v>
      </c>
      <c r="J528" s="57">
        <v>45999</v>
      </c>
    </row>
    <row r="529" spans="1:10" hidden="1">
      <c r="A529" t="s">
        <v>3816</v>
      </c>
      <c r="B529" t="s">
        <v>3817</v>
      </c>
      <c r="C529" s="57">
        <v>45961</v>
      </c>
      <c r="D529" s="57">
        <v>46032</v>
      </c>
      <c r="F529" s="11">
        <v>344.93</v>
      </c>
      <c r="G529" t="s">
        <v>3818</v>
      </c>
      <c r="H529" t="s">
        <v>125</v>
      </c>
      <c r="I529" s="11">
        <v>62.2</v>
      </c>
      <c r="J529" s="57">
        <v>46032</v>
      </c>
    </row>
    <row r="530" spans="1:10" hidden="1">
      <c r="A530" t="s">
        <v>3816</v>
      </c>
      <c r="B530" t="s">
        <v>1633</v>
      </c>
      <c r="C530" s="57">
        <v>45961</v>
      </c>
      <c r="D530" s="57">
        <v>46032</v>
      </c>
      <c r="F530" s="11">
        <v>207.8</v>
      </c>
      <c r="G530" t="s">
        <v>3819</v>
      </c>
      <c r="H530" t="s">
        <v>125</v>
      </c>
      <c r="I530" s="11">
        <v>37.47</v>
      </c>
      <c r="J530" s="57">
        <v>46032</v>
      </c>
    </row>
    <row r="531" spans="1:10" hidden="1">
      <c r="A531" t="s">
        <v>3816</v>
      </c>
      <c r="B531" t="s">
        <v>1629</v>
      </c>
      <c r="C531" s="57">
        <v>45869</v>
      </c>
      <c r="D531" s="57">
        <v>45930</v>
      </c>
      <c r="F531" s="11">
        <v>408.19</v>
      </c>
      <c r="G531" t="s">
        <v>3818</v>
      </c>
      <c r="H531" t="s">
        <v>125</v>
      </c>
      <c r="I531" s="11">
        <v>73.61</v>
      </c>
      <c r="J531" s="57">
        <v>45930</v>
      </c>
    </row>
    <row r="532" spans="1:10" hidden="1">
      <c r="A532" t="s">
        <v>3816</v>
      </c>
      <c r="B532" t="s">
        <v>1627</v>
      </c>
      <c r="C532" s="57">
        <v>45777</v>
      </c>
      <c r="D532" s="57">
        <v>45838</v>
      </c>
      <c r="E532" t="s">
        <v>4191</v>
      </c>
      <c r="F532" s="11">
        <v>295.62</v>
      </c>
      <c r="G532" t="s">
        <v>3818</v>
      </c>
      <c r="H532" t="s">
        <v>125</v>
      </c>
      <c r="I532" s="11">
        <v>53.31</v>
      </c>
      <c r="J532" s="57">
        <v>45838</v>
      </c>
    </row>
    <row r="533" spans="1:10" hidden="1">
      <c r="A533" t="s">
        <v>3816</v>
      </c>
      <c r="B533" t="s">
        <v>3820</v>
      </c>
      <c r="C533" s="57">
        <v>45688</v>
      </c>
      <c r="D533" s="57">
        <v>45747</v>
      </c>
      <c r="F533" s="11">
        <v>323.58</v>
      </c>
      <c r="G533" t="s">
        <v>3818</v>
      </c>
      <c r="H533" t="s">
        <v>125</v>
      </c>
      <c r="I533" s="11">
        <v>58.35</v>
      </c>
      <c r="J533" s="57">
        <v>45747</v>
      </c>
    </row>
    <row r="534" spans="1:10" hidden="1">
      <c r="A534" t="s">
        <v>3816</v>
      </c>
      <c r="B534" t="s">
        <v>4241</v>
      </c>
      <c r="C534" s="57">
        <v>46065</v>
      </c>
      <c r="D534" s="57">
        <v>46142</v>
      </c>
      <c r="F534" s="11">
        <v>352.1</v>
      </c>
      <c r="G534" t="s">
        <v>3818</v>
      </c>
      <c r="H534" t="s">
        <v>125</v>
      </c>
      <c r="I534" s="11">
        <v>63.49</v>
      </c>
      <c r="J534" s="57">
        <v>46142</v>
      </c>
    </row>
    <row r="535" spans="1:10" hidden="1">
      <c r="A535" t="s">
        <v>3821</v>
      </c>
      <c r="B535" t="s">
        <v>1647</v>
      </c>
      <c r="C535" s="57">
        <v>45819</v>
      </c>
      <c r="D535" s="57">
        <v>45849</v>
      </c>
      <c r="F535" s="11">
        <v>2627.04</v>
      </c>
      <c r="G535" t="s">
        <v>3823</v>
      </c>
      <c r="H535" t="s">
        <v>3314</v>
      </c>
      <c r="I535" s="11">
        <v>101.04</v>
      </c>
      <c r="J535" s="57">
        <v>45849</v>
      </c>
    </row>
    <row r="536" spans="1:10" hidden="1">
      <c r="A536" t="s">
        <v>3821</v>
      </c>
      <c r="B536" t="s">
        <v>1642</v>
      </c>
      <c r="C536" s="57">
        <v>45807</v>
      </c>
      <c r="D536" s="57">
        <v>45837</v>
      </c>
      <c r="F536" s="11">
        <v>3081.72</v>
      </c>
      <c r="G536" t="s">
        <v>3824</v>
      </c>
      <c r="H536" t="s">
        <v>3314</v>
      </c>
      <c r="I536" s="11">
        <v>555.72</v>
      </c>
      <c r="J536" s="57">
        <v>45837</v>
      </c>
    </row>
    <row r="537" spans="1:10" hidden="1">
      <c r="A537" t="s">
        <v>3821</v>
      </c>
      <c r="B537" t="s">
        <v>1638</v>
      </c>
      <c r="C537" s="57">
        <v>45791</v>
      </c>
      <c r="D537" s="57">
        <v>45808</v>
      </c>
      <c r="E537" t="s">
        <v>4191</v>
      </c>
      <c r="F537" s="11">
        <v>12180</v>
      </c>
      <c r="G537" t="s">
        <v>3825</v>
      </c>
      <c r="H537" t="s">
        <v>3314</v>
      </c>
      <c r="I537" s="11">
        <v>2196.39</v>
      </c>
      <c r="J537" s="57">
        <v>45808</v>
      </c>
    </row>
    <row r="538" spans="1:10" hidden="1">
      <c r="A538" t="s">
        <v>3821</v>
      </c>
      <c r="B538" t="s">
        <v>26</v>
      </c>
      <c r="C538" s="57">
        <v>45691</v>
      </c>
      <c r="D538" s="57">
        <v>45721</v>
      </c>
      <c r="F538" s="11">
        <v>7320</v>
      </c>
      <c r="G538" t="s">
        <v>3822</v>
      </c>
      <c r="H538" t="s">
        <v>3314</v>
      </c>
      <c r="I538" s="11">
        <v>1320</v>
      </c>
      <c r="J538" s="57">
        <v>45721</v>
      </c>
    </row>
    <row r="539" spans="1:10" hidden="1">
      <c r="A539" t="s">
        <v>3826</v>
      </c>
      <c r="B539" t="s">
        <v>1651</v>
      </c>
      <c r="C539" s="57">
        <v>45797</v>
      </c>
      <c r="F539" s="11">
        <v>42</v>
      </c>
      <c r="G539" t="s">
        <v>3827</v>
      </c>
      <c r="H539" t="s">
        <v>751</v>
      </c>
      <c r="I539" s="11">
        <v>3.82</v>
      </c>
    </row>
    <row r="540" spans="1:10" hidden="1">
      <c r="A540" t="s">
        <v>3828</v>
      </c>
      <c r="B540" t="s">
        <v>3829</v>
      </c>
      <c r="C540" s="57">
        <v>45821</v>
      </c>
      <c r="D540" s="57">
        <v>45869</v>
      </c>
      <c r="F540" s="11">
        <v>1845.37</v>
      </c>
      <c r="G540" t="s">
        <v>3830</v>
      </c>
      <c r="H540" t="s">
        <v>125</v>
      </c>
      <c r="I540" s="11">
        <v>332.77</v>
      </c>
      <c r="J540" s="57">
        <v>45869</v>
      </c>
    </row>
    <row r="541" spans="1:10" hidden="1">
      <c r="A541" t="s">
        <v>3828</v>
      </c>
      <c r="B541" t="s">
        <v>3831</v>
      </c>
      <c r="C541" s="57">
        <v>45792</v>
      </c>
      <c r="D541" s="57">
        <v>45838</v>
      </c>
      <c r="F541" s="11">
        <v>370.39</v>
      </c>
      <c r="G541" t="s">
        <v>3832</v>
      </c>
      <c r="H541" t="s">
        <v>125</v>
      </c>
      <c r="I541" s="11">
        <v>66.790000000000006</v>
      </c>
      <c r="J541" s="57">
        <v>45838</v>
      </c>
    </row>
    <row r="542" spans="1:10" hidden="1">
      <c r="A542" t="s">
        <v>3833</v>
      </c>
      <c r="B542" t="s">
        <v>3341</v>
      </c>
      <c r="C542" s="57">
        <v>46021</v>
      </c>
      <c r="D542" s="57">
        <v>46021</v>
      </c>
      <c r="F542" s="11">
        <v>33.32</v>
      </c>
      <c r="G542" t="s">
        <v>1694</v>
      </c>
      <c r="H542" t="s">
        <v>3309</v>
      </c>
      <c r="I542" s="11">
        <v>6.01</v>
      </c>
      <c r="J542" s="57">
        <v>46081</v>
      </c>
    </row>
    <row r="543" spans="1:10" hidden="1">
      <c r="A543" t="s">
        <v>3833</v>
      </c>
      <c r="B543" t="s">
        <v>3844</v>
      </c>
      <c r="C543" s="57">
        <v>45991</v>
      </c>
      <c r="D543" s="57">
        <v>45991</v>
      </c>
      <c r="F543" s="11">
        <v>5</v>
      </c>
      <c r="G543" t="s">
        <v>3837</v>
      </c>
      <c r="H543" t="s">
        <v>3309</v>
      </c>
      <c r="I543" s="11">
        <v>0.9</v>
      </c>
      <c r="J543" s="57">
        <v>46051</v>
      </c>
    </row>
    <row r="544" spans="1:10" hidden="1">
      <c r="A544" t="s">
        <v>3833</v>
      </c>
      <c r="B544" t="s">
        <v>3850</v>
      </c>
      <c r="C544" s="57">
        <v>45991</v>
      </c>
      <c r="D544" s="57">
        <v>45991</v>
      </c>
      <c r="F544" s="11">
        <v>33.32</v>
      </c>
      <c r="G544" t="s">
        <v>1694</v>
      </c>
      <c r="H544" t="s">
        <v>3309</v>
      </c>
      <c r="I544" s="11">
        <v>6.01</v>
      </c>
      <c r="J544" s="57">
        <v>46051</v>
      </c>
    </row>
    <row r="545" spans="1:10" hidden="1">
      <c r="A545" t="s">
        <v>3833</v>
      </c>
      <c r="B545" t="s">
        <v>3849</v>
      </c>
      <c r="C545" s="57">
        <v>45960</v>
      </c>
      <c r="D545" s="57">
        <v>45960</v>
      </c>
      <c r="F545" s="11">
        <v>2.5</v>
      </c>
      <c r="G545" t="s">
        <v>3837</v>
      </c>
      <c r="H545" t="s">
        <v>3309</v>
      </c>
      <c r="I545" s="11">
        <v>0.45</v>
      </c>
      <c r="J545" s="57">
        <v>46020</v>
      </c>
    </row>
    <row r="546" spans="1:10" hidden="1">
      <c r="A546" t="s">
        <v>3833</v>
      </c>
      <c r="B546" t="s">
        <v>3848</v>
      </c>
      <c r="C546" s="57">
        <v>45960</v>
      </c>
      <c r="D546" s="57">
        <v>45960</v>
      </c>
      <c r="F546" s="11">
        <v>33.32</v>
      </c>
      <c r="G546" t="s">
        <v>1694</v>
      </c>
      <c r="H546" t="s">
        <v>3309</v>
      </c>
      <c r="I546" s="11">
        <v>6.01</v>
      </c>
      <c r="J546" s="57">
        <v>46020</v>
      </c>
    </row>
    <row r="547" spans="1:10" hidden="1">
      <c r="A547" t="s">
        <v>3833</v>
      </c>
      <c r="B547" t="s">
        <v>3847</v>
      </c>
      <c r="C547" s="57">
        <v>45930</v>
      </c>
      <c r="D547" s="57">
        <v>45930</v>
      </c>
      <c r="F547" s="11">
        <v>33.32</v>
      </c>
      <c r="G547" t="s">
        <v>1694</v>
      </c>
      <c r="H547" t="s">
        <v>3309</v>
      </c>
      <c r="I547" s="11">
        <v>6.01</v>
      </c>
      <c r="J547" s="57">
        <v>45990</v>
      </c>
    </row>
    <row r="548" spans="1:10" hidden="1">
      <c r="A548" t="s">
        <v>3833</v>
      </c>
      <c r="B548" t="s">
        <v>3846</v>
      </c>
      <c r="C548" s="57">
        <v>45899</v>
      </c>
      <c r="D548" s="57">
        <v>45899</v>
      </c>
      <c r="F548" s="11">
        <v>1.8</v>
      </c>
      <c r="G548" t="s">
        <v>3837</v>
      </c>
      <c r="H548" t="s">
        <v>3309</v>
      </c>
      <c r="I548" s="11">
        <v>0.32</v>
      </c>
      <c r="J548" s="57">
        <v>45959</v>
      </c>
    </row>
    <row r="549" spans="1:10" hidden="1">
      <c r="A549" t="s">
        <v>3833</v>
      </c>
      <c r="B549" t="s">
        <v>3845</v>
      </c>
      <c r="C549" s="57">
        <v>45899</v>
      </c>
      <c r="D549" s="57">
        <v>45899</v>
      </c>
      <c r="F549" s="11">
        <v>33.32</v>
      </c>
      <c r="G549" t="s">
        <v>1694</v>
      </c>
      <c r="H549" t="s">
        <v>3309</v>
      </c>
      <c r="I549" s="11">
        <v>6.01</v>
      </c>
      <c r="J549" s="57">
        <v>45959</v>
      </c>
    </row>
    <row r="550" spans="1:10" hidden="1">
      <c r="A550" t="s">
        <v>3833</v>
      </c>
      <c r="B550" t="s">
        <v>3851</v>
      </c>
      <c r="C550" s="57">
        <v>45868</v>
      </c>
      <c r="D550" s="57">
        <v>45868</v>
      </c>
      <c r="F550" s="11">
        <v>33.32</v>
      </c>
      <c r="G550" t="s">
        <v>1694</v>
      </c>
      <c r="H550" t="s">
        <v>3309</v>
      </c>
      <c r="I550" s="11">
        <v>6.01</v>
      </c>
      <c r="J550" s="57">
        <v>45928</v>
      </c>
    </row>
    <row r="551" spans="1:10" hidden="1">
      <c r="A551" t="s">
        <v>3833</v>
      </c>
      <c r="B551" t="s">
        <v>3843</v>
      </c>
      <c r="C551" s="57">
        <v>45838</v>
      </c>
      <c r="D551" s="57">
        <v>45838</v>
      </c>
      <c r="F551" s="11">
        <v>21.35</v>
      </c>
      <c r="G551" t="s">
        <v>1694</v>
      </c>
      <c r="H551" t="s">
        <v>3309</v>
      </c>
      <c r="I551" s="11">
        <v>3.85</v>
      </c>
      <c r="J551" s="57">
        <v>45898</v>
      </c>
    </row>
    <row r="552" spans="1:10" hidden="1">
      <c r="A552" t="s">
        <v>3833</v>
      </c>
      <c r="B552" t="s">
        <v>3834</v>
      </c>
      <c r="C552" s="57">
        <v>45807</v>
      </c>
      <c r="D552" s="57">
        <v>45807</v>
      </c>
      <c r="F552" s="11">
        <v>21.35</v>
      </c>
      <c r="G552" t="s">
        <v>1694</v>
      </c>
      <c r="H552" t="s">
        <v>3309</v>
      </c>
      <c r="I552" s="11">
        <v>3.85</v>
      </c>
      <c r="J552" s="57">
        <v>45867</v>
      </c>
    </row>
    <row r="553" spans="1:10" hidden="1">
      <c r="A553" t="s">
        <v>3833</v>
      </c>
      <c r="B553" t="s">
        <v>3842</v>
      </c>
      <c r="C553" s="57">
        <v>45777</v>
      </c>
      <c r="D553" s="57">
        <v>45777</v>
      </c>
      <c r="F553" s="11">
        <v>21.35</v>
      </c>
      <c r="G553" t="s">
        <v>1694</v>
      </c>
      <c r="H553" t="s">
        <v>3309</v>
      </c>
      <c r="I553" s="11">
        <v>3.85</v>
      </c>
      <c r="J553" s="57">
        <v>45837</v>
      </c>
    </row>
    <row r="554" spans="1:10" hidden="1">
      <c r="A554" t="s">
        <v>3833</v>
      </c>
      <c r="B554" t="s">
        <v>3841</v>
      </c>
      <c r="C554" s="57">
        <v>45746</v>
      </c>
      <c r="D554" s="57">
        <v>45746</v>
      </c>
      <c r="F554" s="11">
        <v>12.5</v>
      </c>
      <c r="G554" t="s">
        <v>3837</v>
      </c>
      <c r="H554" t="s">
        <v>3309</v>
      </c>
      <c r="I554" s="11">
        <v>2.25</v>
      </c>
      <c r="J554" s="57">
        <v>45806</v>
      </c>
    </row>
    <row r="555" spans="1:10" hidden="1">
      <c r="A555" t="s">
        <v>3833</v>
      </c>
      <c r="B555" t="s">
        <v>3840</v>
      </c>
      <c r="C555" s="57">
        <v>45746</v>
      </c>
      <c r="D555" s="57">
        <v>45746</v>
      </c>
      <c r="F555" s="11">
        <v>21.35</v>
      </c>
      <c r="G555" t="s">
        <v>1694</v>
      </c>
      <c r="H555" t="s">
        <v>3309</v>
      </c>
      <c r="I555" s="11">
        <v>3.85</v>
      </c>
      <c r="J555" s="57">
        <v>45806</v>
      </c>
    </row>
    <row r="556" spans="1:10" hidden="1">
      <c r="A556" t="s">
        <v>3833</v>
      </c>
      <c r="B556" t="s">
        <v>3838</v>
      </c>
      <c r="C556" s="57">
        <v>45716</v>
      </c>
      <c r="D556" s="57">
        <v>45716</v>
      </c>
      <c r="F556" s="11">
        <v>52.34</v>
      </c>
      <c r="G556" t="s">
        <v>3839</v>
      </c>
      <c r="H556" t="s">
        <v>3309</v>
      </c>
      <c r="I556" s="11">
        <v>3.85</v>
      </c>
      <c r="J556" s="57">
        <v>45776</v>
      </c>
    </row>
    <row r="557" spans="1:10" hidden="1">
      <c r="A557" t="s">
        <v>3833</v>
      </c>
      <c r="B557" t="s">
        <v>3836</v>
      </c>
      <c r="C557" s="57">
        <v>45687</v>
      </c>
      <c r="D557" s="57">
        <v>45687</v>
      </c>
      <c r="F557" s="11">
        <v>6</v>
      </c>
      <c r="G557" t="s">
        <v>3837</v>
      </c>
      <c r="H557" t="s">
        <v>3309</v>
      </c>
      <c r="I557" s="11">
        <v>1.08</v>
      </c>
      <c r="J557" s="57">
        <v>45747</v>
      </c>
    </row>
    <row r="558" spans="1:10" hidden="1">
      <c r="A558" t="s">
        <v>3833</v>
      </c>
      <c r="B558" t="s">
        <v>3835</v>
      </c>
      <c r="C558" s="57">
        <v>45687</v>
      </c>
      <c r="D558" s="57">
        <v>45687</v>
      </c>
      <c r="F558" s="11">
        <v>21.35</v>
      </c>
      <c r="G558" t="s">
        <v>1694</v>
      </c>
      <c r="H558" t="s">
        <v>3309</v>
      </c>
      <c r="I558" s="11">
        <v>3.85</v>
      </c>
      <c r="J558" s="57">
        <v>45747</v>
      </c>
    </row>
    <row r="559" spans="1:10" hidden="1">
      <c r="A559" t="s">
        <v>3833</v>
      </c>
      <c r="B559" t="s">
        <v>4173</v>
      </c>
      <c r="C559" s="57">
        <v>46052</v>
      </c>
      <c r="D559" s="57">
        <v>46052</v>
      </c>
      <c r="F559" s="11">
        <v>7</v>
      </c>
      <c r="G559" t="s">
        <v>3837</v>
      </c>
      <c r="H559" t="s">
        <v>3309</v>
      </c>
      <c r="I559" s="11">
        <v>1.26</v>
      </c>
      <c r="J559" s="57">
        <v>46112</v>
      </c>
    </row>
    <row r="560" spans="1:10" hidden="1">
      <c r="A560" t="s">
        <v>3833</v>
      </c>
      <c r="B560" t="s">
        <v>4175</v>
      </c>
      <c r="C560" s="57">
        <v>46052</v>
      </c>
      <c r="D560" s="57">
        <v>46052</v>
      </c>
      <c r="F560" s="11">
        <v>33.32</v>
      </c>
      <c r="G560" t="s">
        <v>1694</v>
      </c>
      <c r="H560" t="s">
        <v>3309</v>
      </c>
      <c r="I560" s="11">
        <v>6.01</v>
      </c>
      <c r="J560" s="57">
        <v>46112</v>
      </c>
    </row>
    <row r="561" spans="1:10" hidden="1">
      <c r="A561" t="s">
        <v>3833</v>
      </c>
      <c r="B561" t="s">
        <v>4312</v>
      </c>
      <c r="C561" s="57">
        <v>46081</v>
      </c>
      <c r="D561" s="57">
        <v>46081</v>
      </c>
      <c r="F561" s="11">
        <v>10</v>
      </c>
      <c r="G561" t="s">
        <v>3837</v>
      </c>
      <c r="H561" t="s">
        <v>3309</v>
      </c>
      <c r="I561" s="11">
        <v>1.8</v>
      </c>
      <c r="J561" s="57">
        <v>46141</v>
      </c>
    </row>
    <row r="562" spans="1:10" hidden="1">
      <c r="A562" t="s">
        <v>3833</v>
      </c>
      <c r="B562" t="s">
        <v>4314</v>
      </c>
      <c r="C562" s="57">
        <v>46081</v>
      </c>
      <c r="D562" s="57">
        <v>46081</v>
      </c>
      <c r="F562" s="11">
        <v>91.31</v>
      </c>
      <c r="G562" t="s">
        <v>4315</v>
      </c>
      <c r="H562" t="s">
        <v>3309</v>
      </c>
      <c r="I562" s="11">
        <v>6.01</v>
      </c>
      <c r="J562" s="57">
        <v>46141</v>
      </c>
    </row>
    <row r="563" spans="1:10" hidden="1">
      <c r="A563" t="s">
        <v>3852</v>
      </c>
      <c r="B563" t="s">
        <v>1721</v>
      </c>
      <c r="C563" s="57">
        <v>45971</v>
      </c>
      <c r="D563" s="57">
        <v>45971</v>
      </c>
      <c r="F563" s="11">
        <v>1465</v>
      </c>
      <c r="G563" t="s">
        <v>3856</v>
      </c>
      <c r="H563" t="s">
        <v>3314</v>
      </c>
      <c r="I563" s="11">
        <v>0</v>
      </c>
      <c r="J563" s="57">
        <v>46031</v>
      </c>
    </row>
    <row r="564" spans="1:10" hidden="1">
      <c r="A564" t="s">
        <v>3852</v>
      </c>
      <c r="B564" t="s">
        <v>1716</v>
      </c>
      <c r="C564" s="57">
        <v>45862</v>
      </c>
      <c r="D564" s="57">
        <v>45930</v>
      </c>
      <c r="F564" s="11">
        <v>1465</v>
      </c>
      <c r="G564" t="s">
        <v>3855</v>
      </c>
      <c r="H564" t="s">
        <v>3314</v>
      </c>
      <c r="I564" s="11">
        <v>0</v>
      </c>
      <c r="J564" s="57">
        <v>45930</v>
      </c>
    </row>
    <row r="565" spans="1:10" hidden="1">
      <c r="A565" t="s">
        <v>3852</v>
      </c>
      <c r="B565" t="s">
        <v>1445</v>
      </c>
      <c r="C565" s="57">
        <v>45835</v>
      </c>
      <c r="D565" s="57">
        <v>45930</v>
      </c>
      <c r="F565" s="11">
        <v>1465</v>
      </c>
      <c r="G565" t="s">
        <v>3855</v>
      </c>
      <c r="H565" t="s">
        <v>3314</v>
      </c>
      <c r="I565" s="11">
        <v>0</v>
      </c>
      <c r="J565" s="57">
        <v>45930</v>
      </c>
    </row>
    <row r="566" spans="1:10" hidden="1">
      <c r="A566" t="s">
        <v>3852</v>
      </c>
      <c r="B566" t="s">
        <v>1712</v>
      </c>
      <c r="C566" s="57">
        <v>45833</v>
      </c>
      <c r="D566" s="57">
        <v>45817</v>
      </c>
      <c r="F566" s="11">
        <v>1000</v>
      </c>
      <c r="G566" t="s">
        <v>3854</v>
      </c>
      <c r="H566" t="s">
        <v>3314</v>
      </c>
      <c r="I566" s="11">
        <v>0</v>
      </c>
      <c r="J566" s="57">
        <v>45817</v>
      </c>
    </row>
    <row r="567" spans="1:10" hidden="1">
      <c r="A567" t="s">
        <v>3852</v>
      </c>
      <c r="B567" t="s">
        <v>1712</v>
      </c>
      <c r="C567" s="57">
        <v>45833</v>
      </c>
      <c r="D567" s="57">
        <v>45833</v>
      </c>
      <c r="F567" s="11">
        <v>1000</v>
      </c>
      <c r="G567" t="s">
        <v>3854</v>
      </c>
      <c r="H567" t="s">
        <v>3314</v>
      </c>
      <c r="I567" s="11">
        <v>0</v>
      </c>
      <c r="J567" s="57">
        <v>45893</v>
      </c>
    </row>
    <row r="568" spans="1:10" hidden="1">
      <c r="A568" t="s">
        <v>3852</v>
      </c>
      <c r="B568" t="s">
        <v>893</v>
      </c>
      <c r="C568" s="57">
        <v>45687</v>
      </c>
      <c r="D568" s="57">
        <v>45757</v>
      </c>
      <c r="F568" s="11">
        <v>8123.5</v>
      </c>
      <c r="G568" t="s">
        <v>3853</v>
      </c>
      <c r="H568" t="s">
        <v>3314</v>
      </c>
      <c r="I568" s="11">
        <v>0</v>
      </c>
      <c r="J568" s="57">
        <v>45757</v>
      </c>
    </row>
    <row r="569" spans="1:10" hidden="1">
      <c r="A569" t="s">
        <v>3852</v>
      </c>
      <c r="B569" t="s">
        <v>893</v>
      </c>
      <c r="C569" s="57">
        <v>45687</v>
      </c>
      <c r="D569" s="57">
        <v>45787</v>
      </c>
      <c r="F569" s="11">
        <v>8123.5</v>
      </c>
      <c r="G569" t="s">
        <v>3853</v>
      </c>
      <c r="H569" t="s">
        <v>3314</v>
      </c>
      <c r="I569" s="11">
        <v>0</v>
      </c>
      <c r="J569" s="57">
        <v>45787</v>
      </c>
    </row>
    <row r="570" spans="1:10" hidden="1">
      <c r="A570" t="s">
        <v>3857</v>
      </c>
      <c r="B570" t="s">
        <v>1760</v>
      </c>
      <c r="C570" s="57">
        <v>46004</v>
      </c>
      <c r="D570" s="57">
        <v>46035</v>
      </c>
      <c r="F570" s="11">
        <v>56.33</v>
      </c>
      <c r="G570" t="s">
        <v>3871</v>
      </c>
      <c r="H570" t="s">
        <v>3309</v>
      </c>
      <c r="I570" s="11">
        <v>10.16</v>
      </c>
      <c r="J570" s="57">
        <v>46035</v>
      </c>
    </row>
    <row r="571" spans="1:10" hidden="1">
      <c r="A571" t="s">
        <v>3857</v>
      </c>
      <c r="B571" t="s">
        <v>1762</v>
      </c>
      <c r="C571" s="57">
        <v>46004</v>
      </c>
      <c r="D571" s="57">
        <v>46035</v>
      </c>
      <c r="F571" s="11">
        <v>27.94</v>
      </c>
      <c r="G571" t="s">
        <v>3870</v>
      </c>
      <c r="H571" t="s">
        <v>3309</v>
      </c>
      <c r="I571" s="11">
        <v>5.0399999999999991</v>
      </c>
      <c r="J571" s="57">
        <v>46035</v>
      </c>
    </row>
    <row r="572" spans="1:10" hidden="1">
      <c r="A572" t="s">
        <v>3857</v>
      </c>
      <c r="B572" t="s">
        <v>1755</v>
      </c>
      <c r="C572" s="57">
        <v>45972</v>
      </c>
      <c r="D572" s="57">
        <v>46002</v>
      </c>
      <c r="F572" s="11">
        <v>22.95</v>
      </c>
      <c r="G572" t="s">
        <v>3868</v>
      </c>
      <c r="H572" t="s">
        <v>3869</v>
      </c>
      <c r="I572" s="11">
        <v>4.1399999999999997</v>
      </c>
      <c r="J572" s="57">
        <v>46002</v>
      </c>
    </row>
    <row r="573" spans="1:10" hidden="1">
      <c r="A573" t="s">
        <v>3857</v>
      </c>
      <c r="B573" t="s">
        <v>1758</v>
      </c>
      <c r="C573" s="57">
        <v>45972</v>
      </c>
      <c r="D573" s="57">
        <v>46002</v>
      </c>
      <c r="F573" s="11">
        <v>27.94</v>
      </c>
      <c r="G573" t="s">
        <v>3867</v>
      </c>
      <c r="H573" t="s">
        <v>3309</v>
      </c>
      <c r="I573" s="11">
        <v>5.0399999999999991</v>
      </c>
      <c r="J573" s="57">
        <v>46002</v>
      </c>
    </row>
    <row r="574" spans="1:10" hidden="1">
      <c r="A574" t="s">
        <v>3857</v>
      </c>
      <c r="B574" t="s">
        <v>1753</v>
      </c>
      <c r="C574" s="57">
        <v>45939</v>
      </c>
      <c r="D574" s="57">
        <v>45971</v>
      </c>
      <c r="F574" s="11">
        <v>27.94</v>
      </c>
      <c r="G574" t="s">
        <v>3866</v>
      </c>
      <c r="H574" t="s">
        <v>3309</v>
      </c>
      <c r="I574" s="11">
        <v>5.0399999999999991</v>
      </c>
      <c r="J574" s="57">
        <v>45971</v>
      </c>
    </row>
    <row r="575" spans="1:10" hidden="1">
      <c r="A575" t="s">
        <v>3857</v>
      </c>
      <c r="B575" t="s">
        <v>1751</v>
      </c>
      <c r="C575" s="57">
        <v>45911</v>
      </c>
      <c r="D575" s="57">
        <v>45943</v>
      </c>
      <c r="F575" s="11">
        <v>28.51</v>
      </c>
      <c r="G575" t="s">
        <v>3865</v>
      </c>
      <c r="H575" t="s">
        <v>3309</v>
      </c>
      <c r="I575" s="11">
        <v>5.1400000000000006</v>
      </c>
      <c r="J575" s="57">
        <v>45943</v>
      </c>
    </row>
    <row r="576" spans="1:10" hidden="1">
      <c r="A576" t="s">
        <v>3857</v>
      </c>
      <c r="B576" t="s">
        <v>1748</v>
      </c>
      <c r="C576" s="57">
        <v>45880</v>
      </c>
      <c r="D576" s="57">
        <v>45911</v>
      </c>
      <c r="F576" s="11">
        <v>27.94</v>
      </c>
      <c r="G576" t="s">
        <v>3872</v>
      </c>
      <c r="H576" t="s">
        <v>3309</v>
      </c>
      <c r="I576" s="11">
        <v>5.0399999999999991</v>
      </c>
      <c r="J576" s="57">
        <v>45911</v>
      </c>
    </row>
    <row r="577" spans="1:10" hidden="1">
      <c r="A577" t="s">
        <v>3857</v>
      </c>
      <c r="B577" t="s">
        <v>1743</v>
      </c>
      <c r="C577" s="57">
        <v>45848</v>
      </c>
      <c r="D577" s="57">
        <v>45880</v>
      </c>
      <c r="F577" s="11">
        <v>30.52</v>
      </c>
      <c r="G577" t="s">
        <v>3863</v>
      </c>
      <c r="H577" t="s">
        <v>3309</v>
      </c>
      <c r="I577" s="11">
        <v>5.5</v>
      </c>
      <c r="J577" s="57">
        <v>45880</v>
      </c>
    </row>
    <row r="578" spans="1:10" hidden="1">
      <c r="A578" t="s">
        <v>3857</v>
      </c>
      <c r="B578" t="s">
        <v>1746</v>
      </c>
      <c r="C578" s="57">
        <v>45819</v>
      </c>
      <c r="D578" s="57">
        <v>45852</v>
      </c>
      <c r="F578" s="11">
        <v>27.94</v>
      </c>
      <c r="G578" t="s">
        <v>3862</v>
      </c>
      <c r="H578" t="s">
        <v>3309</v>
      </c>
      <c r="I578" s="11">
        <v>5.0399999999999991</v>
      </c>
      <c r="J578" s="57">
        <v>45852</v>
      </c>
    </row>
    <row r="579" spans="1:10" hidden="1">
      <c r="A579" t="s">
        <v>3857</v>
      </c>
      <c r="B579" t="s">
        <v>1741</v>
      </c>
      <c r="C579" s="57">
        <v>45787</v>
      </c>
      <c r="D579" s="57">
        <v>45818</v>
      </c>
      <c r="F579" s="11">
        <v>27.94</v>
      </c>
      <c r="G579" t="s">
        <v>3861</v>
      </c>
      <c r="H579" t="s">
        <v>3309</v>
      </c>
      <c r="I579" s="11">
        <v>5.0399999999999991</v>
      </c>
      <c r="J579" s="57">
        <v>45818</v>
      </c>
    </row>
    <row r="580" spans="1:10" hidden="1">
      <c r="A580" t="s">
        <v>3857</v>
      </c>
      <c r="B580" t="s">
        <v>1739</v>
      </c>
      <c r="C580" s="57">
        <v>45757</v>
      </c>
      <c r="D580" s="57">
        <v>45789</v>
      </c>
      <c r="F580" s="11">
        <v>27.94</v>
      </c>
      <c r="G580" t="s">
        <v>3860</v>
      </c>
      <c r="H580" t="s">
        <v>3309</v>
      </c>
      <c r="I580" s="11">
        <v>5.0399999999999991</v>
      </c>
      <c r="J580" s="57">
        <v>45789</v>
      </c>
    </row>
    <row r="581" spans="1:10" hidden="1">
      <c r="A581" t="s">
        <v>3857</v>
      </c>
      <c r="B581" t="s">
        <v>1736</v>
      </c>
      <c r="C581" s="57">
        <v>45727</v>
      </c>
      <c r="D581" s="57">
        <v>45758</v>
      </c>
      <c r="F581" s="11">
        <v>27.94</v>
      </c>
      <c r="G581" t="s">
        <v>3859</v>
      </c>
      <c r="H581" t="s">
        <v>3309</v>
      </c>
      <c r="I581" s="11">
        <v>5.0399999999999991</v>
      </c>
      <c r="J581" s="57">
        <v>45758</v>
      </c>
    </row>
    <row r="582" spans="1:10" hidden="1">
      <c r="A582" t="s">
        <v>3857</v>
      </c>
      <c r="B582" t="s">
        <v>1734</v>
      </c>
      <c r="C582" s="57">
        <v>45699</v>
      </c>
      <c r="D582" s="57">
        <v>45730</v>
      </c>
      <c r="F582" s="11">
        <v>27.94</v>
      </c>
      <c r="G582" t="s">
        <v>3864</v>
      </c>
      <c r="H582" t="s">
        <v>3309</v>
      </c>
      <c r="I582" s="11">
        <v>5.0399999999999991</v>
      </c>
      <c r="J582" s="57">
        <v>45730</v>
      </c>
    </row>
    <row r="583" spans="1:10" hidden="1">
      <c r="A583" t="s">
        <v>3857</v>
      </c>
      <c r="B583" t="s">
        <v>1731</v>
      </c>
      <c r="C583" s="57">
        <v>45670</v>
      </c>
      <c r="D583" s="57">
        <v>45701</v>
      </c>
      <c r="F583" s="11">
        <v>27.94</v>
      </c>
      <c r="G583" t="s">
        <v>3858</v>
      </c>
      <c r="H583" t="s">
        <v>3309</v>
      </c>
      <c r="I583" s="11">
        <v>5.0399999999999991</v>
      </c>
      <c r="J583" s="57">
        <v>45701</v>
      </c>
    </row>
    <row r="584" spans="1:10" hidden="1">
      <c r="A584" t="s">
        <v>3857</v>
      </c>
      <c r="B584" t="s">
        <v>4124</v>
      </c>
      <c r="C584" s="57">
        <v>46035</v>
      </c>
      <c r="D584" s="57">
        <v>46066</v>
      </c>
      <c r="F584" s="11">
        <v>29.39</v>
      </c>
      <c r="G584" t="s">
        <v>4125</v>
      </c>
      <c r="H584" t="s">
        <v>3309</v>
      </c>
      <c r="I584" s="11">
        <v>5.3</v>
      </c>
      <c r="J584" s="57">
        <v>46066</v>
      </c>
    </row>
    <row r="585" spans="1:10" hidden="1">
      <c r="A585" t="s">
        <v>3857</v>
      </c>
      <c r="B585" t="s">
        <v>4126</v>
      </c>
      <c r="C585" s="57">
        <v>46035</v>
      </c>
      <c r="D585" s="57">
        <v>46066</v>
      </c>
      <c r="F585" s="11">
        <v>27.94</v>
      </c>
      <c r="G585" t="s">
        <v>4127</v>
      </c>
      <c r="H585" t="s">
        <v>3309</v>
      </c>
      <c r="I585" s="11">
        <v>5.0399999999999991</v>
      </c>
      <c r="J585" s="57">
        <v>46066</v>
      </c>
    </row>
    <row r="586" spans="1:10" hidden="1">
      <c r="A586" t="s">
        <v>3857</v>
      </c>
      <c r="B586" t="s">
        <v>4252</v>
      </c>
      <c r="C586" s="57">
        <v>46064</v>
      </c>
      <c r="D586" s="57">
        <v>46097</v>
      </c>
      <c r="F586" s="11">
        <v>45.65</v>
      </c>
      <c r="G586" t="s">
        <v>4253</v>
      </c>
      <c r="H586" t="s">
        <v>3309</v>
      </c>
      <c r="I586" s="11">
        <v>8.23</v>
      </c>
      <c r="J586" s="57">
        <v>46097</v>
      </c>
    </row>
    <row r="587" spans="1:10" hidden="1">
      <c r="A587" t="s">
        <v>3857</v>
      </c>
      <c r="B587" t="s">
        <v>4254</v>
      </c>
      <c r="C587" s="57">
        <v>46064</v>
      </c>
      <c r="D587" s="57">
        <v>46097</v>
      </c>
      <c r="F587" s="11">
        <v>31.48</v>
      </c>
      <c r="G587" t="s">
        <v>4255</v>
      </c>
      <c r="H587" t="s">
        <v>3309</v>
      </c>
      <c r="I587" s="11">
        <v>5.68</v>
      </c>
      <c r="J587" s="57">
        <v>46097</v>
      </c>
    </row>
    <row r="588" spans="1:10" hidden="1">
      <c r="A588" t="s">
        <v>1764</v>
      </c>
      <c r="B588" t="s">
        <v>1765</v>
      </c>
      <c r="C588" s="57">
        <v>45693</v>
      </c>
      <c r="D588" s="57">
        <v>45716</v>
      </c>
      <c r="F588" s="11">
        <v>5130.24</v>
      </c>
      <c r="G588" t="s">
        <v>4065</v>
      </c>
      <c r="H588" t="s">
        <v>3314</v>
      </c>
      <c r="I588" s="11">
        <v>1098.24</v>
      </c>
      <c r="J588" s="57">
        <v>45716</v>
      </c>
    </row>
    <row r="589" spans="1:10" hidden="1">
      <c r="A589" t="s">
        <v>1768</v>
      </c>
      <c r="B589" t="s">
        <v>1774</v>
      </c>
      <c r="C589" s="57">
        <v>45966</v>
      </c>
      <c r="F589" s="11">
        <v>20</v>
      </c>
      <c r="G589" t="s">
        <v>4066</v>
      </c>
      <c r="H589" t="s">
        <v>350</v>
      </c>
      <c r="I589" s="11">
        <v>1.82</v>
      </c>
    </row>
    <row r="590" spans="1:10" hidden="1">
      <c r="A590" t="s">
        <v>1768</v>
      </c>
      <c r="B590" t="s">
        <v>1771</v>
      </c>
      <c r="C590" s="57">
        <v>45849</v>
      </c>
      <c r="F590" s="11">
        <v>20</v>
      </c>
      <c r="G590" t="s">
        <v>4067</v>
      </c>
      <c r="H590" t="s">
        <v>350</v>
      </c>
      <c r="I590" s="11">
        <v>1.82</v>
      </c>
    </row>
    <row r="591" spans="1:10" hidden="1">
      <c r="A591" t="s">
        <v>1768</v>
      </c>
      <c r="B591" t="s">
        <v>1769</v>
      </c>
      <c r="C591" s="57">
        <v>45730</v>
      </c>
      <c r="F591" s="11">
        <v>20</v>
      </c>
      <c r="G591" t="s">
        <v>4067</v>
      </c>
      <c r="H591" t="s">
        <v>350</v>
      </c>
      <c r="I591" s="11">
        <v>1.82</v>
      </c>
    </row>
    <row r="592" spans="1:10" hidden="1">
      <c r="A592" t="s">
        <v>3873</v>
      </c>
      <c r="B592" t="s">
        <v>3874</v>
      </c>
      <c r="C592" s="57">
        <v>45838</v>
      </c>
      <c r="D592" s="57">
        <v>45845</v>
      </c>
      <c r="F592" s="11">
        <v>70000</v>
      </c>
      <c r="G592" t="s">
        <v>3875</v>
      </c>
      <c r="H592" t="s">
        <v>3314</v>
      </c>
      <c r="I592" s="11">
        <v>0</v>
      </c>
      <c r="J592" s="57">
        <v>45845</v>
      </c>
    </row>
    <row r="593" spans="1:10" hidden="1">
      <c r="A593" t="s">
        <v>3873</v>
      </c>
      <c r="B593" t="s">
        <v>3876</v>
      </c>
      <c r="C593" s="57">
        <v>45838</v>
      </c>
      <c r="D593" s="57">
        <v>45845</v>
      </c>
      <c r="F593" s="11">
        <v>30000</v>
      </c>
      <c r="G593" t="s">
        <v>3875</v>
      </c>
      <c r="H593" t="s">
        <v>3314</v>
      </c>
      <c r="I593" s="11">
        <v>0</v>
      </c>
      <c r="J593" s="57">
        <v>45845</v>
      </c>
    </row>
    <row r="594" spans="1:10" hidden="1">
      <c r="A594" t="s">
        <v>3877</v>
      </c>
      <c r="B594" t="s">
        <v>1803</v>
      </c>
      <c r="C594" s="57">
        <v>45787</v>
      </c>
      <c r="D594" s="57">
        <v>45787</v>
      </c>
      <c r="F594" s="11">
        <v>122.3</v>
      </c>
      <c r="G594" t="s">
        <v>3878</v>
      </c>
      <c r="H594" t="s">
        <v>350</v>
      </c>
      <c r="I594" s="11">
        <v>11.12</v>
      </c>
      <c r="J594" s="57">
        <v>45847</v>
      </c>
    </row>
    <row r="595" spans="1:10" hidden="1">
      <c r="A595" t="s">
        <v>3879</v>
      </c>
      <c r="B595" t="s">
        <v>3880</v>
      </c>
      <c r="C595" s="57">
        <v>45687</v>
      </c>
      <c r="D595" s="57">
        <v>45687</v>
      </c>
      <c r="F595" s="11">
        <v>1.2</v>
      </c>
      <c r="G595" t="s">
        <v>3336</v>
      </c>
      <c r="H595" t="s">
        <v>3309</v>
      </c>
      <c r="I595" s="11">
        <v>0.22</v>
      </c>
      <c r="J595" s="57">
        <v>45747</v>
      </c>
    </row>
    <row r="596" spans="1:10" hidden="1">
      <c r="A596" t="s">
        <v>1808</v>
      </c>
      <c r="B596" t="s">
        <v>1809</v>
      </c>
      <c r="C596" s="57">
        <v>45695</v>
      </c>
      <c r="D596" s="57">
        <v>45695</v>
      </c>
      <c r="F596" s="11">
        <v>1682</v>
      </c>
      <c r="G596" t="s">
        <v>4068</v>
      </c>
      <c r="H596" t="s">
        <v>3314</v>
      </c>
      <c r="I596" s="11">
        <v>303.31</v>
      </c>
      <c r="J596" s="57">
        <v>45755</v>
      </c>
    </row>
    <row r="597" spans="1:10" hidden="1">
      <c r="A597" t="s">
        <v>3881</v>
      </c>
      <c r="B597" t="s">
        <v>1813</v>
      </c>
      <c r="C597" s="57">
        <v>45693</v>
      </c>
      <c r="D597" s="57">
        <v>45693</v>
      </c>
      <c r="F597" s="11">
        <v>108.01</v>
      </c>
      <c r="G597" t="s">
        <v>3882</v>
      </c>
      <c r="H597" t="s">
        <v>350</v>
      </c>
      <c r="I597" s="11">
        <v>19.48</v>
      </c>
      <c r="J597" s="57">
        <v>45753</v>
      </c>
    </row>
    <row r="598" spans="1:10" hidden="1">
      <c r="A598" t="s">
        <v>3883</v>
      </c>
      <c r="B598" t="s">
        <v>1853</v>
      </c>
      <c r="C598" s="57">
        <v>45994</v>
      </c>
      <c r="D598" s="57">
        <v>46024</v>
      </c>
      <c r="F598" s="11">
        <v>223.98</v>
      </c>
      <c r="G598" t="s">
        <v>3892</v>
      </c>
      <c r="H598" t="s">
        <v>3886</v>
      </c>
      <c r="I598" s="11">
        <v>22.74</v>
      </c>
      <c r="J598" s="57">
        <v>46024</v>
      </c>
    </row>
    <row r="599" spans="1:10" hidden="1">
      <c r="A599" t="s">
        <v>3883</v>
      </c>
      <c r="B599" t="s">
        <v>1850</v>
      </c>
      <c r="C599" s="57">
        <v>45986</v>
      </c>
      <c r="D599" s="57">
        <v>46020</v>
      </c>
      <c r="F599" s="11">
        <v>11.06</v>
      </c>
      <c r="G599" t="s">
        <v>3893</v>
      </c>
      <c r="H599" t="s">
        <v>3886</v>
      </c>
      <c r="I599" s="11">
        <v>0.11</v>
      </c>
      <c r="J599" s="57">
        <v>46020</v>
      </c>
    </row>
    <row r="600" spans="1:10" hidden="1">
      <c r="A600" t="s">
        <v>3883</v>
      </c>
      <c r="B600" t="s">
        <v>1847</v>
      </c>
      <c r="C600" s="57">
        <v>45979</v>
      </c>
      <c r="F600" s="11">
        <v>0</v>
      </c>
      <c r="G600" t="s">
        <v>3894</v>
      </c>
      <c r="H600" t="s">
        <v>3344</v>
      </c>
      <c r="I600" s="11">
        <v>1.98</v>
      </c>
    </row>
    <row r="601" spans="1:10" hidden="1">
      <c r="A601" t="s">
        <v>3883</v>
      </c>
      <c r="B601" t="s">
        <v>1843</v>
      </c>
      <c r="C601" s="57">
        <v>45919</v>
      </c>
      <c r="D601" s="57">
        <v>45950</v>
      </c>
      <c r="F601" s="11">
        <v>752.58</v>
      </c>
      <c r="G601" t="s">
        <v>3895</v>
      </c>
      <c r="H601" t="s">
        <v>3886</v>
      </c>
      <c r="I601" s="11">
        <v>69.510000000000005</v>
      </c>
      <c r="J601" s="57">
        <v>45950</v>
      </c>
    </row>
    <row r="602" spans="1:10" hidden="1">
      <c r="A602" t="s">
        <v>3883</v>
      </c>
      <c r="B602" t="s">
        <v>1843</v>
      </c>
      <c r="C602" s="57">
        <v>45919</v>
      </c>
      <c r="D602" s="57">
        <v>45950</v>
      </c>
      <c r="F602" s="11">
        <v>188</v>
      </c>
      <c r="G602" t="s">
        <v>3895</v>
      </c>
      <c r="H602" t="s">
        <v>3886</v>
      </c>
      <c r="I602" s="11">
        <v>69.510000000000005</v>
      </c>
      <c r="J602" s="57">
        <v>45950</v>
      </c>
    </row>
    <row r="603" spans="1:10" hidden="1">
      <c r="A603" t="s">
        <v>3883</v>
      </c>
      <c r="B603" t="s">
        <v>1843</v>
      </c>
      <c r="C603" s="57">
        <v>45919</v>
      </c>
      <c r="D603" s="57">
        <v>46042</v>
      </c>
      <c r="F603" s="11">
        <v>188</v>
      </c>
      <c r="G603" t="s">
        <v>3895</v>
      </c>
      <c r="H603" t="s">
        <v>3886</v>
      </c>
      <c r="I603" s="11">
        <v>69.510000000000005</v>
      </c>
      <c r="J603" s="57">
        <v>46042</v>
      </c>
    </row>
    <row r="604" spans="1:10" hidden="1">
      <c r="A604" t="s">
        <v>3883</v>
      </c>
      <c r="B604" t="s">
        <v>1843</v>
      </c>
      <c r="C604" s="57">
        <v>45919</v>
      </c>
      <c r="D604" s="57">
        <v>46132</v>
      </c>
      <c r="F604" s="11">
        <v>188</v>
      </c>
      <c r="G604" t="s">
        <v>3895</v>
      </c>
      <c r="H604" t="s">
        <v>3886</v>
      </c>
      <c r="I604" s="11">
        <v>69.510000000000005</v>
      </c>
      <c r="J604" s="57">
        <v>46132</v>
      </c>
    </row>
    <row r="605" spans="1:10" hidden="1">
      <c r="A605" t="s">
        <v>3883</v>
      </c>
      <c r="B605" t="s">
        <v>1843</v>
      </c>
      <c r="C605" s="57">
        <v>45919</v>
      </c>
      <c r="D605" s="57">
        <v>46223</v>
      </c>
      <c r="F605" s="11">
        <v>188.58</v>
      </c>
      <c r="G605" t="s">
        <v>3895</v>
      </c>
      <c r="H605" t="s">
        <v>3886</v>
      </c>
      <c r="I605" s="11">
        <v>69.510000000000005</v>
      </c>
      <c r="J605" s="57">
        <v>46223</v>
      </c>
    </row>
    <row r="606" spans="1:10" hidden="1">
      <c r="A606" t="s">
        <v>3883</v>
      </c>
      <c r="B606" t="s">
        <v>1822</v>
      </c>
      <c r="C606" s="57">
        <v>45874</v>
      </c>
      <c r="D606" s="57">
        <v>45904</v>
      </c>
      <c r="F606" s="11">
        <v>30.19</v>
      </c>
      <c r="G606" t="s">
        <v>3890</v>
      </c>
      <c r="H606" t="s">
        <v>3886</v>
      </c>
      <c r="I606" s="11">
        <v>1.73</v>
      </c>
      <c r="J606" s="57">
        <v>45904</v>
      </c>
    </row>
    <row r="607" spans="1:10" hidden="1">
      <c r="A607" t="s">
        <v>3883</v>
      </c>
      <c r="B607" t="s">
        <v>1819</v>
      </c>
      <c r="C607" s="57">
        <v>45805</v>
      </c>
      <c r="F607" s="11">
        <v>0</v>
      </c>
      <c r="G607" t="s">
        <v>3891</v>
      </c>
      <c r="H607" t="s">
        <v>3344</v>
      </c>
      <c r="I607" s="11">
        <v>0.94</v>
      </c>
    </row>
    <row r="608" spans="1:10" hidden="1">
      <c r="A608" t="s">
        <v>3883</v>
      </c>
      <c r="B608" t="s">
        <v>1840</v>
      </c>
      <c r="C608" s="57">
        <v>45805</v>
      </c>
      <c r="D608" s="57">
        <v>45835</v>
      </c>
      <c r="E608" t="s">
        <v>4191</v>
      </c>
      <c r="F608" s="11">
        <v>353.3</v>
      </c>
      <c r="G608" t="s">
        <v>3889</v>
      </c>
      <c r="H608" t="s">
        <v>3886</v>
      </c>
      <c r="I608" s="11">
        <v>30.53</v>
      </c>
      <c r="J608" s="57">
        <v>45835</v>
      </c>
    </row>
    <row r="609" spans="1:10" hidden="1">
      <c r="A609" t="s">
        <v>3883</v>
      </c>
      <c r="B609" t="s">
        <v>1840</v>
      </c>
      <c r="C609" s="57">
        <v>45805</v>
      </c>
      <c r="D609" s="57">
        <v>45835</v>
      </c>
      <c r="E609" t="s">
        <v>4191</v>
      </c>
      <c r="F609" s="11">
        <v>88</v>
      </c>
      <c r="G609" t="s">
        <v>3889</v>
      </c>
      <c r="H609" t="s">
        <v>3886</v>
      </c>
      <c r="I609" s="11">
        <v>30.53</v>
      </c>
      <c r="J609" s="57">
        <v>45835</v>
      </c>
    </row>
    <row r="610" spans="1:10" hidden="1">
      <c r="A610" t="s">
        <v>3883</v>
      </c>
      <c r="B610" t="s">
        <v>1840</v>
      </c>
      <c r="C610" s="57">
        <v>45805</v>
      </c>
      <c r="D610" s="57">
        <v>45929</v>
      </c>
      <c r="E610" t="s">
        <v>4191</v>
      </c>
      <c r="F610" s="11">
        <v>88</v>
      </c>
      <c r="G610" t="s">
        <v>3889</v>
      </c>
      <c r="H610" t="s">
        <v>3886</v>
      </c>
      <c r="I610" s="11">
        <v>30.53</v>
      </c>
      <c r="J610" s="57">
        <v>45929</v>
      </c>
    </row>
    <row r="611" spans="1:10" hidden="1">
      <c r="A611" t="s">
        <v>3883</v>
      </c>
      <c r="B611" t="s">
        <v>1840</v>
      </c>
      <c r="C611" s="57">
        <v>45805</v>
      </c>
      <c r="D611" s="57">
        <v>46020</v>
      </c>
      <c r="E611" t="s">
        <v>4191</v>
      </c>
      <c r="F611" s="11">
        <v>88</v>
      </c>
      <c r="G611" t="s">
        <v>3889</v>
      </c>
      <c r="H611" t="s">
        <v>3886</v>
      </c>
      <c r="I611" s="11">
        <v>30.53</v>
      </c>
      <c r="J611" s="57">
        <v>46020</v>
      </c>
    </row>
    <row r="612" spans="1:10" hidden="1">
      <c r="A612" t="s">
        <v>3883</v>
      </c>
      <c r="B612" t="s">
        <v>1840</v>
      </c>
      <c r="C612" s="57">
        <v>45805</v>
      </c>
      <c r="D612" s="57">
        <v>46108</v>
      </c>
      <c r="E612" t="s">
        <v>4191</v>
      </c>
      <c r="F612" s="11">
        <v>89.3</v>
      </c>
      <c r="G612" t="s">
        <v>3889</v>
      </c>
      <c r="H612" t="s">
        <v>3886</v>
      </c>
      <c r="I612" s="11">
        <v>30.53</v>
      </c>
      <c r="J612" s="57">
        <v>46108</v>
      </c>
    </row>
    <row r="613" spans="1:10" hidden="1">
      <c r="A613" t="s">
        <v>3883</v>
      </c>
      <c r="B613" t="s">
        <v>1834</v>
      </c>
      <c r="C613" s="57">
        <v>45741</v>
      </c>
      <c r="E613" t="s">
        <v>4191</v>
      </c>
      <c r="F613" s="11">
        <v>0</v>
      </c>
      <c r="G613" t="s">
        <v>3887</v>
      </c>
      <c r="H613" t="s">
        <v>3888</v>
      </c>
      <c r="I613" s="11">
        <v>-2.2799999999999998</v>
      </c>
    </row>
    <row r="614" spans="1:10" hidden="1">
      <c r="A614" t="s">
        <v>3883</v>
      </c>
      <c r="B614" t="s">
        <v>1832</v>
      </c>
      <c r="C614" s="57">
        <v>45734</v>
      </c>
      <c r="D614" s="57">
        <v>45764</v>
      </c>
      <c r="F614" s="11">
        <v>36.51</v>
      </c>
      <c r="G614" t="s">
        <v>3887</v>
      </c>
      <c r="H614" t="s">
        <v>3886</v>
      </c>
      <c r="I614" s="11">
        <v>2.2799999999999998</v>
      </c>
      <c r="J614" s="57">
        <v>45764</v>
      </c>
    </row>
    <row r="615" spans="1:10" hidden="1">
      <c r="A615" t="s">
        <v>3883</v>
      </c>
      <c r="B615" t="s">
        <v>1829</v>
      </c>
      <c r="C615" s="57">
        <v>45706</v>
      </c>
      <c r="D615" s="57">
        <v>45706</v>
      </c>
      <c r="F615" s="11">
        <v>204.97</v>
      </c>
      <c r="G615" t="s">
        <v>3885</v>
      </c>
      <c r="H615" t="s">
        <v>3886</v>
      </c>
      <c r="I615" s="11">
        <v>18.63</v>
      </c>
      <c r="J615" s="57">
        <v>45766</v>
      </c>
    </row>
    <row r="616" spans="1:10" hidden="1">
      <c r="A616" t="s">
        <v>3883</v>
      </c>
      <c r="B616" t="s">
        <v>1816</v>
      </c>
      <c r="C616" s="57">
        <v>45701</v>
      </c>
      <c r="F616" s="11">
        <v>0</v>
      </c>
      <c r="G616" t="s">
        <v>3884</v>
      </c>
      <c r="H616" t="s">
        <v>3344</v>
      </c>
      <c r="I616" s="11">
        <v>0.62</v>
      </c>
    </row>
    <row r="617" spans="1:10" hidden="1">
      <c r="A617" t="s">
        <v>3896</v>
      </c>
      <c r="B617" t="s">
        <v>3897</v>
      </c>
      <c r="C617" s="57">
        <v>45962</v>
      </c>
      <c r="F617" s="11">
        <v>137.97999999999999</v>
      </c>
      <c r="G617" t="s">
        <v>3898</v>
      </c>
      <c r="I617" s="11">
        <v>24.88</v>
      </c>
    </row>
    <row r="618" spans="1:10" hidden="1">
      <c r="A618" t="s">
        <v>3899</v>
      </c>
      <c r="B618" t="s">
        <v>1874</v>
      </c>
      <c r="C618" s="57">
        <v>45716</v>
      </c>
      <c r="D618" s="57">
        <v>45747</v>
      </c>
      <c r="F618" s="11">
        <v>345.34</v>
      </c>
      <c r="G618" t="s">
        <v>3900</v>
      </c>
      <c r="H618" t="s">
        <v>3314</v>
      </c>
      <c r="I618" s="11">
        <v>59.24</v>
      </c>
      <c r="J618" s="57">
        <v>45747</v>
      </c>
    </row>
    <row r="619" spans="1:10" hidden="1">
      <c r="A619" t="s">
        <v>1860</v>
      </c>
      <c r="B619" t="s">
        <v>1568</v>
      </c>
      <c r="C619" s="57">
        <v>45959</v>
      </c>
      <c r="F619" s="11">
        <v>49.5</v>
      </c>
      <c r="G619" t="s">
        <v>4069</v>
      </c>
      <c r="H619" t="s">
        <v>350</v>
      </c>
      <c r="I619" s="11">
        <v>4.5</v>
      </c>
    </row>
    <row r="620" spans="1:10" hidden="1">
      <c r="A620" t="s">
        <v>1860</v>
      </c>
      <c r="B620" t="s">
        <v>3901</v>
      </c>
      <c r="C620" s="57">
        <v>45853</v>
      </c>
      <c r="F620" s="11">
        <v>123.5</v>
      </c>
      <c r="G620" t="s">
        <v>3902</v>
      </c>
      <c r="I620" s="11">
        <v>11.23</v>
      </c>
    </row>
    <row r="621" spans="1:10" hidden="1">
      <c r="A621" t="s">
        <v>1860</v>
      </c>
      <c r="B621" t="s">
        <v>3903</v>
      </c>
      <c r="C621" s="57">
        <v>45826</v>
      </c>
      <c r="F621" s="11">
        <v>35.5</v>
      </c>
      <c r="G621" t="s">
        <v>3904</v>
      </c>
      <c r="I621" s="11">
        <v>3.23</v>
      </c>
    </row>
    <row r="622" spans="1:10" hidden="1">
      <c r="A622" t="s">
        <v>1860</v>
      </c>
      <c r="B622" t="s">
        <v>3905</v>
      </c>
      <c r="C622" s="57">
        <v>45709</v>
      </c>
      <c r="F622" s="11">
        <v>173</v>
      </c>
      <c r="G622" t="s">
        <v>3906</v>
      </c>
      <c r="I622" s="11">
        <v>15.72</v>
      </c>
    </row>
    <row r="623" spans="1:10" hidden="1">
      <c r="A623" t="s">
        <v>1860</v>
      </c>
      <c r="B623" t="s">
        <v>3907</v>
      </c>
      <c r="C623" s="57">
        <v>45665</v>
      </c>
      <c r="F623" s="11">
        <v>170.5</v>
      </c>
      <c r="G623" t="s">
        <v>3908</v>
      </c>
      <c r="I623" s="11">
        <v>15.5</v>
      </c>
    </row>
    <row r="624" spans="1:10" hidden="1">
      <c r="A624" t="s">
        <v>1876</v>
      </c>
      <c r="B624" t="s">
        <v>3342</v>
      </c>
      <c r="C624" s="57">
        <v>46023</v>
      </c>
      <c r="F624" s="11">
        <v>57.78</v>
      </c>
      <c r="G624" t="s">
        <v>3343</v>
      </c>
      <c r="H624" t="s">
        <v>3344</v>
      </c>
      <c r="I624" s="11">
        <v>10.42</v>
      </c>
    </row>
    <row r="625" spans="1:9" hidden="1">
      <c r="A625" t="s">
        <v>1876</v>
      </c>
      <c r="B625" t="s">
        <v>3345</v>
      </c>
      <c r="C625" s="57">
        <v>46023</v>
      </c>
      <c r="F625" s="11">
        <v>51.4</v>
      </c>
      <c r="G625" t="s">
        <v>3346</v>
      </c>
      <c r="H625" t="s">
        <v>3344</v>
      </c>
      <c r="I625" s="11">
        <v>9.27</v>
      </c>
    </row>
    <row r="626" spans="1:9" hidden="1">
      <c r="A626" t="s">
        <v>1876</v>
      </c>
      <c r="B626" t="s">
        <v>3347</v>
      </c>
      <c r="C626" s="57">
        <v>46023</v>
      </c>
      <c r="F626" s="11">
        <v>58.8</v>
      </c>
      <c r="G626" t="s">
        <v>3348</v>
      </c>
      <c r="H626" t="s">
        <v>3344</v>
      </c>
      <c r="I626" s="11">
        <v>10.6</v>
      </c>
    </row>
    <row r="627" spans="1:9" hidden="1">
      <c r="A627" t="s">
        <v>1876</v>
      </c>
      <c r="B627" t="s">
        <v>1965</v>
      </c>
      <c r="C627" s="57">
        <v>45992</v>
      </c>
      <c r="F627" s="11">
        <v>70.599999999999994</v>
      </c>
      <c r="G627" t="s">
        <v>4070</v>
      </c>
      <c r="H627" t="s">
        <v>3344</v>
      </c>
      <c r="I627" s="11">
        <v>12.73</v>
      </c>
    </row>
    <row r="628" spans="1:9" hidden="1">
      <c r="A628" t="s">
        <v>1876</v>
      </c>
      <c r="B628" t="s">
        <v>1966</v>
      </c>
      <c r="C628" s="57">
        <v>45992</v>
      </c>
      <c r="F628" s="11">
        <v>62.79</v>
      </c>
      <c r="G628" t="s">
        <v>4071</v>
      </c>
      <c r="H628" t="s">
        <v>3344</v>
      </c>
      <c r="I628" s="11">
        <v>11.32</v>
      </c>
    </row>
    <row r="629" spans="1:9" hidden="1">
      <c r="A629" t="s">
        <v>1876</v>
      </c>
      <c r="B629" t="s">
        <v>1967</v>
      </c>
      <c r="C629" s="57">
        <v>45992</v>
      </c>
      <c r="F629" s="11">
        <v>66.86</v>
      </c>
      <c r="G629" t="s">
        <v>4072</v>
      </c>
      <c r="H629" t="s">
        <v>3344</v>
      </c>
      <c r="I629" s="11">
        <v>12.06</v>
      </c>
    </row>
    <row r="630" spans="1:9" hidden="1">
      <c r="A630" t="s">
        <v>1876</v>
      </c>
      <c r="B630" t="s">
        <v>3909</v>
      </c>
      <c r="C630" s="57">
        <v>45992</v>
      </c>
      <c r="F630" s="11">
        <v>58.8</v>
      </c>
      <c r="G630" t="s">
        <v>3348</v>
      </c>
      <c r="H630" t="s">
        <v>3344</v>
      </c>
      <c r="I630" s="11">
        <v>10.6</v>
      </c>
    </row>
    <row r="631" spans="1:9" hidden="1">
      <c r="A631" t="s">
        <v>1876</v>
      </c>
      <c r="B631" t="s">
        <v>1961</v>
      </c>
      <c r="C631" s="57">
        <v>45962</v>
      </c>
      <c r="F631" s="11">
        <v>70.599999999999994</v>
      </c>
      <c r="G631" t="s">
        <v>4070</v>
      </c>
      <c r="H631" t="s">
        <v>3344</v>
      </c>
      <c r="I631" s="11">
        <v>12.73</v>
      </c>
    </row>
    <row r="632" spans="1:9" hidden="1">
      <c r="A632" t="s">
        <v>1876</v>
      </c>
      <c r="B632" t="s">
        <v>1962</v>
      </c>
      <c r="C632" s="57">
        <v>45962</v>
      </c>
      <c r="F632" s="11">
        <v>66.86</v>
      </c>
      <c r="G632" t="s">
        <v>4072</v>
      </c>
      <c r="H632" t="s">
        <v>3344</v>
      </c>
      <c r="I632" s="11">
        <v>12.06</v>
      </c>
    </row>
    <row r="633" spans="1:9" hidden="1">
      <c r="A633" t="s">
        <v>1876</v>
      </c>
      <c r="B633" t="s">
        <v>1963</v>
      </c>
      <c r="C633" s="57">
        <v>45962</v>
      </c>
      <c r="F633" s="11">
        <v>62.79</v>
      </c>
      <c r="G633" t="s">
        <v>4071</v>
      </c>
      <c r="H633" t="s">
        <v>3344</v>
      </c>
      <c r="I633" s="11">
        <v>11.32</v>
      </c>
    </row>
    <row r="634" spans="1:9" hidden="1">
      <c r="A634" t="s">
        <v>1876</v>
      </c>
      <c r="B634" t="s">
        <v>1964</v>
      </c>
      <c r="C634" s="57">
        <v>45962</v>
      </c>
      <c r="F634" s="11">
        <v>58.8</v>
      </c>
      <c r="G634" t="s">
        <v>3348</v>
      </c>
      <c r="H634" t="s">
        <v>3344</v>
      </c>
      <c r="I634" s="11">
        <v>10.6</v>
      </c>
    </row>
    <row r="635" spans="1:9" hidden="1">
      <c r="A635" t="s">
        <v>1876</v>
      </c>
      <c r="B635" t="s">
        <v>1959</v>
      </c>
      <c r="C635" s="57">
        <v>45931</v>
      </c>
      <c r="F635" s="11">
        <v>70.599999999999994</v>
      </c>
      <c r="G635" t="s">
        <v>4070</v>
      </c>
      <c r="H635" t="s">
        <v>3344</v>
      </c>
      <c r="I635" s="11">
        <v>12.73</v>
      </c>
    </row>
    <row r="636" spans="1:9" hidden="1">
      <c r="A636" t="s">
        <v>1876</v>
      </c>
      <c r="B636" t="s">
        <v>1957</v>
      </c>
      <c r="C636" s="57">
        <v>45931</v>
      </c>
      <c r="F636" s="11">
        <v>62.79</v>
      </c>
      <c r="G636" t="s">
        <v>4071</v>
      </c>
      <c r="H636" t="s">
        <v>3344</v>
      </c>
      <c r="I636" s="11">
        <v>11.32</v>
      </c>
    </row>
    <row r="637" spans="1:9" hidden="1">
      <c r="A637" t="s">
        <v>1876</v>
      </c>
      <c r="B637" t="s">
        <v>1955</v>
      </c>
      <c r="C637" s="57">
        <v>45931</v>
      </c>
      <c r="F637" s="11">
        <v>66.86</v>
      </c>
      <c r="G637" t="s">
        <v>4072</v>
      </c>
      <c r="H637" t="s">
        <v>3344</v>
      </c>
      <c r="I637" s="11">
        <v>12.06</v>
      </c>
    </row>
    <row r="638" spans="1:9" hidden="1">
      <c r="A638" t="s">
        <v>1876</v>
      </c>
      <c r="B638" t="s">
        <v>1953</v>
      </c>
      <c r="C638" s="57">
        <v>45931</v>
      </c>
      <c r="F638" s="11">
        <v>58.8</v>
      </c>
      <c r="G638" t="s">
        <v>3348</v>
      </c>
      <c r="H638" t="s">
        <v>3344</v>
      </c>
      <c r="I638" s="11">
        <v>10.6</v>
      </c>
    </row>
    <row r="639" spans="1:9" hidden="1">
      <c r="A639" t="s">
        <v>1876</v>
      </c>
      <c r="B639" t="s">
        <v>1951</v>
      </c>
      <c r="C639" s="57">
        <v>45904</v>
      </c>
      <c r="F639" s="11">
        <v>0</v>
      </c>
      <c r="G639" t="s">
        <v>4073</v>
      </c>
      <c r="H639" t="s">
        <v>3650</v>
      </c>
      <c r="I639" s="11">
        <v>0</v>
      </c>
    </row>
    <row r="640" spans="1:9" hidden="1">
      <c r="A640" t="s">
        <v>1876</v>
      </c>
      <c r="B640" t="s">
        <v>1949</v>
      </c>
      <c r="C640" s="57">
        <v>45901</v>
      </c>
      <c r="F640" s="11">
        <v>70.599999999999994</v>
      </c>
      <c r="G640" t="s">
        <v>4070</v>
      </c>
      <c r="H640" t="s">
        <v>3344</v>
      </c>
      <c r="I640" s="11">
        <v>12.73</v>
      </c>
    </row>
    <row r="641" spans="1:9" hidden="1">
      <c r="A641" t="s">
        <v>1876</v>
      </c>
      <c r="B641" t="s">
        <v>1947</v>
      </c>
      <c r="C641" s="57">
        <v>45901</v>
      </c>
      <c r="F641" s="11">
        <v>66.86</v>
      </c>
      <c r="G641" t="s">
        <v>4072</v>
      </c>
      <c r="H641" t="s">
        <v>3344</v>
      </c>
      <c r="I641" s="11">
        <v>12.06</v>
      </c>
    </row>
    <row r="642" spans="1:9" hidden="1">
      <c r="A642" t="s">
        <v>1876</v>
      </c>
      <c r="B642" t="s">
        <v>1945</v>
      </c>
      <c r="C642" s="57">
        <v>45901</v>
      </c>
      <c r="F642" s="11">
        <v>62.79</v>
      </c>
      <c r="G642" t="s">
        <v>4071</v>
      </c>
      <c r="H642" t="s">
        <v>3344</v>
      </c>
      <c r="I642" s="11">
        <v>11.32</v>
      </c>
    </row>
    <row r="643" spans="1:9" hidden="1">
      <c r="A643" t="s">
        <v>1876</v>
      </c>
      <c r="B643" t="s">
        <v>1943</v>
      </c>
      <c r="C643" s="57">
        <v>45901</v>
      </c>
      <c r="F643" s="11">
        <v>51.3</v>
      </c>
      <c r="G643" t="s">
        <v>4074</v>
      </c>
      <c r="H643" t="s">
        <v>3344</v>
      </c>
      <c r="I643" s="11">
        <v>9.25</v>
      </c>
    </row>
    <row r="644" spans="1:9" hidden="1">
      <c r="A644" t="s">
        <v>1876</v>
      </c>
      <c r="B644" t="s">
        <v>1935</v>
      </c>
      <c r="C644" s="57">
        <v>45870</v>
      </c>
      <c r="F644" s="11">
        <v>49.8</v>
      </c>
      <c r="G644" t="s">
        <v>4074</v>
      </c>
      <c r="H644" t="s">
        <v>3344</v>
      </c>
      <c r="I644" s="11">
        <v>8.98</v>
      </c>
    </row>
    <row r="645" spans="1:9" hidden="1">
      <c r="A645" t="s">
        <v>1876</v>
      </c>
      <c r="B645" t="s">
        <v>1941</v>
      </c>
      <c r="C645" s="57">
        <v>45870</v>
      </c>
      <c r="F645" s="11">
        <v>70.599999999999994</v>
      </c>
      <c r="G645" t="s">
        <v>4070</v>
      </c>
      <c r="H645" t="s">
        <v>3344</v>
      </c>
      <c r="I645" s="11">
        <v>12.73</v>
      </c>
    </row>
    <row r="646" spans="1:9" hidden="1">
      <c r="A646" t="s">
        <v>1876</v>
      </c>
      <c r="B646" t="s">
        <v>1939</v>
      </c>
      <c r="C646" s="57">
        <v>45870</v>
      </c>
      <c r="F646" s="11">
        <v>62.79</v>
      </c>
      <c r="G646" t="s">
        <v>4071</v>
      </c>
      <c r="H646" t="s">
        <v>3344</v>
      </c>
      <c r="I646" s="11">
        <v>11.32</v>
      </c>
    </row>
    <row r="647" spans="1:9" hidden="1">
      <c r="A647" t="s">
        <v>1876</v>
      </c>
      <c r="B647" t="s">
        <v>1937</v>
      </c>
      <c r="C647" s="57">
        <v>45870</v>
      </c>
      <c r="F647" s="11">
        <v>66.86</v>
      </c>
      <c r="G647" t="s">
        <v>4072</v>
      </c>
      <c r="H647" t="s">
        <v>3344</v>
      </c>
      <c r="I647" s="11">
        <v>12.06</v>
      </c>
    </row>
    <row r="648" spans="1:9" hidden="1">
      <c r="A648" t="s">
        <v>1876</v>
      </c>
      <c r="B648" t="s">
        <v>1933</v>
      </c>
      <c r="C648" s="57">
        <v>45839</v>
      </c>
      <c r="F648" s="11">
        <v>70.599999999999994</v>
      </c>
      <c r="G648" t="s">
        <v>4070</v>
      </c>
      <c r="H648" t="s">
        <v>3344</v>
      </c>
      <c r="I648" s="11">
        <v>12.73</v>
      </c>
    </row>
    <row r="649" spans="1:9" hidden="1">
      <c r="A649" t="s">
        <v>1876</v>
      </c>
      <c r="B649" t="s">
        <v>1931</v>
      </c>
      <c r="C649" s="57">
        <v>45839</v>
      </c>
      <c r="F649" s="11">
        <v>62.79</v>
      </c>
      <c r="G649" t="s">
        <v>4071</v>
      </c>
      <c r="H649" t="s">
        <v>3344</v>
      </c>
      <c r="I649" s="11">
        <v>11.32</v>
      </c>
    </row>
    <row r="650" spans="1:9" hidden="1">
      <c r="A650" t="s">
        <v>1876</v>
      </c>
      <c r="B650" t="s">
        <v>1929</v>
      </c>
      <c r="C650" s="57">
        <v>45839</v>
      </c>
      <c r="F650" s="11">
        <v>66.86</v>
      </c>
      <c r="G650" t="s">
        <v>4072</v>
      </c>
      <c r="H650" t="s">
        <v>3344</v>
      </c>
      <c r="I650" s="11">
        <v>12.06</v>
      </c>
    </row>
    <row r="651" spans="1:9" hidden="1">
      <c r="A651" t="s">
        <v>1876</v>
      </c>
      <c r="B651" t="s">
        <v>1927</v>
      </c>
      <c r="C651" s="57">
        <v>45839</v>
      </c>
      <c r="F651" s="11">
        <v>49.8</v>
      </c>
      <c r="G651" t="s">
        <v>4074</v>
      </c>
      <c r="H651" t="s">
        <v>3344</v>
      </c>
      <c r="I651" s="11">
        <v>8.98</v>
      </c>
    </row>
    <row r="652" spans="1:9" hidden="1">
      <c r="A652" t="s">
        <v>1876</v>
      </c>
      <c r="B652" t="s">
        <v>1925</v>
      </c>
      <c r="C652" s="57">
        <v>45809</v>
      </c>
      <c r="F652" s="11">
        <v>70.599999999999994</v>
      </c>
      <c r="G652" t="s">
        <v>4070</v>
      </c>
      <c r="H652" t="s">
        <v>3344</v>
      </c>
      <c r="I652" s="11">
        <v>12.73</v>
      </c>
    </row>
    <row r="653" spans="1:9" hidden="1">
      <c r="A653" t="s">
        <v>1876</v>
      </c>
      <c r="B653" t="s">
        <v>1923</v>
      </c>
      <c r="C653" s="57">
        <v>45809</v>
      </c>
      <c r="F653" s="11">
        <v>62.79</v>
      </c>
      <c r="G653" t="s">
        <v>4071</v>
      </c>
      <c r="H653" t="s">
        <v>3344</v>
      </c>
      <c r="I653" s="11">
        <v>11.32</v>
      </c>
    </row>
    <row r="654" spans="1:9" hidden="1">
      <c r="A654" t="s">
        <v>1876</v>
      </c>
      <c r="B654" t="s">
        <v>1921</v>
      </c>
      <c r="C654" s="57">
        <v>45809</v>
      </c>
      <c r="F654" s="11">
        <v>66.86</v>
      </c>
      <c r="G654" t="s">
        <v>4072</v>
      </c>
      <c r="H654" t="s">
        <v>3344</v>
      </c>
      <c r="I654" s="11">
        <v>12.06</v>
      </c>
    </row>
    <row r="655" spans="1:9" hidden="1">
      <c r="A655" t="s">
        <v>1876</v>
      </c>
      <c r="B655" t="s">
        <v>1919</v>
      </c>
      <c r="C655" s="57">
        <v>45809</v>
      </c>
      <c r="F655" s="11">
        <v>49.8</v>
      </c>
      <c r="G655" t="s">
        <v>4074</v>
      </c>
      <c r="H655" t="s">
        <v>3344</v>
      </c>
      <c r="I655" s="11">
        <v>8.98</v>
      </c>
    </row>
    <row r="656" spans="1:9" hidden="1">
      <c r="A656" t="s">
        <v>1876</v>
      </c>
      <c r="B656" t="s">
        <v>1917</v>
      </c>
      <c r="C656" s="57">
        <v>45778</v>
      </c>
      <c r="F656" s="11">
        <v>70.599999999999994</v>
      </c>
      <c r="G656" t="s">
        <v>4070</v>
      </c>
      <c r="H656" t="s">
        <v>3344</v>
      </c>
      <c r="I656" s="11">
        <v>12.73</v>
      </c>
    </row>
    <row r="657" spans="1:9" hidden="1">
      <c r="A657" t="s">
        <v>1876</v>
      </c>
      <c r="B657" t="s">
        <v>1915</v>
      </c>
      <c r="C657" s="57">
        <v>45778</v>
      </c>
      <c r="F657" s="11">
        <v>53.12</v>
      </c>
      <c r="G657" t="s">
        <v>4075</v>
      </c>
      <c r="H657" t="s">
        <v>3344</v>
      </c>
      <c r="I657" s="11">
        <v>9.58</v>
      </c>
    </row>
    <row r="658" spans="1:9" hidden="1">
      <c r="A658" t="s">
        <v>1876</v>
      </c>
      <c r="B658" t="s">
        <v>1913</v>
      </c>
      <c r="C658" s="57">
        <v>45778</v>
      </c>
      <c r="F658" s="11">
        <v>60.72</v>
      </c>
      <c r="G658" t="s">
        <v>4076</v>
      </c>
      <c r="H658" t="s">
        <v>3344</v>
      </c>
      <c r="I658" s="11">
        <v>10.95</v>
      </c>
    </row>
    <row r="659" spans="1:9" hidden="1">
      <c r="A659" t="s">
        <v>1876</v>
      </c>
      <c r="B659" t="s">
        <v>1911</v>
      </c>
      <c r="C659" s="57">
        <v>45778</v>
      </c>
      <c r="F659" s="11">
        <v>49.8</v>
      </c>
      <c r="G659" t="s">
        <v>4074</v>
      </c>
      <c r="H659" t="s">
        <v>3344</v>
      </c>
      <c r="I659" s="11">
        <v>8.98</v>
      </c>
    </row>
    <row r="660" spans="1:9" hidden="1">
      <c r="A660" t="s">
        <v>1876</v>
      </c>
      <c r="B660" t="s">
        <v>1909</v>
      </c>
      <c r="C660" s="57">
        <v>45758</v>
      </c>
      <c r="F660" s="11">
        <v>0</v>
      </c>
      <c r="G660" t="s">
        <v>4077</v>
      </c>
      <c r="H660" t="s">
        <v>3650</v>
      </c>
      <c r="I660" s="11">
        <v>0</v>
      </c>
    </row>
    <row r="661" spans="1:9" hidden="1">
      <c r="A661" t="s">
        <v>1876</v>
      </c>
      <c r="B661" t="s">
        <v>1901</v>
      </c>
      <c r="C661" s="57">
        <v>45748</v>
      </c>
      <c r="F661" s="11">
        <v>70.599999999999994</v>
      </c>
      <c r="G661" t="s">
        <v>4070</v>
      </c>
      <c r="H661" t="s">
        <v>3344</v>
      </c>
      <c r="I661" s="11">
        <v>12.73</v>
      </c>
    </row>
    <row r="662" spans="1:9" hidden="1">
      <c r="A662" t="s">
        <v>1876</v>
      </c>
      <c r="B662" t="s">
        <v>1899</v>
      </c>
      <c r="C662" s="57">
        <v>45748</v>
      </c>
      <c r="F662" s="11">
        <v>50.8</v>
      </c>
      <c r="G662" t="s">
        <v>4075</v>
      </c>
      <c r="H662" t="s">
        <v>3344</v>
      </c>
      <c r="I662" s="11">
        <v>9.16</v>
      </c>
    </row>
    <row r="663" spans="1:9" hidden="1">
      <c r="A663" t="s">
        <v>1876</v>
      </c>
      <c r="B663" t="s">
        <v>1897</v>
      </c>
      <c r="C663" s="57">
        <v>45748</v>
      </c>
      <c r="F663" s="11">
        <v>52.22</v>
      </c>
      <c r="G663" t="s">
        <v>4076</v>
      </c>
      <c r="H663" t="s">
        <v>3344</v>
      </c>
      <c r="I663" s="11">
        <v>9.42</v>
      </c>
    </row>
    <row r="664" spans="1:9" hidden="1">
      <c r="A664" t="s">
        <v>1876</v>
      </c>
      <c r="B664" t="s">
        <v>1907</v>
      </c>
      <c r="C664" s="57">
        <v>45748</v>
      </c>
      <c r="F664" s="11">
        <v>49.8</v>
      </c>
      <c r="G664" t="s">
        <v>4074</v>
      </c>
      <c r="H664" t="s">
        <v>3344</v>
      </c>
      <c r="I664" s="11">
        <v>8.98</v>
      </c>
    </row>
    <row r="665" spans="1:9" hidden="1">
      <c r="A665" t="s">
        <v>1876</v>
      </c>
      <c r="B665" t="s">
        <v>1903</v>
      </c>
      <c r="C665" s="57">
        <v>45747</v>
      </c>
      <c r="F665" s="11">
        <v>496.99</v>
      </c>
      <c r="G665" t="s">
        <v>4078</v>
      </c>
      <c r="H665" t="s">
        <v>350</v>
      </c>
      <c r="I665" s="11">
        <v>89.62</v>
      </c>
    </row>
    <row r="666" spans="1:9" hidden="1">
      <c r="A666" t="s">
        <v>1876</v>
      </c>
      <c r="B666" t="s">
        <v>1905</v>
      </c>
      <c r="C666" s="57">
        <v>45747</v>
      </c>
      <c r="F666" s="11">
        <v>19.12</v>
      </c>
      <c r="G666" t="s">
        <v>4074</v>
      </c>
      <c r="H666" t="s">
        <v>3344</v>
      </c>
      <c r="I666" s="11">
        <v>3.45</v>
      </c>
    </row>
    <row r="667" spans="1:9" hidden="1">
      <c r="A667" t="s">
        <v>1876</v>
      </c>
      <c r="B667" t="s">
        <v>1895</v>
      </c>
      <c r="C667" s="57">
        <v>45717</v>
      </c>
      <c r="F667" s="11">
        <v>70.599999999999994</v>
      </c>
      <c r="G667" t="s">
        <v>4070</v>
      </c>
      <c r="H667" t="s">
        <v>3344</v>
      </c>
      <c r="I667" s="11">
        <v>12.73</v>
      </c>
    </row>
    <row r="668" spans="1:9" hidden="1">
      <c r="A668" t="s">
        <v>1876</v>
      </c>
      <c r="B668" t="s">
        <v>1893</v>
      </c>
      <c r="C668" s="57">
        <v>45717</v>
      </c>
      <c r="F668" s="11">
        <v>50.8</v>
      </c>
      <c r="G668" t="s">
        <v>4075</v>
      </c>
      <c r="H668" t="s">
        <v>3344</v>
      </c>
      <c r="I668" s="11">
        <v>9.16</v>
      </c>
    </row>
    <row r="669" spans="1:9" hidden="1">
      <c r="A669" t="s">
        <v>1876</v>
      </c>
      <c r="B669" t="s">
        <v>1891</v>
      </c>
      <c r="C669" s="57">
        <v>45717</v>
      </c>
      <c r="F669" s="11">
        <v>52.22</v>
      </c>
      <c r="G669" t="s">
        <v>4076</v>
      </c>
      <c r="H669" t="s">
        <v>3344</v>
      </c>
      <c r="I669" s="11">
        <v>9.42</v>
      </c>
    </row>
    <row r="670" spans="1:9" hidden="1">
      <c r="A670" t="s">
        <v>1876</v>
      </c>
      <c r="B670" t="s">
        <v>1889</v>
      </c>
      <c r="C670" s="57">
        <v>45693</v>
      </c>
      <c r="F670" s="11">
        <v>0</v>
      </c>
      <c r="G670" t="s">
        <v>4079</v>
      </c>
      <c r="H670" t="s">
        <v>3650</v>
      </c>
      <c r="I670" s="11">
        <v>0</v>
      </c>
    </row>
    <row r="671" spans="1:9" hidden="1">
      <c r="A671" t="s">
        <v>1876</v>
      </c>
      <c r="B671" t="s">
        <v>1887</v>
      </c>
      <c r="C671" s="57">
        <v>45689</v>
      </c>
      <c r="F671" s="11">
        <v>70.599999999999994</v>
      </c>
      <c r="G671" t="s">
        <v>4070</v>
      </c>
      <c r="H671" t="s">
        <v>3344</v>
      </c>
      <c r="I671" s="11">
        <v>12.73</v>
      </c>
    </row>
    <row r="672" spans="1:9" hidden="1">
      <c r="A672" t="s">
        <v>1876</v>
      </c>
      <c r="B672" t="s">
        <v>1885</v>
      </c>
      <c r="C672" s="57">
        <v>45689</v>
      </c>
      <c r="F672" s="11">
        <v>52.22</v>
      </c>
      <c r="G672" t="s">
        <v>4076</v>
      </c>
      <c r="H672" t="s">
        <v>3344</v>
      </c>
      <c r="I672" s="11">
        <v>9.42</v>
      </c>
    </row>
    <row r="673" spans="1:10" hidden="1">
      <c r="A673" t="s">
        <v>1876</v>
      </c>
      <c r="B673" t="s">
        <v>1883</v>
      </c>
      <c r="C673" s="57">
        <v>45689</v>
      </c>
      <c r="F673" s="11">
        <v>50.8</v>
      </c>
      <c r="G673" t="s">
        <v>4075</v>
      </c>
      <c r="H673" t="s">
        <v>3344</v>
      </c>
      <c r="I673" s="11">
        <v>9.16</v>
      </c>
    </row>
    <row r="674" spans="1:10" hidden="1">
      <c r="A674" t="s">
        <v>1876</v>
      </c>
      <c r="B674" t="s">
        <v>1877</v>
      </c>
      <c r="C674" s="57">
        <v>45658</v>
      </c>
      <c r="F674" s="11">
        <v>52.22</v>
      </c>
      <c r="G674" t="s">
        <v>4076</v>
      </c>
      <c r="H674" t="s">
        <v>3344</v>
      </c>
      <c r="I674" s="11">
        <v>9.42</v>
      </c>
    </row>
    <row r="675" spans="1:10" hidden="1">
      <c r="A675" t="s">
        <v>1876</v>
      </c>
      <c r="B675" t="s">
        <v>1881</v>
      </c>
      <c r="C675" s="57">
        <v>45658</v>
      </c>
      <c r="F675" s="11">
        <v>70.599999999999994</v>
      </c>
      <c r="G675" t="s">
        <v>4070</v>
      </c>
      <c r="H675" t="s">
        <v>3344</v>
      </c>
      <c r="I675" s="11">
        <v>12.73</v>
      </c>
    </row>
    <row r="676" spans="1:10" hidden="1">
      <c r="A676" t="s">
        <v>1876</v>
      </c>
      <c r="B676" t="s">
        <v>1879</v>
      </c>
      <c r="C676" s="57">
        <v>45658</v>
      </c>
      <c r="F676" s="11">
        <v>50.8</v>
      </c>
      <c r="G676" t="s">
        <v>4075</v>
      </c>
      <c r="H676" t="s">
        <v>3344</v>
      </c>
      <c r="I676" s="11">
        <v>9.16</v>
      </c>
    </row>
    <row r="677" spans="1:10" hidden="1">
      <c r="A677" t="s">
        <v>1876</v>
      </c>
      <c r="B677" t="s">
        <v>4178</v>
      </c>
      <c r="C677" s="57">
        <v>46054</v>
      </c>
      <c r="F677" s="11">
        <v>57.78</v>
      </c>
      <c r="G677" t="s">
        <v>3343</v>
      </c>
      <c r="H677" t="s">
        <v>3344</v>
      </c>
      <c r="I677" s="11">
        <v>10.42</v>
      </c>
    </row>
    <row r="678" spans="1:10" hidden="1">
      <c r="A678" t="s">
        <v>1876</v>
      </c>
      <c r="B678" t="s">
        <v>4179</v>
      </c>
      <c r="C678" s="57">
        <v>46054</v>
      </c>
      <c r="F678" s="11">
        <v>51.4</v>
      </c>
      <c r="G678" t="s">
        <v>3346</v>
      </c>
      <c r="H678" t="s">
        <v>3344</v>
      </c>
      <c r="I678" s="11">
        <v>9.27</v>
      </c>
    </row>
    <row r="679" spans="1:10" hidden="1">
      <c r="A679" t="s">
        <v>1876</v>
      </c>
      <c r="B679" t="s">
        <v>4180</v>
      </c>
      <c r="C679" s="57">
        <v>46054</v>
      </c>
      <c r="F679" s="11">
        <v>58.8</v>
      </c>
      <c r="G679" t="s">
        <v>3348</v>
      </c>
      <c r="H679" t="s">
        <v>3344</v>
      </c>
      <c r="I679" s="11">
        <v>10.6</v>
      </c>
    </row>
    <row r="680" spans="1:10" hidden="1">
      <c r="A680" t="s">
        <v>1876</v>
      </c>
      <c r="B680" t="s">
        <v>4257</v>
      </c>
      <c r="C680" s="57">
        <v>46072</v>
      </c>
      <c r="F680" s="11">
        <v>0</v>
      </c>
      <c r="G680" t="s">
        <v>4258</v>
      </c>
      <c r="H680" t="s">
        <v>3650</v>
      </c>
      <c r="I680" s="11">
        <v>0</v>
      </c>
    </row>
    <row r="681" spans="1:10" hidden="1">
      <c r="A681" t="s">
        <v>1876</v>
      </c>
      <c r="B681" t="s">
        <v>4304</v>
      </c>
      <c r="C681" s="57">
        <v>46078</v>
      </c>
      <c r="F681" s="11">
        <v>0</v>
      </c>
      <c r="G681" t="s">
        <v>4305</v>
      </c>
      <c r="H681" t="s">
        <v>3650</v>
      </c>
      <c r="I681" s="11">
        <v>0</v>
      </c>
    </row>
    <row r="682" spans="1:10" hidden="1">
      <c r="A682" t="s">
        <v>1876</v>
      </c>
      <c r="B682" t="s">
        <v>4317</v>
      </c>
      <c r="C682" s="57">
        <v>46082</v>
      </c>
      <c r="F682" s="11">
        <v>57.78</v>
      </c>
      <c r="G682" t="s">
        <v>3343</v>
      </c>
      <c r="H682" t="s">
        <v>3344</v>
      </c>
      <c r="I682" s="11">
        <v>10.42</v>
      </c>
    </row>
    <row r="683" spans="1:10" hidden="1">
      <c r="A683" t="s">
        <v>1876</v>
      </c>
      <c r="B683" t="s">
        <v>4318</v>
      </c>
      <c r="C683" s="57">
        <v>46082</v>
      </c>
      <c r="F683" s="11">
        <v>51.4</v>
      </c>
      <c r="G683" t="s">
        <v>3346</v>
      </c>
      <c r="H683" t="s">
        <v>3344</v>
      </c>
      <c r="I683" s="11">
        <v>9.27</v>
      </c>
    </row>
    <row r="684" spans="1:10" hidden="1">
      <c r="A684" t="s">
        <v>1876</v>
      </c>
      <c r="B684" t="s">
        <v>4319</v>
      </c>
      <c r="C684" s="57">
        <v>46082</v>
      </c>
      <c r="F684" s="11">
        <v>58.8</v>
      </c>
      <c r="G684" t="s">
        <v>3348</v>
      </c>
      <c r="H684" t="s">
        <v>3344</v>
      </c>
      <c r="I684" s="11">
        <v>10.6</v>
      </c>
    </row>
    <row r="685" spans="1:10" hidden="1">
      <c r="A685" t="s">
        <v>3910</v>
      </c>
      <c r="B685" t="s">
        <v>2002</v>
      </c>
      <c r="C685" s="57">
        <v>45996</v>
      </c>
      <c r="D685" s="57">
        <v>46032</v>
      </c>
      <c r="E685" t="s">
        <v>4191</v>
      </c>
      <c r="F685" s="11">
        <v>5191.71</v>
      </c>
      <c r="G685" t="s">
        <v>3916</v>
      </c>
      <c r="H685" t="s">
        <v>3314</v>
      </c>
      <c r="I685" s="11">
        <v>936.21</v>
      </c>
      <c r="J685" s="57">
        <v>46032</v>
      </c>
    </row>
    <row r="686" spans="1:10" hidden="1">
      <c r="A686" t="s">
        <v>3910</v>
      </c>
      <c r="B686" t="s">
        <v>1998</v>
      </c>
      <c r="C686" s="57">
        <v>45951</v>
      </c>
      <c r="D686" s="57">
        <v>45951</v>
      </c>
      <c r="F686" s="11">
        <v>360.88</v>
      </c>
      <c r="G686" t="s">
        <v>3918</v>
      </c>
      <c r="H686" t="s">
        <v>3314</v>
      </c>
      <c r="I686" s="11">
        <v>65.08</v>
      </c>
      <c r="J686" s="57">
        <v>46011</v>
      </c>
    </row>
    <row r="687" spans="1:10" hidden="1">
      <c r="A687" t="s">
        <v>3910</v>
      </c>
      <c r="B687" t="s">
        <v>1994</v>
      </c>
      <c r="C687" s="57">
        <v>45909</v>
      </c>
      <c r="D687" s="57">
        <v>45909</v>
      </c>
      <c r="F687" s="11">
        <v>63.44</v>
      </c>
      <c r="G687" t="s">
        <v>3915</v>
      </c>
      <c r="H687" t="s">
        <v>3314</v>
      </c>
      <c r="I687" s="11">
        <v>11.44</v>
      </c>
      <c r="J687" s="57">
        <v>45969</v>
      </c>
    </row>
    <row r="688" spans="1:10" hidden="1">
      <c r="A688" t="s">
        <v>3910</v>
      </c>
      <c r="B688" t="s">
        <v>1991</v>
      </c>
      <c r="C688" s="57">
        <v>45874</v>
      </c>
      <c r="D688" s="57">
        <v>45910</v>
      </c>
      <c r="F688" s="11">
        <v>1383.41</v>
      </c>
      <c r="G688" t="s">
        <v>3917</v>
      </c>
      <c r="H688" t="s">
        <v>3314</v>
      </c>
      <c r="I688" s="11">
        <v>249.47</v>
      </c>
      <c r="J688" s="57">
        <v>45910</v>
      </c>
    </row>
    <row r="689" spans="1:10" hidden="1">
      <c r="A689" t="s">
        <v>3910</v>
      </c>
      <c r="B689" t="s">
        <v>1987</v>
      </c>
      <c r="C689" s="57">
        <v>45800</v>
      </c>
      <c r="D689" s="57">
        <v>45800</v>
      </c>
      <c r="F689" s="11">
        <v>213.5</v>
      </c>
      <c r="G689" t="s">
        <v>3913</v>
      </c>
      <c r="H689" t="s">
        <v>3314</v>
      </c>
      <c r="I689" s="11">
        <v>38.5</v>
      </c>
      <c r="J689" s="57">
        <v>45860</v>
      </c>
    </row>
    <row r="690" spans="1:10" hidden="1">
      <c r="A690" t="s">
        <v>3910</v>
      </c>
      <c r="B690" t="s">
        <v>1985</v>
      </c>
      <c r="C690" s="57">
        <v>45747</v>
      </c>
      <c r="D690" s="57">
        <v>45747</v>
      </c>
      <c r="E690" t="s">
        <v>4191</v>
      </c>
      <c r="F690" s="11">
        <v>179.95</v>
      </c>
      <c r="G690" t="s">
        <v>3912</v>
      </c>
      <c r="H690" t="s">
        <v>3314</v>
      </c>
      <c r="I690" s="11">
        <v>32.450000000000003</v>
      </c>
      <c r="J690" s="57">
        <v>45807</v>
      </c>
    </row>
    <row r="691" spans="1:10" hidden="1">
      <c r="A691" t="s">
        <v>3910</v>
      </c>
      <c r="B691" t="s">
        <v>1982</v>
      </c>
      <c r="C691" s="57">
        <v>45731</v>
      </c>
      <c r="D691" s="57">
        <v>45731</v>
      </c>
      <c r="F691" s="11">
        <v>194.71</v>
      </c>
      <c r="G691" t="s">
        <v>3911</v>
      </c>
      <c r="H691" t="s">
        <v>751</v>
      </c>
      <c r="I691" s="11">
        <v>35.11</v>
      </c>
      <c r="J691" s="57">
        <v>45791</v>
      </c>
    </row>
    <row r="692" spans="1:10" hidden="1">
      <c r="A692" t="s">
        <v>3910</v>
      </c>
      <c r="B692" t="s">
        <v>343</v>
      </c>
      <c r="C692" s="57">
        <v>45670</v>
      </c>
      <c r="D692" s="57">
        <v>45670</v>
      </c>
      <c r="E692" t="s">
        <v>4191</v>
      </c>
      <c r="F692" s="11">
        <v>1086.92</v>
      </c>
      <c r="G692" t="s">
        <v>3914</v>
      </c>
      <c r="H692" t="s">
        <v>751</v>
      </c>
      <c r="I692" s="11">
        <v>196</v>
      </c>
      <c r="J692" s="57">
        <v>45730</v>
      </c>
    </row>
    <row r="693" spans="1:10" hidden="1">
      <c r="A693" t="s">
        <v>2009</v>
      </c>
      <c r="B693" t="s">
        <v>3919</v>
      </c>
      <c r="C693" s="57">
        <v>45817</v>
      </c>
      <c r="D693" s="57">
        <v>45817</v>
      </c>
      <c r="E693" t="s">
        <v>4191</v>
      </c>
      <c r="F693" s="11">
        <v>0.04</v>
      </c>
      <c r="G693" t="s">
        <v>3920</v>
      </c>
      <c r="H693" t="s">
        <v>350</v>
      </c>
      <c r="I693" s="11">
        <v>32.61</v>
      </c>
      <c r="J693" s="57">
        <v>45877</v>
      </c>
    </row>
    <row r="694" spans="1:10" hidden="1">
      <c r="A694" t="s">
        <v>2009</v>
      </c>
      <c r="B694" t="s">
        <v>3919</v>
      </c>
      <c r="C694" s="57">
        <v>45817</v>
      </c>
      <c r="D694" s="57">
        <v>45819</v>
      </c>
      <c r="E694" t="s">
        <v>4191</v>
      </c>
      <c r="F694" s="11">
        <v>180.8</v>
      </c>
      <c r="G694" t="s">
        <v>3920</v>
      </c>
      <c r="H694" t="s">
        <v>350</v>
      </c>
      <c r="I694" s="11">
        <v>32.61</v>
      </c>
      <c r="J694" s="57">
        <v>45819</v>
      </c>
    </row>
    <row r="695" spans="1:10" hidden="1">
      <c r="A695" t="s">
        <v>2012</v>
      </c>
      <c r="B695" t="s">
        <v>1063</v>
      </c>
      <c r="C695" s="57">
        <v>45950</v>
      </c>
      <c r="D695" s="57">
        <v>45950</v>
      </c>
      <c r="F695" s="11">
        <v>1989</v>
      </c>
      <c r="G695" t="s">
        <v>4080</v>
      </c>
      <c r="H695" t="s">
        <v>3314</v>
      </c>
      <c r="I695" s="11">
        <v>396</v>
      </c>
      <c r="J695" s="57">
        <v>46010</v>
      </c>
    </row>
    <row r="696" spans="1:10" hidden="1">
      <c r="A696" t="s">
        <v>3921</v>
      </c>
      <c r="B696" t="s">
        <v>3922</v>
      </c>
      <c r="C696" s="57">
        <v>45965</v>
      </c>
      <c r="F696" s="11">
        <v>472.74</v>
      </c>
      <c r="G696" t="s">
        <v>3923</v>
      </c>
      <c r="I696" s="11">
        <v>27.05</v>
      </c>
    </row>
    <row r="697" spans="1:10" hidden="1">
      <c r="A697" t="s">
        <v>3924</v>
      </c>
      <c r="B697" t="s">
        <v>3349</v>
      </c>
      <c r="C697" s="57">
        <v>46009</v>
      </c>
      <c r="D697" s="57">
        <v>46009</v>
      </c>
      <c r="F697" s="11">
        <v>66.67</v>
      </c>
      <c r="G697" t="s">
        <v>3350</v>
      </c>
      <c r="H697" t="s">
        <v>3314</v>
      </c>
      <c r="I697" s="11">
        <v>12.02</v>
      </c>
      <c r="J697" s="57">
        <v>46069</v>
      </c>
    </row>
    <row r="698" spans="1:10" hidden="1">
      <c r="A698" t="s">
        <v>3924</v>
      </c>
      <c r="B698" t="s">
        <v>3925</v>
      </c>
      <c r="C698" s="57">
        <v>45974</v>
      </c>
      <c r="D698" s="57">
        <v>45974</v>
      </c>
      <c r="F698" s="11">
        <v>85.18</v>
      </c>
      <c r="G698" t="s">
        <v>3926</v>
      </c>
      <c r="H698" t="s">
        <v>3314</v>
      </c>
      <c r="I698" s="11">
        <v>15.36</v>
      </c>
      <c r="J698" s="57">
        <v>46034</v>
      </c>
    </row>
    <row r="699" spans="1:10" hidden="1">
      <c r="A699" t="s">
        <v>3924</v>
      </c>
      <c r="B699" t="s">
        <v>3927</v>
      </c>
      <c r="C699" s="57">
        <v>45804</v>
      </c>
      <c r="D699" s="57">
        <v>45804</v>
      </c>
      <c r="F699" s="11">
        <v>71.790000000000006</v>
      </c>
      <c r="G699" t="s">
        <v>3928</v>
      </c>
      <c r="H699" t="s">
        <v>3314</v>
      </c>
      <c r="I699" s="11">
        <v>12.8</v>
      </c>
      <c r="J699" s="57">
        <v>45864</v>
      </c>
    </row>
    <row r="700" spans="1:10" hidden="1">
      <c r="A700" t="s">
        <v>2032</v>
      </c>
      <c r="B700" t="s">
        <v>2033</v>
      </c>
      <c r="C700" s="57">
        <v>45688</v>
      </c>
      <c r="D700" s="57">
        <v>45716</v>
      </c>
      <c r="F700" s="11">
        <v>152.38999999999999</v>
      </c>
      <c r="G700" t="s">
        <v>4081</v>
      </c>
      <c r="H700" t="s">
        <v>125</v>
      </c>
      <c r="I700" s="11">
        <v>54.96</v>
      </c>
      <c r="J700" s="57">
        <v>45716</v>
      </c>
    </row>
    <row r="701" spans="1:10" hidden="1">
      <c r="A701" t="s">
        <v>2032</v>
      </c>
      <c r="B701" t="s">
        <v>2033</v>
      </c>
      <c r="C701" s="57">
        <v>45688</v>
      </c>
      <c r="D701" s="57">
        <v>45747</v>
      </c>
      <c r="F701" s="11">
        <v>152.38999999999999</v>
      </c>
      <c r="G701" t="s">
        <v>4081</v>
      </c>
      <c r="H701" t="s">
        <v>125</v>
      </c>
      <c r="I701" s="11">
        <v>54.96</v>
      </c>
      <c r="J701" s="57">
        <v>45747</v>
      </c>
    </row>
    <row r="702" spans="1:10" hidden="1">
      <c r="A702" t="s">
        <v>2037</v>
      </c>
      <c r="B702" t="s">
        <v>3579</v>
      </c>
      <c r="C702" s="57">
        <v>45685</v>
      </c>
      <c r="D702" s="57">
        <v>45685</v>
      </c>
      <c r="F702" s="11">
        <v>1300</v>
      </c>
      <c r="G702" t="s">
        <v>3929</v>
      </c>
      <c r="H702" t="s">
        <v>3314</v>
      </c>
      <c r="I702" s="11">
        <v>0</v>
      </c>
      <c r="J702" s="57">
        <v>45745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5"/>
  <dimension ref="A1:L35"/>
  <sheetViews>
    <sheetView zoomScale="85" zoomScaleNormal="85" workbookViewId="0">
      <selection activeCell="H24" sqref="H24"/>
    </sheetView>
  </sheetViews>
  <sheetFormatPr defaultRowHeight="15"/>
  <cols>
    <col min="1" max="1" width="30.28515625" bestFit="1" customWidth="1"/>
    <col min="2" max="2" width="29.85546875" bestFit="1" customWidth="1"/>
    <col min="3" max="3" width="28.28515625" bestFit="1" customWidth="1"/>
    <col min="4" max="4" width="10.85546875" style="57" bestFit="1" customWidth="1"/>
    <col min="5" max="5" width="11.5703125" style="57" bestFit="1" customWidth="1"/>
    <col min="6" max="6" width="6.85546875" bestFit="1" customWidth="1"/>
    <col min="7" max="7" width="11.85546875" style="11" bestFit="1" customWidth="1"/>
    <col min="8" max="8" width="74.42578125" bestFit="1" customWidth="1"/>
    <col min="9" max="9" width="21.5703125" bestFit="1" customWidth="1"/>
    <col min="10" max="10" width="18.5703125" style="57" bestFit="1" customWidth="1"/>
    <col min="11" max="11" width="23.28515625" style="11" bestFit="1" customWidth="1"/>
    <col min="12" max="12" width="43.7109375" bestFit="1" customWidth="1"/>
  </cols>
  <sheetData>
    <row r="1" spans="1:12">
      <c r="A1" t="s">
        <v>0</v>
      </c>
      <c r="B1" t="s">
        <v>1</v>
      </c>
      <c r="C1" t="s">
        <v>2</v>
      </c>
      <c r="D1" s="57" t="s">
        <v>3</v>
      </c>
      <c r="E1" s="57" t="s">
        <v>4</v>
      </c>
      <c r="F1" t="s">
        <v>5</v>
      </c>
      <c r="G1" s="11" t="s">
        <v>6</v>
      </c>
      <c r="H1" t="s">
        <v>8</v>
      </c>
      <c r="I1" t="s">
        <v>9</v>
      </c>
      <c r="J1" s="57" t="s">
        <v>10</v>
      </c>
      <c r="K1" s="11" t="s">
        <v>11</v>
      </c>
      <c r="L1" t="s">
        <v>12</v>
      </c>
    </row>
    <row r="2" spans="1:12">
      <c r="B2" t="s">
        <v>4261</v>
      </c>
      <c r="C2" t="s">
        <v>4184</v>
      </c>
      <c r="D2" s="57">
        <v>46055</v>
      </c>
      <c r="E2" s="57">
        <v>46055</v>
      </c>
      <c r="F2" t="s">
        <v>16</v>
      </c>
      <c r="G2" s="11">
        <v>104.8</v>
      </c>
      <c r="H2" t="s">
        <v>4262</v>
      </c>
      <c r="I2" t="s">
        <v>47</v>
      </c>
    </row>
    <row r="3" spans="1:12">
      <c r="A3" t="s">
        <v>13</v>
      </c>
      <c r="B3" t="s">
        <v>101</v>
      </c>
      <c r="C3" t="s">
        <v>144</v>
      </c>
      <c r="D3" s="57">
        <v>45930</v>
      </c>
      <c r="E3" s="57">
        <v>46001</v>
      </c>
      <c r="G3" s="11">
        <v>13.42</v>
      </c>
      <c r="H3" t="s">
        <v>46</v>
      </c>
      <c r="I3" t="s">
        <v>142</v>
      </c>
      <c r="J3" s="57">
        <v>46001</v>
      </c>
      <c r="K3" s="11">
        <v>1258.1600000000001</v>
      </c>
      <c r="L3" t="s">
        <v>143</v>
      </c>
    </row>
    <row r="4" spans="1:12">
      <c r="B4" t="s">
        <v>4264</v>
      </c>
      <c r="C4" t="s">
        <v>340</v>
      </c>
      <c r="D4" s="57">
        <v>46076</v>
      </c>
      <c r="G4" s="11">
        <v>190</v>
      </c>
      <c r="H4" t="s">
        <v>4265</v>
      </c>
      <c r="I4" t="s">
        <v>185</v>
      </c>
    </row>
    <row r="5" spans="1:12">
      <c r="A5" t="s">
        <v>13</v>
      </c>
      <c r="B5" t="s">
        <v>220</v>
      </c>
      <c r="C5" t="s">
        <v>4266</v>
      </c>
      <c r="D5" s="57">
        <v>46052</v>
      </c>
      <c r="E5" s="57">
        <v>46052</v>
      </c>
      <c r="F5" t="s">
        <v>16</v>
      </c>
      <c r="G5" s="11">
        <v>0.61</v>
      </c>
      <c r="H5" t="s">
        <v>196</v>
      </c>
      <c r="I5" t="s">
        <v>223</v>
      </c>
      <c r="J5" s="57">
        <v>46052</v>
      </c>
      <c r="K5" s="11">
        <v>0.61</v>
      </c>
      <c r="L5" t="s">
        <v>19</v>
      </c>
    </row>
    <row r="6" spans="1:12">
      <c r="B6" t="s">
        <v>251</v>
      </c>
      <c r="C6" t="s">
        <v>310</v>
      </c>
      <c r="D6" s="57">
        <v>46038</v>
      </c>
      <c r="E6" s="57">
        <v>46038</v>
      </c>
      <c r="G6" s="11">
        <v>5955.05</v>
      </c>
      <c r="H6" t="s">
        <v>4267</v>
      </c>
      <c r="I6" t="s">
        <v>83</v>
      </c>
      <c r="K6" s="11">
        <v>5955.05</v>
      </c>
    </row>
    <row r="7" spans="1:12">
      <c r="B7" t="s">
        <v>251</v>
      </c>
      <c r="C7" t="s">
        <v>310</v>
      </c>
      <c r="D7" s="57">
        <v>46038</v>
      </c>
      <c r="G7" s="11">
        <v>906.29</v>
      </c>
      <c r="H7" t="s">
        <v>4267</v>
      </c>
      <c r="I7" t="s">
        <v>185</v>
      </c>
      <c r="K7" s="11">
        <v>906.29</v>
      </c>
    </row>
    <row r="8" spans="1:12">
      <c r="B8" t="s">
        <v>4310</v>
      </c>
      <c r="C8" t="s">
        <v>26</v>
      </c>
      <c r="D8" s="57">
        <v>46079</v>
      </c>
      <c r="E8" s="57">
        <v>46079</v>
      </c>
      <c r="F8" t="s">
        <v>16</v>
      </c>
      <c r="G8" s="11">
        <v>4100</v>
      </c>
      <c r="H8" t="s">
        <v>4334</v>
      </c>
      <c r="I8" t="s">
        <v>83</v>
      </c>
      <c r="K8" s="11">
        <v>4100</v>
      </c>
    </row>
    <row r="9" spans="1:12">
      <c r="A9" t="s">
        <v>306</v>
      </c>
      <c r="B9" t="s">
        <v>284</v>
      </c>
      <c r="C9" t="s">
        <v>293</v>
      </c>
      <c r="D9" s="57">
        <v>45824</v>
      </c>
      <c r="G9" s="11">
        <v>126.88</v>
      </c>
      <c r="H9" t="s">
        <v>307</v>
      </c>
      <c r="I9" t="s">
        <v>308</v>
      </c>
    </row>
    <row r="10" spans="1:12">
      <c r="A10" t="s">
        <v>13</v>
      </c>
      <c r="B10" t="s">
        <v>318</v>
      </c>
      <c r="C10" t="s">
        <v>324</v>
      </c>
      <c r="D10" s="57">
        <v>45808</v>
      </c>
      <c r="E10" s="57">
        <v>45838</v>
      </c>
      <c r="F10" t="s">
        <v>16</v>
      </c>
      <c r="G10" s="11">
        <v>882.08</v>
      </c>
      <c r="H10" t="s">
        <v>4232</v>
      </c>
      <c r="J10" s="57">
        <v>46045</v>
      </c>
      <c r="K10" s="11">
        <v>882.06</v>
      </c>
      <c r="L10" t="s">
        <v>19</v>
      </c>
    </row>
    <row r="11" spans="1:12">
      <c r="A11" t="s">
        <v>13</v>
      </c>
      <c r="B11" t="s">
        <v>370</v>
      </c>
      <c r="C11" t="s">
        <v>372</v>
      </c>
      <c r="D11" s="57">
        <v>45991</v>
      </c>
      <c r="E11" s="57">
        <v>46053</v>
      </c>
      <c r="G11" s="11">
        <v>92.92</v>
      </c>
      <c r="H11" t="s">
        <v>373</v>
      </c>
      <c r="I11" t="s">
        <v>374</v>
      </c>
      <c r="J11" s="57">
        <v>46053</v>
      </c>
      <c r="K11" s="11">
        <v>92.92</v>
      </c>
      <c r="L11" t="s">
        <v>47</v>
      </c>
    </row>
    <row r="12" spans="1:12">
      <c r="A12" t="s">
        <v>13</v>
      </c>
      <c r="B12" t="s">
        <v>375</v>
      </c>
      <c r="C12" t="s">
        <v>4233</v>
      </c>
      <c r="D12" s="57">
        <v>46048</v>
      </c>
      <c r="E12" s="57">
        <v>46048</v>
      </c>
      <c r="F12" t="s">
        <v>16</v>
      </c>
      <c r="G12" s="11">
        <v>16</v>
      </c>
      <c r="H12" t="s">
        <v>379</v>
      </c>
      <c r="I12" t="s">
        <v>18</v>
      </c>
      <c r="J12" s="57">
        <v>46048</v>
      </c>
      <c r="K12" s="11">
        <v>16</v>
      </c>
    </row>
    <row r="13" spans="1:12">
      <c r="B13" t="s">
        <v>4335</v>
      </c>
      <c r="C13" t="s">
        <v>1596</v>
      </c>
      <c r="D13" s="57">
        <v>46079</v>
      </c>
      <c r="E13" s="57">
        <v>46079</v>
      </c>
      <c r="F13" t="s">
        <v>16</v>
      </c>
      <c r="G13" s="11">
        <v>78.08</v>
      </c>
      <c r="H13" t="s">
        <v>4336</v>
      </c>
      <c r="I13" t="s">
        <v>47</v>
      </c>
    </row>
    <row r="14" spans="1:12">
      <c r="A14" t="s">
        <v>4148</v>
      </c>
      <c r="B14" t="s">
        <v>504</v>
      </c>
      <c r="C14" t="s">
        <v>511</v>
      </c>
      <c r="D14" s="57">
        <v>45988</v>
      </c>
      <c r="E14" s="57">
        <v>46022</v>
      </c>
      <c r="G14" s="11">
        <v>111.58</v>
      </c>
      <c r="H14" t="s">
        <v>512</v>
      </c>
      <c r="I14" t="s">
        <v>150</v>
      </c>
      <c r="J14" s="57">
        <v>46022</v>
      </c>
      <c r="K14" s="11">
        <v>111.58</v>
      </c>
      <c r="L14" t="s">
        <v>509</v>
      </c>
    </row>
    <row r="15" spans="1:12">
      <c r="A15" t="s">
        <v>13</v>
      </c>
      <c r="B15" t="s">
        <v>567</v>
      </c>
      <c r="C15" t="s">
        <v>578</v>
      </c>
      <c r="D15" s="57">
        <v>46001</v>
      </c>
      <c r="E15" s="57">
        <v>46021</v>
      </c>
      <c r="G15" s="11">
        <v>48.78</v>
      </c>
      <c r="H15" t="s">
        <v>579</v>
      </c>
      <c r="I15" t="s">
        <v>83</v>
      </c>
      <c r="K15" s="11">
        <v>48.78</v>
      </c>
    </row>
    <row r="16" spans="1:12">
      <c r="A16" t="s">
        <v>4235</v>
      </c>
      <c r="B16" t="s">
        <v>567</v>
      </c>
      <c r="C16" t="s">
        <v>4236</v>
      </c>
      <c r="D16" s="57">
        <v>46051</v>
      </c>
      <c r="E16" s="57">
        <v>46051</v>
      </c>
      <c r="G16" s="11">
        <v>48.78</v>
      </c>
      <c r="H16" t="s">
        <v>4237</v>
      </c>
    </row>
    <row r="17" spans="1:12">
      <c r="B17" t="s">
        <v>732</v>
      </c>
      <c r="C17" t="s">
        <v>735</v>
      </c>
      <c r="D17" s="57">
        <v>45936</v>
      </c>
      <c r="G17" s="11">
        <v>2540</v>
      </c>
      <c r="I17" t="s">
        <v>56</v>
      </c>
      <c r="K17" s="11">
        <v>2656</v>
      </c>
    </row>
    <row r="18" spans="1:12">
      <c r="B18" t="s">
        <v>732</v>
      </c>
      <c r="C18" t="s">
        <v>736</v>
      </c>
      <c r="D18" s="57">
        <v>45936</v>
      </c>
      <c r="G18" s="11">
        <v>555</v>
      </c>
      <c r="I18" t="s">
        <v>56</v>
      </c>
      <c r="K18" s="11">
        <v>555</v>
      </c>
    </row>
    <row r="19" spans="1:12">
      <c r="B19" t="s">
        <v>732</v>
      </c>
      <c r="C19" t="s">
        <v>737</v>
      </c>
      <c r="D19" s="57">
        <v>45936</v>
      </c>
      <c r="G19" s="11">
        <v>3387</v>
      </c>
      <c r="I19" t="s">
        <v>56</v>
      </c>
      <c r="K19" s="11">
        <v>3387</v>
      </c>
    </row>
    <row r="20" spans="1:12">
      <c r="B20" t="s">
        <v>732</v>
      </c>
      <c r="C20" t="s">
        <v>738</v>
      </c>
      <c r="D20" s="57">
        <v>45936</v>
      </c>
      <c r="G20" s="11">
        <v>5740</v>
      </c>
      <c r="I20" t="s">
        <v>56</v>
      </c>
      <c r="K20" s="11">
        <v>5740</v>
      </c>
    </row>
    <row r="21" spans="1:12">
      <c r="B21" t="s">
        <v>732</v>
      </c>
      <c r="C21" t="s">
        <v>739</v>
      </c>
      <c r="D21" s="57">
        <v>45936</v>
      </c>
      <c r="G21" s="11">
        <v>7265</v>
      </c>
      <c r="I21" t="s">
        <v>56</v>
      </c>
      <c r="K21" s="11">
        <v>7265</v>
      </c>
    </row>
    <row r="22" spans="1:12">
      <c r="A22" t="s">
        <v>745</v>
      </c>
      <c r="B22" t="s">
        <v>740</v>
      </c>
      <c r="C22" t="s">
        <v>746</v>
      </c>
      <c r="D22" s="57">
        <v>45992</v>
      </c>
      <c r="E22" s="57">
        <v>46022</v>
      </c>
      <c r="G22" s="11">
        <v>81</v>
      </c>
      <c r="H22" t="s">
        <v>747</v>
      </c>
      <c r="I22" t="s">
        <v>150</v>
      </c>
      <c r="J22" s="57">
        <v>46022</v>
      </c>
      <c r="K22" s="11">
        <v>81</v>
      </c>
      <c r="L22" t="s">
        <v>100</v>
      </c>
    </row>
    <row r="23" spans="1:12">
      <c r="A23" t="s">
        <v>13</v>
      </c>
      <c r="B23" t="s">
        <v>907</v>
      </c>
      <c r="C23" t="s">
        <v>4123</v>
      </c>
      <c r="D23" s="57">
        <v>46037</v>
      </c>
      <c r="E23" s="57">
        <v>46067</v>
      </c>
      <c r="G23" s="11">
        <v>54.9</v>
      </c>
      <c r="H23" t="s">
        <v>4160</v>
      </c>
      <c r="I23" t="s">
        <v>150</v>
      </c>
    </row>
    <row r="24" spans="1:12">
      <c r="A24" t="s">
        <v>4274</v>
      </c>
      <c r="B24" t="s">
        <v>4275</v>
      </c>
      <c r="C24" t="s">
        <v>4276</v>
      </c>
      <c r="D24" s="57">
        <v>46065</v>
      </c>
      <c r="E24" s="57">
        <v>46065</v>
      </c>
      <c r="F24" t="s">
        <v>16</v>
      </c>
      <c r="G24" s="11">
        <v>34.99</v>
      </c>
      <c r="H24" t="s">
        <v>4277</v>
      </c>
      <c r="I24" t="s">
        <v>47</v>
      </c>
      <c r="K24" s="11">
        <v>34.99</v>
      </c>
      <c r="L24" t="s">
        <v>47</v>
      </c>
    </row>
    <row r="25" spans="1:12">
      <c r="A25" t="s">
        <v>13</v>
      </c>
      <c r="B25" t="s">
        <v>930</v>
      </c>
      <c r="C25" t="s">
        <v>4279</v>
      </c>
      <c r="D25" s="57">
        <v>46068</v>
      </c>
      <c r="E25" s="57">
        <v>46068</v>
      </c>
      <c r="F25" t="s">
        <v>16</v>
      </c>
      <c r="G25" s="11">
        <v>561.80999999999995</v>
      </c>
      <c r="H25" t="s">
        <v>4280</v>
      </c>
      <c r="I25" t="s">
        <v>154</v>
      </c>
      <c r="L25" t="s">
        <v>19</v>
      </c>
    </row>
    <row r="26" spans="1:12">
      <c r="A26" t="s">
        <v>13</v>
      </c>
      <c r="B26" t="s">
        <v>930</v>
      </c>
      <c r="C26" t="s">
        <v>4330</v>
      </c>
      <c r="D26" s="57">
        <v>46081</v>
      </c>
      <c r="E26" s="57">
        <v>46081</v>
      </c>
      <c r="F26" t="s">
        <v>16</v>
      </c>
      <c r="G26" s="11">
        <v>550.69000000000005</v>
      </c>
      <c r="H26" t="s">
        <v>4339</v>
      </c>
      <c r="I26" t="s">
        <v>4340</v>
      </c>
      <c r="J26" s="57">
        <v>46081</v>
      </c>
      <c r="L26" t="s">
        <v>19</v>
      </c>
    </row>
    <row r="27" spans="1:12">
      <c r="A27" t="s">
        <v>4282</v>
      </c>
      <c r="B27" t="s">
        <v>1047</v>
      </c>
      <c r="C27" t="s">
        <v>4283</v>
      </c>
      <c r="D27" s="57">
        <v>46073</v>
      </c>
      <c r="G27" s="11">
        <v>5139.8599999999997</v>
      </c>
      <c r="H27" t="s">
        <v>4284</v>
      </c>
      <c r="I27" t="s">
        <v>83</v>
      </c>
      <c r="K27" s="11">
        <v>5139</v>
      </c>
    </row>
    <row r="28" spans="1:12">
      <c r="B28" t="s">
        <v>1186</v>
      </c>
      <c r="C28" t="s">
        <v>1199</v>
      </c>
      <c r="D28" s="57">
        <v>46002</v>
      </c>
      <c r="E28" s="57">
        <v>46053</v>
      </c>
      <c r="G28" s="11">
        <v>448.4</v>
      </c>
      <c r="H28" t="s">
        <v>1200</v>
      </c>
      <c r="I28" t="s">
        <v>83</v>
      </c>
    </row>
    <row r="29" spans="1:12">
      <c r="A29" t="s">
        <v>13</v>
      </c>
      <c r="B29" t="s">
        <v>1235</v>
      </c>
      <c r="C29" t="s">
        <v>4117</v>
      </c>
      <c r="D29" s="57">
        <v>45669</v>
      </c>
      <c r="E29" s="57">
        <v>46055</v>
      </c>
      <c r="F29" t="s">
        <v>16</v>
      </c>
      <c r="G29" s="11">
        <v>887.49</v>
      </c>
      <c r="H29" t="s">
        <v>4165</v>
      </c>
      <c r="I29" t="s">
        <v>1276</v>
      </c>
      <c r="J29" s="57">
        <v>46055</v>
      </c>
      <c r="K29" s="11">
        <v>887.49</v>
      </c>
      <c r="L29" t="s">
        <v>345</v>
      </c>
    </row>
    <row r="30" spans="1:12">
      <c r="A30" t="s">
        <v>90</v>
      </c>
      <c r="B30" t="s">
        <v>1593</v>
      </c>
      <c r="C30" t="s">
        <v>4239</v>
      </c>
      <c r="D30" s="57">
        <v>46045</v>
      </c>
      <c r="E30" s="57">
        <v>46081</v>
      </c>
      <c r="G30" s="11">
        <v>723.22</v>
      </c>
      <c r="H30" t="s">
        <v>4240</v>
      </c>
      <c r="I30" t="s">
        <v>83</v>
      </c>
      <c r="K30" s="11">
        <v>723.22</v>
      </c>
    </row>
    <row r="31" spans="1:12">
      <c r="B31" t="s">
        <v>1730</v>
      </c>
      <c r="C31" t="s">
        <v>4126</v>
      </c>
      <c r="D31" s="57">
        <v>46035</v>
      </c>
      <c r="E31" s="57">
        <v>46066</v>
      </c>
      <c r="F31" t="s">
        <v>16</v>
      </c>
      <c r="G31" s="11">
        <v>27.94</v>
      </c>
      <c r="H31" t="s">
        <v>4168</v>
      </c>
      <c r="I31" t="s">
        <v>1757</v>
      </c>
      <c r="L31" t="s">
        <v>345</v>
      </c>
    </row>
    <row r="32" spans="1:12">
      <c r="B32" t="s">
        <v>1876</v>
      </c>
      <c r="C32" t="s">
        <v>4179</v>
      </c>
      <c r="D32" s="57">
        <v>46054</v>
      </c>
      <c r="F32" t="s">
        <v>16</v>
      </c>
      <c r="G32" s="11">
        <v>54.4</v>
      </c>
      <c r="H32" t="s">
        <v>4300</v>
      </c>
      <c r="I32" t="s">
        <v>150</v>
      </c>
      <c r="K32" s="11">
        <v>54.4</v>
      </c>
      <c r="L32" t="s">
        <v>19</v>
      </c>
    </row>
    <row r="33" spans="2:12">
      <c r="B33" t="s">
        <v>1876</v>
      </c>
      <c r="C33" t="s">
        <v>4344</v>
      </c>
      <c r="D33" s="57">
        <v>46082</v>
      </c>
      <c r="F33" t="s">
        <v>16</v>
      </c>
      <c r="G33" s="11">
        <v>58.8</v>
      </c>
      <c r="H33" t="s">
        <v>1116</v>
      </c>
      <c r="I33" t="s">
        <v>150</v>
      </c>
      <c r="K33" s="11">
        <v>58.8</v>
      </c>
      <c r="L33" t="s">
        <v>19</v>
      </c>
    </row>
    <row r="34" spans="2:12">
      <c r="B34" t="s">
        <v>1876</v>
      </c>
      <c r="C34" t="s">
        <v>4318</v>
      </c>
      <c r="D34" s="57">
        <v>46082</v>
      </c>
      <c r="F34" t="s">
        <v>16</v>
      </c>
      <c r="G34" s="11">
        <v>51.4</v>
      </c>
      <c r="H34" t="s">
        <v>4300</v>
      </c>
      <c r="I34" t="s">
        <v>150</v>
      </c>
      <c r="K34" s="11">
        <v>51.4</v>
      </c>
      <c r="L34" t="s">
        <v>19</v>
      </c>
    </row>
    <row r="35" spans="2:12">
      <c r="B35" t="s">
        <v>1876</v>
      </c>
      <c r="C35" t="s">
        <v>4317</v>
      </c>
      <c r="D35" s="57">
        <v>46082</v>
      </c>
      <c r="F35" t="s">
        <v>16</v>
      </c>
      <c r="G35" s="11">
        <v>57.78</v>
      </c>
      <c r="H35" t="s">
        <v>1250</v>
      </c>
      <c r="I35" t="s">
        <v>150</v>
      </c>
      <c r="K35" s="11">
        <v>57.78</v>
      </c>
      <c r="L35" t="s">
        <v>19</v>
      </c>
    </row>
  </sheetData>
  <dataValidations count="1">
    <dataValidation type="list" allowBlank="1" showInputMessage="1" showErrorMessage="1" sqref="F1:F1048576" xr:uid="{D9A9ED5F-BADE-443C-8A27-688B07EE4F00}">
      <formula1>" , X, C, V"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3289-179E-41FA-94BC-6E1D2D324DE4}">
  <sheetPr codeName="Foglio6"/>
  <dimension ref="A1:P78"/>
  <sheetViews>
    <sheetView zoomScale="85" zoomScaleNormal="85" workbookViewId="0">
      <selection activeCell="C1" sqref="C1"/>
    </sheetView>
  </sheetViews>
  <sheetFormatPr defaultRowHeight="15"/>
  <cols>
    <col min="1" max="1" width="52.42578125" bestFit="1" customWidth="1"/>
    <col min="2" max="2" width="19.5703125" style="7" bestFit="1" customWidth="1"/>
    <col min="3" max="3" width="10.85546875" style="57" bestFit="1" customWidth="1"/>
    <col min="4" max="4" width="11.5703125" style="57" bestFit="1" customWidth="1"/>
    <col min="5" max="5" width="7.42578125" bestFit="1" customWidth="1"/>
    <col min="6" max="6" width="12.140625" bestFit="1" customWidth="1"/>
    <col min="7" max="7" width="81.140625" style="159" bestFit="1" customWidth="1"/>
    <col min="8" max="8" width="27.140625" bestFit="1" customWidth="1"/>
    <col min="9" max="9" width="11" style="11" bestFit="1" customWidth="1"/>
    <col min="10" max="10" width="11.85546875" style="57" bestFit="1" customWidth="1"/>
    <col min="11" max="11" width="6.5703125" bestFit="1" customWidth="1"/>
    <col min="12" max="12" width="12" style="4" bestFit="1" customWidth="1"/>
    <col min="13" max="13" width="81.140625" bestFit="1" customWidth="1"/>
    <col min="14" max="14" width="25.28515625" bestFit="1" customWidth="1"/>
    <col min="15" max="15" width="17.42578125" bestFit="1" customWidth="1"/>
    <col min="16" max="16" width="56.42578125" style="57" bestFit="1" customWidth="1"/>
    <col min="17" max="17" width="81.140625" bestFit="1" customWidth="1"/>
    <col min="18" max="18" width="11.5703125" bestFit="1" customWidth="1"/>
  </cols>
  <sheetData>
    <row r="1" spans="1:16">
      <c r="A1" t="s">
        <v>3394</v>
      </c>
      <c r="B1" t="s">
        <v>3395</v>
      </c>
      <c r="C1" s="57" t="s">
        <v>3396</v>
      </c>
      <c r="D1" s="57" t="s">
        <v>4</v>
      </c>
      <c r="E1" t="s">
        <v>3397</v>
      </c>
      <c r="F1" s="4" t="s">
        <v>6</v>
      </c>
      <c r="G1" s="159" t="s">
        <v>8</v>
      </c>
      <c r="H1" t="s">
        <v>3398</v>
      </c>
      <c r="I1" s="11" t="s">
        <v>3399</v>
      </c>
      <c r="J1" s="57" t="s">
        <v>3400</v>
      </c>
      <c r="L1"/>
      <c r="P1"/>
    </row>
    <row r="2" spans="1:16" ht="45" hidden="1">
      <c r="A2" t="s">
        <v>284</v>
      </c>
      <c r="B2" t="s">
        <v>303</v>
      </c>
      <c r="C2" s="57">
        <v>45897</v>
      </c>
      <c r="D2" s="57">
        <v>45897</v>
      </c>
      <c r="E2" t="s">
        <v>4191</v>
      </c>
      <c r="F2" s="4">
        <v>395.28</v>
      </c>
      <c r="G2" s="159" t="s">
        <v>3939</v>
      </c>
      <c r="H2" t="s">
        <v>3314</v>
      </c>
      <c r="I2" s="11">
        <v>71.28</v>
      </c>
      <c r="J2" s="57">
        <v>45957</v>
      </c>
      <c r="L2"/>
      <c r="P2"/>
    </row>
    <row r="3" spans="1:16" ht="30" hidden="1">
      <c r="A3" t="s">
        <v>309</v>
      </c>
      <c r="B3" t="s">
        <v>310</v>
      </c>
      <c r="C3" s="57">
        <v>45868</v>
      </c>
      <c r="D3" s="57">
        <v>45868</v>
      </c>
      <c r="E3" t="s">
        <v>4191</v>
      </c>
      <c r="F3" s="4">
        <v>40000</v>
      </c>
      <c r="G3" s="159" t="s">
        <v>3943</v>
      </c>
      <c r="H3" t="s">
        <v>3314</v>
      </c>
      <c r="I3" s="11">
        <v>0</v>
      </c>
      <c r="J3" s="57">
        <v>45928</v>
      </c>
      <c r="L3"/>
      <c r="P3"/>
    </row>
    <row r="4" spans="1:16" ht="60" hidden="1">
      <c r="A4" t="s">
        <v>318</v>
      </c>
      <c r="B4" t="s">
        <v>324</v>
      </c>
      <c r="C4" s="57">
        <v>45808</v>
      </c>
      <c r="D4" s="57">
        <v>45838</v>
      </c>
      <c r="E4" t="s">
        <v>4191</v>
      </c>
      <c r="F4" s="4">
        <v>1481.77</v>
      </c>
      <c r="G4" s="159" t="s">
        <v>3944</v>
      </c>
      <c r="H4" t="s">
        <v>3314</v>
      </c>
      <c r="I4" s="11">
        <v>534.41</v>
      </c>
      <c r="J4" s="57">
        <v>45838</v>
      </c>
      <c r="L4"/>
      <c r="P4"/>
    </row>
    <row r="5" spans="1:16" ht="60" hidden="1">
      <c r="A5" t="s">
        <v>318</v>
      </c>
      <c r="B5" t="s">
        <v>324</v>
      </c>
      <c r="C5" s="57">
        <v>45808</v>
      </c>
      <c r="D5" s="57">
        <v>45869</v>
      </c>
      <c r="E5" t="s">
        <v>4191</v>
      </c>
      <c r="F5" s="4">
        <v>1481.77</v>
      </c>
      <c r="G5" s="159" t="s">
        <v>3944</v>
      </c>
      <c r="H5" t="s">
        <v>3314</v>
      </c>
      <c r="I5" s="11">
        <v>534.41</v>
      </c>
      <c r="J5" s="57">
        <v>45869</v>
      </c>
      <c r="L5"/>
      <c r="P5"/>
    </row>
    <row r="6" spans="1:16" ht="45" hidden="1">
      <c r="A6" t="s">
        <v>318</v>
      </c>
      <c r="B6" t="s">
        <v>322</v>
      </c>
      <c r="C6" s="57">
        <v>45703</v>
      </c>
      <c r="D6" s="57">
        <v>45777</v>
      </c>
      <c r="E6" t="s">
        <v>4191</v>
      </c>
      <c r="F6" s="4">
        <v>1453.18</v>
      </c>
      <c r="G6" s="159" t="s">
        <v>3945</v>
      </c>
      <c r="H6" t="s">
        <v>3314</v>
      </c>
      <c r="I6" s="11">
        <v>524.1</v>
      </c>
      <c r="J6" s="57">
        <v>45777</v>
      </c>
      <c r="L6"/>
      <c r="P6"/>
    </row>
    <row r="7" spans="1:16" ht="45" hidden="1">
      <c r="A7" t="s">
        <v>318</v>
      </c>
      <c r="B7" t="s">
        <v>319</v>
      </c>
      <c r="C7" s="57">
        <v>45672</v>
      </c>
      <c r="D7" s="57">
        <v>45716</v>
      </c>
      <c r="E7" t="s">
        <v>4191</v>
      </c>
      <c r="F7" s="4">
        <v>1342.75</v>
      </c>
      <c r="G7" s="159" t="s">
        <v>3946</v>
      </c>
      <c r="H7" t="s">
        <v>3314</v>
      </c>
      <c r="I7" s="11">
        <v>484.27</v>
      </c>
      <c r="J7" s="57">
        <v>45716</v>
      </c>
      <c r="L7"/>
      <c r="P7"/>
    </row>
    <row r="8" spans="1:16" ht="45" hidden="1">
      <c r="A8" t="s">
        <v>318</v>
      </c>
      <c r="B8" t="s">
        <v>319</v>
      </c>
      <c r="C8" s="57">
        <v>45672</v>
      </c>
      <c r="D8" s="57">
        <v>45747</v>
      </c>
      <c r="E8" t="s">
        <v>4191</v>
      </c>
      <c r="F8" s="4">
        <v>1342.75</v>
      </c>
      <c r="G8" s="159" t="s">
        <v>3946</v>
      </c>
      <c r="H8" t="s">
        <v>3314</v>
      </c>
      <c r="I8" s="11">
        <v>484.27</v>
      </c>
      <c r="J8" s="57">
        <v>45747</v>
      </c>
      <c r="L8"/>
      <c r="P8"/>
    </row>
    <row r="9" spans="1:16" ht="30" hidden="1">
      <c r="A9" t="s">
        <v>400</v>
      </c>
      <c r="B9" t="s">
        <v>401</v>
      </c>
      <c r="C9" s="57">
        <v>45694</v>
      </c>
      <c r="D9" s="57">
        <v>45694</v>
      </c>
      <c r="E9" t="s">
        <v>4191</v>
      </c>
      <c r="F9" s="4">
        <v>14963.2</v>
      </c>
      <c r="G9" s="159" t="s">
        <v>3948</v>
      </c>
      <c r="H9" t="s">
        <v>3314</v>
      </c>
      <c r="I9" s="11">
        <v>3203.2</v>
      </c>
      <c r="J9" s="57">
        <v>45754</v>
      </c>
      <c r="L9"/>
      <c r="P9"/>
    </row>
    <row r="10" spans="1:16" hidden="1">
      <c r="A10" t="s">
        <v>3526</v>
      </c>
      <c r="B10" t="s">
        <v>482</v>
      </c>
      <c r="C10" s="57">
        <v>45798</v>
      </c>
      <c r="D10" s="57">
        <v>45810</v>
      </c>
      <c r="E10" t="s">
        <v>4191</v>
      </c>
      <c r="F10" s="4">
        <v>8700</v>
      </c>
      <c r="G10" s="159" t="s">
        <v>3528</v>
      </c>
      <c r="H10" t="s">
        <v>751</v>
      </c>
      <c r="I10" s="11">
        <v>0</v>
      </c>
      <c r="J10" s="57">
        <v>45810</v>
      </c>
      <c r="L10"/>
      <c r="P10"/>
    </row>
    <row r="11" spans="1:16" ht="30" hidden="1">
      <c r="A11" t="s">
        <v>3534</v>
      </c>
      <c r="B11" t="s">
        <v>560</v>
      </c>
      <c r="C11" s="57">
        <v>45688</v>
      </c>
      <c r="D11" s="57">
        <v>45688</v>
      </c>
      <c r="E11" t="s">
        <v>4191</v>
      </c>
      <c r="F11" s="4">
        <v>9000</v>
      </c>
      <c r="G11" s="159" t="s">
        <v>3535</v>
      </c>
      <c r="H11" t="s">
        <v>3314</v>
      </c>
      <c r="I11" s="11">
        <v>0</v>
      </c>
      <c r="J11" s="57">
        <v>45748</v>
      </c>
      <c r="L11"/>
      <c r="P11"/>
    </row>
    <row r="12" spans="1:16" ht="45" hidden="1">
      <c r="A12" t="s">
        <v>567</v>
      </c>
      <c r="B12" t="s">
        <v>578</v>
      </c>
      <c r="C12" s="57">
        <v>46001</v>
      </c>
      <c r="D12" s="57">
        <v>46021</v>
      </c>
      <c r="E12" t="s">
        <v>4191</v>
      </c>
      <c r="F12" s="4">
        <v>48.74</v>
      </c>
      <c r="G12" s="159" t="s">
        <v>3954</v>
      </c>
      <c r="H12" t="s">
        <v>3314</v>
      </c>
      <c r="I12" s="11">
        <v>0</v>
      </c>
      <c r="J12" s="57">
        <v>46021</v>
      </c>
      <c r="L12"/>
      <c r="P12"/>
    </row>
    <row r="13" spans="1:16" ht="45" hidden="1">
      <c r="A13" t="s">
        <v>3553</v>
      </c>
      <c r="B13" t="s">
        <v>3554</v>
      </c>
      <c r="C13" s="57">
        <v>45672</v>
      </c>
      <c r="D13" s="57">
        <v>45672</v>
      </c>
      <c r="E13" t="s">
        <v>4191</v>
      </c>
      <c r="F13" s="4">
        <v>12047.16</v>
      </c>
      <c r="G13" s="159" t="s">
        <v>3555</v>
      </c>
      <c r="H13" t="s">
        <v>751</v>
      </c>
      <c r="I13" s="11">
        <v>2145.21</v>
      </c>
      <c r="J13" s="57">
        <v>45732</v>
      </c>
      <c r="L13"/>
      <c r="P13"/>
    </row>
    <row r="14" spans="1:16" ht="30" hidden="1">
      <c r="A14" t="s">
        <v>3553</v>
      </c>
      <c r="B14" t="s">
        <v>661</v>
      </c>
      <c r="C14" s="57">
        <v>45731</v>
      </c>
      <c r="D14" s="57">
        <v>45731</v>
      </c>
      <c r="E14" t="s">
        <v>4191</v>
      </c>
      <c r="F14" s="4">
        <v>572.91</v>
      </c>
      <c r="G14" s="159" t="s">
        <v>3558</v>
      </c>
      <c r="H14" t="s">
        <v>751</v>
      </c>
      <c r="I14" s="11">
        <v>103.31</v>
      </c>
      <c r="J14" s="57">
        <v>45791</v>
      </c>
      <c r="L14"/>
      <c r="P14"/>
    </row>
    <row r="15" spans="1:16" ht="45" hidden="1">
      <c r="A15" t="s">
        <v>3553</v>
      </c>
      <c r="B15" t="s">
        <v>3556</v>
      </c>
      <c r="C15" s="57">
        <v>45688</v>
      </c>
      <c r="D15" s="57">
        <v>45688</v>
      </c>
      <c r="E15" t="s">
        <v>4191</v>
      </c>
      <c r="F15" s="4">
        <v>6899.26</v>
      </c>
      <c r="G15" s="159" t="s">
        <v>3557</v>
      </c>
      <c r="H15" t="s">
        <v>751</v>
      </c>
      <c r="I15" s="11">
        <v>1244.1300000000001</v>
      </c>
      <c r="J15" s="57">
        <v>45748</v>
      </c>
      <c r="L15"/>
      <c r="P15"/>
    </row>
    <row r="16" spans="1:16" ht="45" hidden="1">
      <c r="A16" t="s">
        <v>3553</v>
      </c>
      <c r="B16" t="s">
        <v>664</v>
      </c>
      <c r="C16" s="57">
        <v>45747</v>
      </c>
      <c r="D16" s="57">
        <v>45747</v>
      </c>
      <c r="E16" t="s">
        <v>4191</v>
      </c>
      <c r="F16" s="4">
        <v>8158.09</v>
      </c>
      <c r="G16" s="159" t="s">
        <v>3559</v>
      </c>
      <c r="H16" t="s">
        <v>751</v>
      </c>
      <c r="I16" s="11">
        <v>4302.01</v>
      </c>
      <c r="J16" s="57">
        <v>45807</v>
      </c>
      <c r="L16"/>
      <c r="P16"/>
    </row>
    <row r="17" spans="1:16" ht="45" hidden="1">
      <c r="A17" t="s">
        <v>3553</v>
      </c>
      <c r="B17" t="s">
        <v>664</v>
      </c>
      <c r="C17" s="57">
        <v>45747</v>
      </c>
      <c r="D17" s="57">
        <v>45747</v>
      </c>
      <c r="E17" t="s">
        <v>4191</v>
      </c>
      <c r="F17" s="4">
        <v>15895.51</v>
      </c>
      <c r="G17" s="159" t="s">
        <v>3559</v>
      </c>
      <c r="H17" t="s">
        <v>751</v>
      </c>
      <c r="I17" s="11">
        <v>4302.01</v>
      </c>
      <c r="J17" s="57">
        <v>45807</v>
      </c>
      <c r="L17"/>
      <c r="P17"/>
    </row>
    <row r="18" spans="1:16" hidden="1">
      <c r="A18" t="s">
        <v>3351</v>
      </c>
      <c r="B18" t="s">
        <v>3577</v>
      </c>
      <c r="C18" s="57">
        <v>45803</v>
      </c>
      <c r="D18" s="57">
        <v>45803</v>
      </c>
      <c r="E18" t="s">
        <v>4191</v>
      </c>
      <c r="F18" s="4">
        <v>18000</v>
      </c>
      <c r="G18" s="159" t="s">
        <v>3578</v>
      </c>
      <c r="H18" t="s">
        <v>3314</v>
      </c>
      <c r="I18" s="11">
        <v>0</v>
      </c>
      <c r="J18" s="57">
        <v>45863</v>
      </c>
      <c r="L18"/>
      <c r="P18"/>
    </row>
    <row r="19" spans="1:16" hidden="1">
      <c r="A19" t="s">
        <v>3353</v>
      </c>
      <c r="B19" t="s">
        <v>3591</v>
      </c>
      <c r="C19" s="57">
        <v>45672</v>
      </c>
      <c r="E19" t="s">
        <v>4191</v>
      </c>
      <c r="F19" s="4">
        <v>64.8</v>
      </c>
      <c r="G19" s="159" t="s">
        <v>3592</v>
      </c>
      <c r="H19" t="s">
        <v>751</v>
      </c>
      <c r="I19" s="11">
        <v>5.89</v>
      </c>
      <c r="L19"/>
      <c r="P19"/>
    </row>
    <row r="20" spans="1:16" ht="45" hidden="1">
      <c r="A20" t="s">
        <v>3598</v>
      </c>
      <c r="B20" t="s">
        <v>801</v>
      </c>
      <c r="C20" s="57">
        <v>45808</v>
      </c>
      <c r="D20" s="57">
        <v>45869</v>
      </c>
      <c r="E20" t="s">
        <v>4191</v>
      </c>
      <c r="F20" s="4">
        <v>1944.92</v>
      </c>
      <c r="G20" s="159" t="s">
        <v>3600</v>
      </c>
      <c r="H20" t="s">
        <v>125</v>
      </c>
      <c r="I20" s="11">
        <v>350.72</v>
      </c>
      <c r="J20" s="57">
        <v>45869</v>
      </c>
      <c r="L20"/>
      <c r="P20"/>
    </row>
    <row r="21" spans="1:16" ht="30" hidden="1">
      <c r="A21" t="s">
        <v>815</v>
      </c>
      <c r="B21" t="s">
        <v>3601</v>
      </c>
      <c r="C21" s="57">
        <v>45936</v>
      </c>
      <c r="D21" s="57">
        <v>45936</v>
      </c>
      <c r="E21" t="s">
        <v>4191</v>
      </c>
      <c r="F21" s="4">
        <v>10000</v>
      </c>
      <c r="G21" s="159" t="s">
        <v>3602</v>
      </c>
      <c r="H21" t="s">
        <v>3314</v>
      </c>
      <c r="I21" s="11">
        <v>0</v>
      </c>
      <c r="J21" s="57">
        <v>45996</v>
      </c>
      <c r="L21"/>
      <c r="P21"/>
    </row>
    <row r="22" spans="1:16" ht="30" hidden="1">
      <c r="A22" t="s">
        <v>3609</v>
      </c>
      <c r="B22" t="s">
        <v>3610</v>
      </c>
      <c r="C22" s="57">
        <v>45946</v>
      </c>
      <c r="D22" s="57">
        <v>45946</v>
      </c>
      <c r="E22" t="s">
        <v>4191</v>
      </c>
      <c r="F22" s="4">
        <v>10000</v>
      </c>
      <c r="G22" s="159" t="s">
        <v>3611</v>
      </c>
      <c r="H22" t="s">
        <v>3314</v>
      </c>
      <c r="I22" s="11">
        <v>0</v>
      </c>
      <c r="J22" s="57">
        <v>46006</v>
      </c>
      <c r="L22"/>
      <c r="P22"/>
    </row>
    <row r="23" spans="1:16" hidden="1">
      <c r="A23" t="s">
        <v>826</v>
      </c>
      <c r="B23" t="s">
        <v>335</v>
      </c>
      <c r="C23" s="57">
        <v>45968</v>
      </c>
      <c r="E23" t="s">
        <v>4191</v>
      </c>
      <c r="F23" s="4">
        <v>9000</v>
      </c>
      <c r="G23" s="159" t="s">
        <v>3961</v>
      </c>
      <c r="I23" s="11">
        <v>0</v>
      </c>
      <c r="L23"/>
      <c r="P23"/>
    </row>
    <row r="24" spans="1:16" ht="30" hidden="1">
      <c r="A24" t="s">
        <v>3630</v>
      </c>
      <c r="B24" t="s">
        <v>3635</v>
      </c>
      <c r="C24" s="57">
        <v>45951</v>
      </c>
      <c r="E24" t="s">
        <v>4191</v>
      </c>
      <c r="F24" s="4">
        <v>60.95</v>
      </c>
      <c r="G24" s="159" t="s">
        <v>3636</v>
      </c>
      <c r="I24" s="11">
        <v>10.99</v>
      </c>
      <c r="L24"/>
      <c r="P24"/>
    </row>
    <row r="25" spans="1:16" hidden="1">
      <c r="A25" t="s">
        <v>898</v>
      </c>
      <c r="B25" t="s">
        <v>3645</v>
      </c>
      <c r="C25" s="57">
        <v>45933</v>
      </c>
      <c r="D25" s="57">
        <v>45933</v>
      </c>
      <c r="E25" t="s">
        <v>4191</v>
      </c>
      <c r="F25" s="4">
        <v>0</v>
      </c>
      <c r="G25" s="159" t="s">
        <v>3646</v>
      </c>
      <c r="H25" t="s">
        <v>350</v>
      </c>
      <c r="I25" s="11">
        <v>15.18</v>
      </c>
      <c r="J25" s="57">
        <v>45993</v>
      </c>
      <c r="L25"/>
      <c r="P25"/>
    </row>
    <row r="26" spans="1:16" ht="30" hidden="1">
      <c r="A26" t="s">
        <v>3647</v>
      </c>
      <c r="B26" t="s">
        <v>3648</v>
      </c>
      <c r="C26" s="57">
        <v>45945</v>
      </c>
      <c r="D26" s="57">
        <v>45975</v>
      </c>
      <c r="E26" t="s">
        <v>4191</v>
      </c>
      <c r="F26" s="4">
        <v>54.9</v>
      </c>
      <c r="G26" s="159" t="s">
        <v>3649</v>
      </c>
      <c r="H26" t="s">
        <v>3650</v>
      </c>
      <c r="I26" s="11">
        <v>9.9</v>
      </c>
      <c r="J26" s="57">
        <v>45975</v>
      </c>
      <c r="L26"/>
      <c r="P26"/>
    </row>
    <row r="27" spans="1:16" ht="45" hidden="1">
      <c r="A27" t="s">
        <v>3654</v>
      </c>
      <c r="B27" t="s">
        <v>928</v>
      </c>
      <c r="C27" s="57">
        <v>45958</v>
      </c>
      <c r="E27" t="s">
        <v>4191</v>
      </c>
      <c r="F27" s="4">
        <v>215.45</v>
      </c>
      <c r="G27" s="159" t="s">
        <v>3657</v>
      </c>
      <c r="I27" s="11">
        <v>38.85</v>
      </c>
      <c r="L27"/>
      <c r="P27"/>
    </row>
    <row r="28" spans="1:16" hidden="1">
      <c r="A28" t="s">
        <v>930</v>
      </c>
      <c r="B28" t="s">
        <v>3660</v>
      </c>
      <c r="C28" s="57">
        <v>45945</v>
      </c>
      <c r="E28" t="s">
        <v>4191</v>
      </c>
      <c r="F28" s="4">
        <v>328.43</v>
      </c>
      <c r="G28" s="159" t="s">
        <v>3661</v>
      </c>
      <c r="H28" t="s">
        <v>3309</v>
      </c>
      <c r="I28" s="11">
        <v>59.23</v>
      </c>
      <c r="L28"/>
      <c r="P28"/>
    </row>
    <row r="29" spans="1:16" ht="45" hidden="1">
      <c r="A29" t="s">
        <v>3662</v>
      </c>
      <c r="B29" t="s">
        <v>3667</v>
      </c>
      <c r="C29" s="57">
        <v>45930</v>
      </c>
      <c r="D29" s="57">
        <v>45940</v>
      </c>
      <c r="E29" t="s">
        <v>4191</v>
      </c>
      <c r="F29" s="4">
        <v>6344</v>
      </c>
      <c r="G29" s="159" t="s">
        <v>3668</v>
      </c>
      <c r="H29" t="s">
        <v>3314</v>
      </c>
      <c r="I29" s="11">
        <v>1144</v>
      </c>
      <c r="J29" s="57">
        <v>45940</v>
      </c>
      <c r="L29"/>
      <c r="P29"/>
    </row>
    <row r="30" spans="1:16" hidden="1">
      <c r="A30" t="s">
        <v>1047</v>
      </c>
      <c r="B30" t="s">
        <v>3678</v>
      </c>
      <c r="C30" s="57">
        <v>45947</v>
      </c>
      <c r="D30" s="57">
        <v>45947</v>
      </c>
      <c r="E30" t="s">
        <v>4191</v>
      </c>
      <c r="F30" s="4">
        <v>4500.01</v>
      </c>
      <c r="G30" s="159" t="s">
        <v>3679</v>
      </c>
      <c r="H30" t="s">
        <v>3314</v>
      </c>
      <c r="I30" s="11">
        <v>811.48</v>
      </c>
      <c r="J30" s="57">
        <v>46007</v>
      </c>
      <c r="L30"/>
      <c r="P30"/>
    </row>
    <row r="31" spans="1:16" hidden="1">
      <c r="A31" t="s">
        <v>3682</v>
      </c>
      <c r="B31" t="s">
        <v>3688</v>
      </c>
      <c r="C31" s="57">
        <v>45947</v>
      </c>
      <c r="E31" t="s">
        <v>4191</v>
      </c>
      <c r="F31" s="4">
        <v>229.99</v>
      </c>
      <c r="G31" s="159" t="s">
        <v>3689</v>
      </c>
      <c r="I31" s="11">
        <v>41.47</v>
      </c>
      <c r="L31"/>
      <c r="P31"/>
    </row>
    <row r="32" spans="1:16" ht="45" hidden="1">
      <c r="A32" t="s">
        <v>1186</v>
      </c>
      <c r="B32" t="s">
        <v>1195</v>
      </c>
      <c r="C32" s="57">
        <v>45792</v>
      </c>
      <c r="D32" s="57">
        <v>45838</v>
      </c>
      <c r="E32" t="s">
        <v>4191</v>
      </c>
      <c r="F32" s="4">
        <v>165.2</v>
      </c>
      <c r="G32" s="159" t="s">
        <v>4015</v>
      </c>
      <c r="H32" t="s">
        <v>3314</v>
      </c>
      <c r="I32" s="11">
        <v>0</v>
      </c>
      <c r="J32" s="57">
        <v>45838</v>
      </c>
      <c r="L32"/>
      <c r="P32"/>
    </row>
    <row r="33" spans="1:16" ht="30" hidden="1">
      <c r="A33" t="s">
        <v>3762</v>
      </c>
      <c r="B33" t="s">
        <v>3763</v>
      </c>
      <c r="C33" s="57">
        <v>45951</v>
      </c>
      <c r="D33" s="57">
        <v>45951</v>
      </c>
      <c r="E33" t="s">
        <v>4191</v>
      </c>
      <c r="F33" s="4">
        <v>284.89</v>
      </c>
      <c r="G33" s="159" t="s">
        <v>3764</v>
      </c>
      <c r="H33" t="s">
        <v>751</v>
      </c>
      <c r="I33" s="11">
        <v>51.37</v>
      </c>
      <c r="J33" s="57">
        <v>46011</v>
      </c>
      <c r="L33"/>
      <c r="P33"/>
    </row>
    <row r="34" spans="1:16" ht="45" hidden="1">
      <c r="A34" t="s">
        <v>3765</v>
      </c>
      <c r="B34" t="s">
        <v>1382</v>
      </c>
      <c r="C34" s="57">
        <v>45716</v>
      </c>
      <c r="D34" s="57">
        <v>45787</v>
      </c>
      <c r="E34" t="s">
        <v>4191</v>
      </c>
      <c r="F34" s="4">
        <v>4432.09</v>
      </c>
      <c r="G34" s="159" t="s">
        <v>3766</v>
      </c>
      <c r="H34" t="s">
        <v>125</v>
      </c>
      <c r="I34" s="11">
        <v>799.23</v>
      </c>
      <c r="J34" s="57">
        <v>45787</v>
      </c>
      <c r="L34"/>
      <c r="P34"/>
    </row>
    <row r="35" spans="1:16" ht="30" hidden="1">
      <c r="A35" t="s">
        <v>3774</v>
      </c>
      <c r="B35" t="s">
        <v>335</v>
      </c>
      <c r="C35" s="57">
        <v>45688</v>
      </c>
      <c r="D35" s="57">
        <v>45688</v>
      </c>
      <c r="E35" t="s">
        <v>4191</v>
      </c>
      <c r="F35" s="4">
        <v>2880</v>
      </c>
      <c r="G35" s="159" t="s">
        <v>3775</v>
      </c>
      <c r="H35" t="s">
        <v>3314</v>
      </c>
      <c r="I35" s="11">
        <v>0</v>
      </c>
      <c r="J35" s="57">
        <v>45748</v>
      </c>
      <c r="L35"/>
      <c r="P35"/>
    </row>
    <row r="36" spans="1:16" ht="30" hidden="1">
      <c r="A36" t="s">
        <v>1435</v>
      </c>
      <c r="B36" t="s">
        <v>3776</v>
      </c>
      <c r="C36" s="57">
        <v>45754</v>
      </c>
      <c r="D36" s="57">
        <v>45754</v>
      </c>
      <c r="E36" t="s">
        <v>4191</v>
      </c>
      <c r="F36" s="4">
        <v>170.62</v>
      </c>
      <c r="G36" s="159" t="s">
        <v>3777</v>
      </c>
      <c r="H36" t="s">
        <v>3314</v>
      </c>
      <c r="I36" s="11">
        <v>30.77</v>
      </c>
      <c r="J36" s="57">
        <v>45814</v>
      </c>
      <c r="L36"/>
      <c r="P36"/>
    </row>
    <row r="37" spans="1:16" ht="30" hidden="1">
      <c r="A37" t="s">
        <v>1438</v>
      </c>
      <c r="B37" t="s">
        <v>3778</v>
      </c>
      <c r="C37" s="57">
        <v>45666</v>
      </c>
      <c r="D37" s="57">
        <v>45682</v>
      </c>
      <c r="E37" t="s">
        <v>4191</v>
      </c>
      <c r="F37" s="4">
        <v>167.54</v>
      </c>
      <c r="G37" s="159" t="s">
        <v>3779</v>
      </c>
      <c r="H37" t="s">
        <v>3309</v>
      </c>
      <c r="I37" s="11">
        <v>30.21</v>
      </c>
      <c r="J37" s="57">
        <v>45682</v>
      </c>
      <c r="L37"/>
      <c r="P37"/>
    </row>
    <row r="38" spans="1:16" hidden="1">
      <c r="A38" t="s">
        <v>3780</v>
      </c>
      <c r="B38" t="s">
        <v>3781</v>
      </c>
      <c r="C38" s="57">
        <v>45944</v>
      </c>
      <c r="E38" t="s">
        <v>4191</v>
      </c>
      <c r="F38" s="4">
        <v>17.7</v>
      </c>
      <c r="G38" s="159" t="s">
        <v>3782</v>
      </c>
      <c r="I38" s="11">
        <v>1.61</v>
      </c>
      <c r="L38"/>
      <c r="P38"/>
    </row>
    <row r="39" spans="1:16" ht="30" hidden="1">
      <c r="A39" t="s">
        <v>1453</v>
      </c>
      <c r="B39" t="s">
        <v>335</v>
      </c>
      <c r="C39" s="57">
        <v>46002</v>
      </c>
      <c r="E39" t="s">
        <v>4191</v>
      </c>
      <c r="F39" s="4">
        <v>20000</v>
      </c>
      <c r="G39" s="159" t="s">
        <v>4040</v>
      </c>
      <c r="I39" s="11">
        <v>0</v>
      </c>
      <c r="L39"/>
      <c r="P39"/>
    </row>
    <row r="40" spans="1:16" ht="45" hidden="1">
      <c r="A40" t="s">
        <v>1472</v>
      </c>
      <c r="B40" t="s">
        <v>1478</v>
      </c>
      <c r="C40" s="57">
        <v>45743</v>
      </c>
      <c r="E40" t="s">
        <v>4191</v>
      </c>
      <c r="F40" s="4">
        <v>2061.8000000000002</v>
      </c>
      <c r="G40" s="159" t="s">
        <v>4041</v>
      </c>
      <c r="I40" s="11">
        <v>371.8</v>
      </c>
      <c r="L40"/>
      <c r="P40"/>
    </row>
    <row r="41" spans="1:16" ht="30" hidden="1">
      <c r="A41" t="s">
        <v>1472</v>
      </c>
      <c r="B41" t="s">
        <v>1476</v>
      </c>
      <c r="C41" s="57">
        <v>45713</v>
      </c>
      <c r="E41" t="s">
        <v>4191</v>
      </c>
      <c r="F41" s="4">
        <v>3050</v>
      </c>
      <c r="G41" s="159" t="s">
        <v>4042</v>
      </c>
      <c r="I41" s="11">
        <v>550</v>
      </c>
      <c r="L41"/>
      <c r="P41"/>
    </row>
    <row r="42" spans="1:16" ht="45" hidden="1">
      <c r="A42" t="s">
        <v>1495</v>
      </c>
      <c r="B42" t="s">
        <v>1508</v>
      </c>
      <c r="C42" s="57">
        <v>45803</v>
      </c>
      <c r="E42" t="s">
        <v>4191</v>
      </c>
      <c r="F42" s="4">
        <v>45000</v>
      </c>
      <c r="G42" s="159" t="s">
        <v>4045</v>
      </c>
      <c r="I42" s="11">
        <v>0</v>
      </c>
      <c r="L42"/>
      <c r="P42"/>
    </row>
    <row r="43" spans="1:16" ht="45" hidden="1">
      <c r="A43" t="s">
        <v>1495</v>
      </c>
      <c r="B43" t="s">
        <v>1505</v>
      </c>
      <c r="C43" s="57">
        <v>45803</v>
      </c>
      <c r="E43" t="s">
        <v>4191</v>
      </c>
      <c r="F43" s="4">
        <v>80000</v>
      </c>
      <c r="G43" s="159" t="s">
        <v>4046</v>
      </c>
      <c r="I43" s="11">
        <v>0</v>
      </c>
      <c r="L43"/>
      <c r="P43"/>
    </row>
    <row r="44" spans="1:16" ht="45" hidden="1">
      <c r="A44" t="s">
        <v>3796</v>
      </c>
      <c r="B44" t="s">
        <v>1568</v>
      </c>
      <c r="C44" s="57">
        <v>45688</v>
      </c>
      <c r="D44" s="57">
        <v>45688</v>
      </c>
      <c r="E44" t="s">
        <v>4191</v>
      </c>
      <c r="F44" s="4">
        <v>7076</v>
      </c>
      <c r="G44" s="159" t="s">
        <v>3799</v>
      </c>
      <c r="H44" t="s">
        <v>3314</v>
      </c>
      <c r="I44" s="11">
        <v>1276</v>
      </c>
      <c r="J44" s="57">
        <v>45748</v>
      </c>
      <c r="L44"/>
      <c r="P44"/>
    </row>
    <row r="45" spans="1:16" ht="45" hidden="1">
      <c r="A45" t="s">
        <v>1593</v>
      </c>
      <c r="B45" t="s">
        <v>3808</v>
      </c>
      <c r="C45" s="57">
        <v>45734</v>
      </c>
      <c r="D45" s="57">
        <v>45734</v>
      </c>
      <c r="E45" t="s">
        <v>4191</v>
      </c>
      <c r="F45" s="4">
        <v>0</v>
      </c>
      <c r="G45" s="159" t="s">
        <v>3809</v>
      </c>
      <c r="H45" t="s">
        <v>3314</v>
      </c>
      <c r="I45" s="11">
        <v>266.32</v>
      </c>
      <c r="J45" s="57">
        <v>45794</v>
      </c>
      <c r="L45"/>
      <c r="P45"/>
    </row>
    <row r="46" spans="1:16" ht="45" hidden="1">
      <c r="A46" t="s">
        <v>1593</v>
      </c>
      <c r="B46" t="s">
        <v>1592</v>
      </c>
      <c r="C46" s="57">
        <v>45876</v>
      </c>
      <c r="D46" s="57">
        <v>45876</v>
      </c>
      <c r="E46" t="s">
        <v>4191</v>
      </c>
      <c r="F46" s="4">
        <v>0</v>
      </c>
      <c r="G46" s="159" t="s">
        <v>3807</v>
      </c>
      <c r="H46" t="s">
        <v>125</v>
      </c>
      <c r="I46" s="11">
        <v>266.32</v>
      </c>
      <c r="J46" s="57">
        <v>45936</v>
      </c>
      <c r="L46"/>
      <c r="P46"/>
    </row>
    <row r="47" spans="1:16" ht="45" hidden="1">
      <c r="A47" t="s">
        <v>1593</v>
      </c>
      <c r="B47" t="s">
        <v>1596</v>
      </c>
      <c r="C47" s="57">
        <v>45901</v>
      </c>
      <c r="D47" s="57">
        <v>45901</v>
      </c>
      <c r="E47" t="s">
        <v>4191</v>
      </c>
      <c r="F47" s="4">
        <v>0</v>
      </c>
      <c r="G47" s="159" t="s">
        <v>4063</v>
      </c>
      <c r="H47" t="s">
        <v>125</v>
      </c>
      <c r="I47" s="11">
        <v>245.5</v>
      </c>
      <c r="J47" s="57">
        <v>45961</v>
      </c>
      <c r="L47"/>
      <c r="P47"/>
    </row>
    <row r="48" spans="1:16" ht="45" hidden="1">
      <c r="A48" t="s">
        <v>1593</v>
      </c>
      <c r="B48" t="s">
        <v>902</v>
      </c>
      <c r="C48" s="57">
        <v>46003</v>
      </c>
      <c r="D48" s="57">
        <v>46003</v>
      </c>
      <c r="E48" t="s">
        <v>4191</v>
      </c>
      <c r="F48" s="4">
        <v>0</v>
      </c>
      <c r="G48" s="159" t="s">
        <v>4062</v>
      </c>
      <c r="H48" t="s">
        <v>125</v>
      </c>
      <c r="I48" s="11">
        <v>182.81</v>
      </c>
      <c r="J48" s="57">
        <v>46063</v>
      </c>
      <c r="L48"/>
      <c r="P48"/>
    </row>
    <row r="49" spans="1:16" ht="45" hidden="1">
      <c r="A49" t="s">
        <v>3810</v>
      </c>
      <c r="B49" t="s">
        <v>3813</v>
      </c>
      <c r="C49" s="57">
        <v>45939</v>
      </c>
      <c r="D49" s="57">
        <v>45939</v>
      </c>
      <c r="E49" t="s">
        <v>4191</v>
      </c>
      <c r="F49" s="4">
        <v>1603.2</v>
      </c>
      <c r="G49" s="159" t="s">
        <v>3814</v>
      </c>
      <c r="H49" t="s">
        <v>3314</v>
      </c>
      <c r="I49" s="11">
        <v>343.2</v>
      </c>
      <c r="J49" s="57">
        <v>45999</v>
      </c>
      <c r="L49"/>
      <c r="P49"/>
    </row>
    <row r="50" spans="1:16" ht="30" hidden="1">
      <c r="A50" t="s">
        <v>3816</v>
      </c>
      <c r="B50" t="s">
        <v>1627</v>
      </c>
      <c r="C50" s="57">
        <v>45777</v>
      </c>
      <c r="D50" s="57">
        <v>45838</v>
      </c>
      <c r="E50" t="s">
        <v>4191</v>
      </c>
      <c r="F50" s="4">
        <v>295.62</v>
      </c>
      <c r="G50" s="159" t="s">
        <v>3818</v>
      </c>
      <c r="H50" t="s">
        <v>125</v>
      </c>
      <c r="I50" s="11">
        <v>53.31</v>
      </c>
      <c r="J50" s="57">
        <v>45838</v>
      </c>
      <c r="L50"/>
      <c r="P50"/>
    </row>
    <row r="51" spans="1:16" ht="30" hidden="1">
      <c r="A51" t="s">
        <v>3821</v>
      </c>
      <c r="B51" t="s">
        <v>1638</v>
      </c>
      <c r="C51" s="57">
        <v>45791</v>
      </c>
      <c r="D51" s="57">
        <v>45808</v>
      </c>
      <c r="E51" t="s">
        <v>4191</v>
      </c>
      <c r="F51" s="4">
        <v>12180</v>
      </c>
      <c r="G51" s="159" t="s">
        <v>3825</v>
      </c>
      <c r="H51" t="s">
        <v>3314</v>
      </c>
      <c r="I51" s="11">
        <v>2196.39</v>
      </c>
      <c r="J51" s="57">
        <v>45808</v>
      </c>
      <c r="L51"/>
      <c r="P51"/>
    </row>
    <row r="52" spans="1:16" ht="45" hidden="1">
      <c r="A52" t="s">
        <v>3883</v>
      </c>
      <c r="B52" t="s">
        <v>1840</v>
      </c>
      <c r="C52" s="57">
        <v>45805</v>
      </c>
      <c r="D52" s="57">
        <v>45835</v>
      </c>
      <c r="E52" t="s">
        <v>4191</v>
      </c>
      <c r="F52" s="4">
        <v>353.3</v>
      </c>
      <c r="G52" s="159" t="s">
        <v>3889</v>
      </c>
      <c r="H52" t="s">
        <v>3886</v>
      </c>
      <c r="I52" s="11">
        <v>30.53</v>
      </c>
      <c r="J52" s="57">
        <v>45835</v>
      </c>
      <c r="L52"/>
      <c r="P52"/>
    </row>
    <row r="53" spans="1:16" ht="45" hidden="1">
      <c r="A53" t="s">
        <v>3883</v>
      </c>
      <c r="B53" t="s">
        <v>1840</v>
      </c>
      <c r="C53" s="57">
        <v>45805</v>
      </c>
      <c r="D53" s="57">
        <v>45835</v>
      </c>
      <c r="E53" t="s">
        <v>4191</v>
      </c>
      <c r="F53" s="4">
        <v>88</v>
      </c>
      <c r="G53" s="159" t="s">
        <v>3889</v>
      </c>
      <c r="H53" t="s">
        <v>3886</v>
      </c>
      <c r="I53" s="11">
        <v>30.53</v>
      </c>
      <c r="J53" s="57">
        <v>45835</v>
      </c>
      <c r="L53"/>
      <c r="P53"/>
    </row>
    <row r="54" spans="1:16" ht="45" hidden="1">
      <c r="A54" t="s">
        <v>3883</v>
      </c>
      <c r="B54" t="s">
        <v>1840</v>
      </c>
      <c r="C54" s="57">
        <v>45805</v>
      </c>
      <c r="D54" s="57">
        <v>45929</v>
      </c>
      <c r="E54" t="s">
        <v>4191</v>
      </c>
      <c r="F54" s="4">
        <v>88</v>
      </c>
      <c r="G54" s="159" t="s">
        <v>3889</v>
      </c>
      <c r="H54" t="s">
        <v>3886</v>
      </c>
      <c r="I54" s="11">
        <v>30.53</v>
      </c>
      <c r="J54" s="57">
        <v>45929</v>
      </c>
      <c r="L54"/>
      <c r="P54"/>
    </row>
    <row r="55" spans="1:16" ht="45" hidden="1">
      <c r="A55" t="s">
        <v>3883</v>
      </c>
      <c r="B55" t="s">
        <v>1840</v>
      </c>
      <c r="C55" s="57">
        <v>45805</v>
      </c>
      <c r="D55" s="57">
        <v>46020</v>
      </c>
      <c r="E55" t="s">
        <v>4191</v>
      </c>
      <c r="F55" s="4">
        <v>88</v>
      </c>
      <c r="G55" s="159" t="s">
        <v>3889</v>
      </c>
      <c r="H55" t="s">
        <v>3886</v>
      </c>
      <c r="I55" s="11">
        <v>30.53</v>
      </c>
      <c r="J55" s="57">
        <v>46020</v>
      </c>
      <c r="L55"/>
      <c r="P55"/>
    </row>
    <row r="56" spans="1:16" ht="45" hidden="1">
      <c r="A56" t="s">
        <v>3883</v>
      </c>
      <c r="B56" t="s">
        <v>1840</v>
      </c>
      <c r="C56" s="57">
        <v>45805</v>
      </c>
      <c r="D56" s="57">
        <v>46108</v>
      </c>
      <c r="E56" t="s">
        <v>4191</v>
      </c>
      <c r="F56" s="4">
        <v>89.3</v>
      </c>
      <c r="G56" s="159" t="s">
        <v>3889</v>
      </c>
      <c r="H56" t="s">
        <v>3886</v>
      </c>
      <c r="I56" s="11">
        <v>30.53</v>
      </c>
      <c r="J56" s="57">
        <v>46108</v>
      </c>
      <c r="L56"/>
      <c r="P56"/>
    </row>
    <row r="57" spans="1:16" ht="45" hidden="1">
      <c r="A57" t="s">
        <v>3910</v>
      </c>
      <c r="B57" t="s">
        <v>2002</v>
      </c>
      <c r="C57" s="57">
        <v>45996</v>
      </c>
      <c r="D57" s="57">
        <v>46032</v>
      </c>
      <c r="E57" t="s">
        <v>4191</v>
      </c>
      <c r="F57" s="4">
        <v>5191.71</v>
      </c>
      <c r="G57" s="159" t="s">
        <v>3916</v>
      </c>
      <c r="H57" t="s">
        <v>3314</v>
      </c>
      <c r="I57" s="11">
        <v>936.21</v>
      </c>
      <c r="J57" s="57">
        <v>46032</v>
      </c>
      <c r="L57"/>
      <c r="P57"/>
    </row>
    <row r="58" spans="1:16" ht="45" hidden="1">
      <c r="A58" t="s">
        <v>3910</v>
      </c>
      <c r="B58" t="s">
        <v>1985</v>
      </c>
      <c r="C58" s="57">
        <v>45747</v>
      </c>
      <c r="D58" s="57">
        <v>45747</v>
      </c>
      <c r="E58" t="s">
        <v>4191</v>
      </c>
      <c r="F58" s="4">
        <v>179.95</v>
      </c>
      <c r="G58" s="159" t="s">
        <v>3912</v>
      </c>
      <c r="H58" t="s">
        <v>3314</v>
      </c>
      <c r="I58" s="11">
        <v>32.450000000000003</v>
      </c>
      <c r="J58" s="57">
        <v>45807</v>
      </c>
      <c r="L58"/>
      <c r="P58"/>
    </row>
    <row r="59" spans="1:16" ht="45" hidden="1">
      <c r="A59" t="s">
        <v>3910</v>
      </c>
      <c r="B59" t="s">
        <v>343</v>
      </c>
      <c r="C59" s="57">
        <v>45670</v>
      </c>
      <c r="D59" s="57">
        <v>45670</v>
      </c>
      <c r="E59" t="s">
        <v>4191</v>
      </c>
      <c r="F59" s="4">
        <v>1086.92</v>
      </c>
      <c r="G59" s="159" t="s">
        <v>3914</v>
      </c>
      <c r="H59" t="s">
        <v>751</v>
      </c>
      <c r="I59" s="11">
        <v>196</v>
      </c>
      <c r="J59" s="57">
        <v>45730</v>
      </c>
      <c r="L59"/>
      <c r="P59"/>
    </row>
    <row r="60" spans="1:16" ht="45" hidden="1">
      <c r="A60" t="s">
        <v>2009</v>
      </c>
      <c r="B60" t="s">
        <v>3919</v>
      </c>
      <c r="C60" s="57">
        <v>45817</v>
      </c>
      <c r="D60" s="57">
        <v>45817</v>
      </c>
      <c r="E60" t="s">
        <v>4191</v>
      </c>
      <c r="F60" s="4">
        <v>0.04</v>
      </c>
      <c r="G60" s="159" t="s">
        <v>3920</v>
      </c>
      <c r="H60" t="s">
        <v>350</v>
      </c>
      <c r="I60" s="11">
        <v>32.61</v>
      </c>
      <c r="J60" s="57">
        <v>45877</v>
      </c>
      <c r="L60"/>
      <c r="P60"/>
    </row>
    <row r="61" spans="1:16" ht="45" hidden="1">
      <c r="A61" t="s">
        <v>2009</v>
      </c>
      <c r="B61" t="s">
        <v>3919</v>
      </c>
      <c r="C61" s="57">
        <v>45817</v>
      </c>
      <c r="D61" s="57">
        <v>45819</v>
      </c>
      <c r="E61" t="s">
        <v>4191</v>
      </c>
      <c r="F61" s="4">
        <v>180.8</v>
      </c>
      <c r="G61" s="159" t="s">
        <v>3920</v>
      </c>
      <c r="H61" t="s">
        <v>350</v>
      </c>
      <c r="I61" s="11">
        <v>32.61</v>
      </c>
      <c r="J61" s="57">
        <v>45819</v>
      </c>
      <c r="L61"/>
      <c r="P61"/>
    </row>
    <row r="62" spans="1:16">
      <c r="L62"/>
      <c r="P62"/>
    </row>
    <row r="63" spans="1:16">
      <c r="L63"/>
      <c r="P63"/>
    </row>
    <row r="64" spans="1:16">
      <c r="L64"/>
      <c r="P64"/>
    </row>
    <row r="65" spans="4:16">
      <c r="L65"/>
      <c r="P65"/>
    </row>
    <row r="66" spans="4:16">
      <c r="L66"/>
      <c r="P66"/>
    </row>
    <row r="67" spans="4:16">
      <c r="L67"/>
      <c r="P67"/>
    </row>
    <row r="68" spans="4:16">
      <c r="L68"/>
      <c r="P68"/>
    </row>
    <row r="69" spans="4:16">
      <c r="L69"/>
      <c r="P69"/>
    </row>
    <row r="70" spans="4:16">
      <c r="D70" s="329"/>
      <c r="L70"/>
      <c r="P70"/>
    </row>
    <row r="71" spans="4:16">
      <c r="L71"/>
      <c r="P71"/>
    </row>
    <row r="72" spans="4:16">
      <c r="L72"/>
      <c r="P72"/>
    </row>
    <row r="73" spans="4:16">
      <c r="L73"/>
      <c r="P73"/>
    </row>
    <row r="74" spans="4:16">
      <c r="L74"/>
      <c r="P74"/>
    </row>
    <row r="75" spans="4:16">
      <c r="L75"/>
      <c r="P75"/>
    </row>
    <row r="76" spans="4:16">
      <c r="E76" s="328"/>
      <c r="L76"/>
      <c r="P76"/>
    </row>
    <row r="77" spans="4:16">
      <c r="L77"/>
      <c r="P77"/>
    </row>
    <row r="78" spans="4:16">
      <c r="L78"/>
      <c r="P78"/>
    </row>
  </sheetData>
  <phoneticPr fontId="4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7"/>
  <dimension ref="A1:N1008"/>
  <sheetViews>
    <sheetView tabSelected="1" topLeftCell="B1" zoomScale="85" zoomScaleNormal="85" workbookViewId="0">
      <pane ySplit="1" topLeftCell="A2" activePane="bottomLeft" state="frozen"/>
      <selection pane="bottomLeft" activeCell="G845" sqref="G845"/>
    </sheetView>
  </sheetViews>
  <sheetFormatPr defaultRowHeight="15"/>
  <cols>
    <col min="1" max="1" width="25.85546875" style="261" hidden="1" customWidth="1"/>
    <col min="2" max="2" width="75.140625" style="7" bestFit="1" customWidth="1"/>
    <col min="3" max="3" width="47.140625" style="209" bestFit="1" customWidth="1"/>
    <col min="4" max="4" width="19.140625" style="57" bestFit="1" customWidth="1"/>
    <col min="5" max="5" width="19.7109375" style="210" bestFit="1" customWidth="1"/>
    <col min="6" max="6" width="12.5703125" style="268" bestFit="1" customWidth="1"/>
    <col min="7" max="7" width="20.28515625" style="273" bestFit="1" customWidth="1"/>
    <col min="8" max="8" width="134.28515625" hidden="1" customWidth="1"/>
    <col min="9" max="9" width="116.5703125" style="7" bestFit="1" customWidth="1"/>
    <col min="10" max="10" width="34.28515625" style="279" bestFit="1" customWidth="1"/>
    <col min="11" max="11" width="31.5703125" style="57" customWidth="1"/>
    <col min="12" max="12" width="20.85546875" style="148" bestFit="1" customWidth="1"/>
    <col min="13" max="13" width="169.28515625" style="7" bestFit="1" customWidth="1"/>
    <col min="14" max="14" width="79.28515625" customWidth="1"/>
  </cols>
  <sheetData>
    <row r="1" spans="1:14" ht="42" customHeight="1">
      <c r="A1" s="259" t="s">
        <v>2039</v>
      </c>
      <c r="B1" s="181" t="s">
        <v>1</v>
      </c>
      <c r="C1" s="182" t="s">
        <v>2</v>
      </c>
      <c r="D1" s="269" t="s">
        <v>3</v>
      </c>
      <c r="E1" s="184" t="s">
        <v>4</v>
      </c>
      <c r="F1" s="270" t="s">
        <v>5</v>
      </c>
      <c r="G1" s="271" t="s">
        <v>6</v>
      </c>
      <c r="H1" s="183" t="s">
        <v>7</v>
      </c>
      <c r="I1" s="297" t="s">
        <v>8</v>
      </c>
      <c r="J1" s="277" t="s">
        <v>9</v>
      </c>
      <c r="K1" s="185" t="s">
        <v>10</v>
      </c>
      <c r="L1" s="282" t="s">
        <v>11</v>
      </c>
      <c r="M1" s="288" t="s">
        <v>12</v>
      </c>
      <c r="N1" s="180" t="s">
        <v>2040</v>
      </c>
    </row>
    <row r="2" spans="1:14" hidden="1">
      <c r="A2" s="257" t="s">
        <v>13</v>
      </c>
      <c r="B2" s="187" t="s">
        <v>2041</v>
      </c>
      <c r="C2" s="188" t="s">
        <v>15</v>
      </c>
      <c r="D2" s="189">
        <v>45967</v>
      </c>
      <c r="E2" s="189">
        <v>45967</v>
      </c>
      <c r="F2" s="257" t="s">
        <v>16</v>
      </c>
      <c r="G2" s="272">
        <v>698.1</v>
      </c>
      <c r="H2" s="190"/>
      <c r="I2" s="187" t="s">
        <v>17</v>
      </c>
      <c r="J2" s="278" t="s">
        <v>18</v>
      </c>
      <c r="K2" s="192">
        <v>45982</v>
      </c>
      <c r="L2" s="193">
        <v>698.1</v>
      </c>
      <c r="M2" s="289" t="s">
        <v>19</v>
      </c>
      <c r="N2" s="177"/>
    </row>
    <row r="3" spans="1:14" hidden="1">
      <c r="A3" s="257" t="s">
        <v>13</v>
      </c>
      <c r="B3" s="194" t="s">
        <v>2042</v>
      </c>
      <c r="C3" s="188" t="s">
        <v>33</v>
      </c>
      <c r="D3" s="195">
        <v>46003</v>
      </c>
      <c r="E3" s="189">
        <v>46003</v>
      </c>
      <c r="F3" s="257" t="s">
        <v>16</v>
      </c>
      <c r="G3" s="272">
        <v>40</v>
      </c>
      <c r="H3" s="196"/>
      <c r="I3" s="194" t="s">
        <v>34</v>
      </c>
      <c r="J3" s="278" t="s">
        <v>35</v>
      </c>
      <c r="K3" s="192"/>
      <c r="L3" s="193"/>
      <c r="M3" s="289"/>
    </row>
    <row r="4" spans="1:14" hidden="1">
      <c r="A4" s="257" t="s">
        <v>219</v>
      </c>
      <c r="B4" s="197" t="s">
        <v>2043</v>
      </c>
      <c r="C4" s="188" t="s">
        <v>21</v>
      </c>
      <c r="D4" s="198">
        <v>45939</v>
      </c>
      <c r="E4" s="189"/>
      <c r="F4" s="257" t="s">
        <v>16</v>
      </c>
      <c r="G4" s="272">
        <v>85</v>
      </c>
      <c r="H4" s="199" t="s">
        <v>22</v>
      </c>
      <c r="I4" s="197" t="s">
        <v>23</v>
      </c>
      <c r="J4" s="278" t="s">
        <v>24</v>
      </c>
      <c r="K4" s="281"/>
      <c r="L4" s="283"/>
      <c r="M4" s="290"/>
    </row>
    <row r="5" spans="1:14" hidden="1">
      <c r="A5" s="257" t="s">
        <v>219</v>
      </c>
      <c r="B5" s="194" t="s">
        <v>2044</v>
      </c>
      <c r="C5" s="188">
        <v>8</v>
      </c>
      <c r="D5" s="195">
        <v>45675</v>
      </c>
      <c r="E5" s="189">
        <v>45675</v>
      </c>
      <c r="F5" s="257" t="s">
        <v>16</v>
      </c>
      <c r="G5" s="272">
        <v>240</v>
      </c>
      <c r="H5" s="190" t="s">
        <v>27</v>
      </c>
      <c r="I5" s="194" t="s">
        <v>28</v>
      </c>
      <c r="J5" s="278" t="s">
        <v>24</v>
      </c>
      <c r="K5" s="192"/>
      <c r="L5" s="193"/>
      <c r="M5" s="289"/>
    </row>
    <row r="6" spans="1:14" hidden="1">
      <c r="A6" s="257" t="s">
        <v>219</v>
      </c>
      <c r="B6" s="194" t="s">
        <v>2044</v>
      </c>
      <c r="C6" s="188">
        <v>169</v>
      </c>
      <c r="D6" s="195">
        <v>45901</v>
      </c>
      <c r="E6" s="189"/>
      <c r="F6" s="257" t="s">
        <v>16</v>
      </c>
      <c r="G6" s="272">
        <v>240</v>
      </c>
      <c r="H6" s="190" t="s">
        <v>31</v>
      </c>
      <c r="I6" s="194" t="s">
        <v>28</v>
      </c>
      <c r="J6" s="278" t="s">
        <v>24</v>
      </c>
      <c r="K6" s="192"/>
      <c r="L6" s="193"/>
      <c r="M6" s="289"/>
    </row>
    <row r="7" spans="1:14" hidden="1">
      <c r="A7" s="257" t="s">
        <v>219</v>
      </c>
      <c r="B7" s="194" t="s">
        <v>2045</v>
      </c>
      <c r="C7" s="188" t="s">
        <v>37</v>
      </c>
      <c r="D7" s="195">
        <v>45699</v>
      </c>
      <c r="E7" s="189">
        <v>45699</v>
      </c>
      <c r="F7" s="257" t="s">
        <v>16</v>
      </c>
      <c r="G7" s="272">
        <v>80</v>
      </c>
      <c r="H7" s="190" t="s">
        <v>38</v>
      </c>
      <c r="I7" s="194" t="s">
        <v>28</v>
      </c>
      <c r="J7" s="278" t="s">
        <v>24</v>
      </c>
      <c r="K7" s="192"/>
      <c r="L7" s="193"/>
      <c r="M7" s="289"/>
    </row>
    <row r="8" spans="1:14" hidden="1">
      <c r="A8" s="257" t="s">
        <v>219</v>
      </c>
      <c r="B8" s="194" t="s">
        <v>2046</v>
      </c>
      <c r="C8" s="188">
        <v>849</v>
      </c>
      <c r="D8" s="195">
        <v>45800</v>
      </c>
      <c r="E8" s="189"/>
      <c r="F8" s="257" t="s">
        <v>16</v>
      </c>
      <c r="G8" s="272">
        <v>108</v>
      </c>
      <c r="H8" s="190" t="s">
        <v>41</v>
      </c>
      <c r="I8" s="194" t="s">
        <v>42</v>
      </c>
      <c r="J8" s="278" t="s">
        <v>43</v>
      </c>
      <c r="K8" s="192"/>
      <c r="L8" s="193"/>
      <c r="M8" s="289"/>
    </row>
    <row r="9" spans="1:14" hidden="1">
      <c r="A9" s="257"/>
      <c r="B9" s="194" t="s">
        <v>4183</v>
      </c>
      <c r="C9" s="188" t="s">
        <v>4184</v>
      </c>
      <c r="D9" s="195">
        <v>46055</v>
      </c>
      <c r="E9" s="195"/>
      <c r="F9" s="257"/>
      <c r="G9" s="272">
        <v>104.8</v>
      </c>
      <c r="H9" s="196"/>
      <c r="I9" s="194" t="s">
        <v>4185</v>
      </c>
      <c r="J9" s="278"/>
      <c r="K9" s="193">
        <v>18.899999999999999</v>
      </c>
      <c r="L9" s="192"/>
      <c r="M9" s="289"/>
    </row>
    <row r="10" spans="1:14" ht="15" hidden="1" customHeight="1">
      <c r="A10" s="257"/>
      <c r="B10" s="187" t="s">
        <v>2047</v>
      </c>
      <c r="C10" s="188" t="s">
        <v>45</v>
      </c>
      <c r="D10" s="189">
        <v>45987</v>
      </c>
      <c r="E10" s="189">
        <v>45987</v>
      </c>
      <c r="F10" s="257" t="s">
        <v>16</v>
      </c>
      <c r="G10" s="272">
        <v>189.99</v>
      </c>
      <c r="H10" s="190"/>
      <c r="I10" s="187" t="s">
        <v>46</v>
      </c>
      <c r="J10" s="278" t="s">
        <v>47</v>
      </c>
      <c r="K10" s="192">
        <v>45987</v>
      </c>
      <c r="L10" s="193">
        <v>189.99</v>
      </c>
      <c r="M10" s="289"/>
    </row>
    <row r="11" spans="1:14" hidden="1">
      <c r="A11" s="257" t="s">
        <v>13</v>
      </c>
      <c r="B11" s="194" t="s">
        <v>2047</v>
      </c>
      <c r="C11" s="188" t="s">
        <v>48</v>
      </c>
      <c r="D11" s="195">
        <v>46007</v>
      </c>
      <c r="E11" s="189">
        <v>46007</v>
      </c>
      <c r="F11" s="257" t="s">
        <v>49</v>
      </c>
      <c r="G11" s="272">
        <v>22.89</v>
      </c>
      <c r="H11" s="196"/>
      <c r="I11" s="194" t="s">
        <v>50</v>
      </c>
      <c r="J11" s="278" t="s">
        <v>47</v>
      </c>
      <c r="K11" s="192">
        <v>46007</v>
      </c>
      <c r="L11" s="193">
        <v>22.89</v>
      </c>
      <c r="M11" s="289"/>
    </row>
    <row r="12" spans="1:14" hidden="1">
      <c r="A12" s="257" t="s">
        <v>13</v>
      </c>
      <c r="B12" s="194" t="s">
        <v>2047</v>
      </c>
      <c r="C12" s="188" t="s">
        <v>51</v>
      </c>
      <c r="D12" s="195">
        <v>46007</v>
      </c>
      <c r="E12" s="189">
        <v>46007</v>
      </c>
      <c r="F12" s="257" t="s">
        <v>49</v>
      </c>
      <c r="G12" s="272">
        <v>679.1</v>
      </c>
      <c r="H12" s="196"/>
      <c r="I12" s="194" t="s">
        <v>50</v>
      </c>
      <c r="J12" s="278" t="s">
        <v>47</v>
      </c>
      <c r="K12" s="192">
        <v>46007</v>
      </c>
      <c r="L12" s="193">
        <v>679.1</v>
      </c>
      <c r="M12" s="289"/>
    </row>
    <row r="13" spans="1:14" hidden="1">
      <c r="A13" s="257" t="s">
        <v>13</v>
      </c>
      <c r="B13" s="194" t="s">
        <v>44</v>
      </c>
      <c r="C13" s="188" t="s">
        <v>3305</v>
      </c>
      <c r="D13" s="195">
        <v>46030</v>
      </c>
      <c r="E13" s="189">
        <v>46030</v>
      </c>
      <c r="F13" s="257" t="s">
        <v>49</v>
      </c>
      <c r="G13" s="272">
        <v>141.44999999999999</v>
      </c>
      <c r="H13" s="196"/>
      <c r="I13" s="194" t="s">
        <v>50</v>
      </c>
      <c r="J13" s="278" t="s">
        <v>47</v>
      </c>
      <c r="K13" s="192">
        <v>46030</v>
      </c>
      <c r="L13" s="193">
        <v>141.44999999999999</v>
      </c>
      <c r="M13" s="289"/>
    </row>
    <row r="14" spans="1:14" hidden="1">
      <c r="A14" s="196" t="s">
        <v>13</v>
      </c>
      <c r="B14" s="196" t="s">
        <v>44</v>
      </c>
      <c r="C14" s="196" t="s">
        <v>4119</v>
      </c>
      <c r="D14" s="192">
        <v>46038</v>
      </c>
      <c r="E14" s="192">
        <v>46038</v>
      </c>
      <c r="F14" s="196" t="s">
        <v>16</v>
      </c>
      <c r="G14" s="201">
        <v>58</v>
      </c>
      <c r="H14" s="196" t="s">
        <v>46</v>
      </c>
      <c r="I14" s="196" t="s">
        <v>47</v>
      </c>
      <c r="J14" s="192">
        <v>46038</v>
      </c>
      <c r="K14" s="201">
        <v>58</v>
      </c>
      <c r="L14" s="196"/>
      <c r="M14" s="289"/>
    </row>
    <row r="15" spans="1:14" hidden="1">
      <c r="A15" s="257"/>
      <c r="B15" s="194" t="s">
        <v>2048</v>
      </c>
      <c r="C15" s="188" t="s">
        <v>53</v>
      </c>
      <c r="D15" s="195">
        <v>45647</v>
      </c>
      <c r="E15" s="189">
        <v>45707</v>
      </c>
      <c r="F15" s="257"/>
      <c r="G15" s="272">
        <v>1390.8</v>
      </c>
      <c r="H15" s="200" t="s">
        <v>54</v>
      </c>
      <c r="I15" s="194" t="s">
        <v>55</v>
      </c>
      <c r="J15" s="278" t="s">
        <v>56</v>
      </c>
      <c r="K15" s="192"/>
      <c r="L15" s="193"/>
      <c r="M15" s="289"/>
    </row>
    <row r="16" spans="1:14" hidden="1">
      <c r="A16" s="257" t="s">
        <v>61</v>
      </c>
      <c r="B16" s="194" t="s">
        <v>2049</v>
      </c>
      <c r="C16" s="188">
        <v>490</v>
      </c>
      <c r="D16" s="195">
        <v>45869</v>
      </c>
      <c r="E16" s="189">
        <v>45869</v>
      </c>
      <c r="F16" s="257" t="s">
        <v>16</v>
      </c>
      <c r="G16" s="272">
        <v>1633.83</v>
      </c>
      <c r="H16" s="190" t="s">
        <v>64</v>
      </c>
      <c r="I16" s="194" t="s">
        <v>65</v>
      </c>
      <c r="J16" s="278" t="s">
        <v>66</v>
      </c>
      <c r="K16" s="192"/>
      <c r="L16" s="193"/>
      <c r="M16" s="289"/>
    </row>
    <row r="17" spans="1:13" hidden="1">
      <c r="A17" s="257" t="s">
        <v>67</v>
      </c>
      <c r="B17" s="194" t="s">
        <v>62</v>
      </c>
      <c r="C17" s="188" t="s">
        <v>68</v>
      </c>
      <c r="D17" s="195"/>
      <c r="E17" s="189">
        <v>45809</v>
      </c>
      <c r="F17" s="257" t="s">
        <v>16</v>
      </c>
      <c r="G17" s="272">
        <v>2192.42</v>
      </c>
      <c r="H17" s="190"/>
      <c r="I17" s="194" t="s">
        <v>69</v>
      </c>
      <c r="J17" s="278" t="s">
        <v>66</v>
      </c>
      <c r="K17" s="192">
        <v>45809</v>
      </c>
      <c r="L17" s="201">
        <v>2192.42</v>
      </c>
      <c r="M17" s="289"/>
    </row>
    <row r="18" spans="1:13" hidden="1">
      <c r="A18" s="257" t="s">
        <v>316</v>
      </c>
      <c r="B18" s="194" t="s">
        <v>62</v>
      </c>
      <c r="C18" s="188" t="s">
        <v>68</v>
      </c>
      <c r="D18" s="195"/>
      <c r="E18" s="189">
        <v>45839</v>
      </c>
      <c r="F18" s="257" t="s">
        <v>16</v>
      </c>
      <c r="G18" s="272">
        <v>2192.42</v>
      </c>
      <c r="H18" s="190"/>
      <c r="I18" s="194" t="s">
        <v>69</v>
      </c>
      <c r="J18" s="278" t="s">
        <v>66</v>
      </c>
      <c r="K18" s="192">
        <v>45839</v>
      </c>
      <c r="L18" s="201">
        <v>2192.42</v>
      </c>
      <c r="M18" s="289" t="s">
        <v>70</v>
      </c>
    </row>
    <row r="19" spans="1:13" hidden="1">
      <c r="A19" s="257" t="s">
        <v>316</v>
      </c>
      <c r="B19" s="194" t="s">
        <v>62</v>
      </c>
      <c r="C19" s="188" t="s">
        <v>68</v>
      </c>
      <c r="D19" s="195"/>
      <c r="E19" s="189">
        <v>45854</v>
      </c>
      <c r="F19" s="257" t="s">
        <v>16</v>
      </c>
      <c r="G19" s="272">
        <v>2192.42</v>
      </c>
      <c r="H19" s="190"/>
      <c r="I19" s="194" t="s">
        <v>69</v>
      </c>
      <c r="J19" s="278" t="s">
        <v>66</v>
      </c>
      <c r="K19" s="192">
        <v>45854</v>
      </c>
      <c r="L19" s="201">
        <v>2192.42</v>
      </c>
      <c r="M19" s="289" t="s">
        <v>71</v>
      </c>
    </row>
    <row r="20" spans="1:13" hidden="1">
      <c r="A20" s="257" t="s">
        <v>316</v>
      </c>
      <c r="B20" s="194" t="s">
        <v>62</v>
      </c>
      <c r="C20" s="188" t="s">
        <v>68</v>
      </c>
      <c r="D20" s="195"/>
      <c r="E20" s="189">
        <v>45869</v>
      </c>
      <c r="F20" s="257" t="s">
        <v>16</v>
      </c>
      <c r="G20" s="272">
        <v>2192.42</v>
      </c>
      <c r="H20" s="190"/>
      <c r="I20" s="194" t="s">
        <v>69</v>
      </c>
      <c r="J20" s="278" t="s">
        <v>66</v>
      </c>
      <c r="K20" s="192">
        <v>45869</v>
      </c>
      <c r="L20" s="201">
        <v>2192.42</v>
      </c>
      <c r="M20" s="289" t="s">
        <v>71</v>
      </c>
    </row>
    <row r="21" spans="1:13" hidden="1">
      <c r="A21" s="257"/>
      <c r="B21" s="194" t="s">
        <v>2050</v>
      </c>
      <c r="C21" s="188" t="s">
        <v>58</v>
      </c>
      <c r="D21" s="195">
        <v>45686</v>
      </c>
      <c r="E21" s="189">
        <v>45686</v>
      </c>
      <c r="F21" s="257" t="s">
        <v>16</v>
      </c>
      <c r="G21" s="272">
        <v>447.6</v>
      </c>
      <c r="H21" s="190" t="s">
        <v>59</v>
      </c>
      <c r="I21" s="194" t="s">
        <v>60</v>
      </c>
      <c r="J21" s="278"/>
      <c r="K21" s="192"/>
      <c r="L21" s="193"/>
      <c r="M21" s="289"/>
    </row>
    <row r="22" spans="1:13" hidden="1">
      <c r="A22" s="257" t="s">
        <v>316</v>
      </c>
      <c r="B22" s="194" t="s">
        <v>2051</v>
      </c>
      <c r="C22" s="188" t="s">
        <v>73</v>
      </c>
      <c r="D22" s="195">
        <v>45858</v>
      </c>
      <c r="E22" s="189">
        <v>45858</v>
      </c>
      <c r="F22" s="257" t="s">
        <v>49</v>
      </c>
      <c r="G22" s="272">
        <v>2690</v>
      </c>
      <c r="H22" s="190"/>
      <c r="I22" s="194" t="s">
        <v>74</v>
      </c>
      <c r="J22" s="278" t="s">
        <v>75</v>
      </c>
      <c r="K22" s="192">
        <v>45952</v>
      </c>
      <c r="L22" s="193">
        <v>2690</v>
      </c>
      <c r="M22" s="289" t="s">
        <v>19</v>
      </c>
    </row>
    <row r="23" spans="1:13" hidden="1">
      <c r="A23" s="260" t="s">
        <v>2052</v>
      </c>
      <c r="B23" s="194" t="s">
        <v>2053</v>
      </c>
      <c r="C23" s="188">
        <v>172</v>
      </c>
      <c r="D23" s="195">
        <v>45820</v>
      </c>
      <c r="E23" s="189">
        <v>45820</v>
      </c>
      <c r="F23" s="257" t="s">
        <v>16</v>
      </c>
      <c r="G23" s="272">
        <v>602</v>
      </c>
      <c r="H23" s="196" t="s">
        <v>79</v>
      </c>
      <c r="I23" s="257" t="s">
        <v>56</v>
      </c>
      <c r="J23" s="278" t="s">
        <v>56</v>
      </c>
      <c r="K23" s="258"/>
      <c r="L23" s="201"/>
      <c r="M23" s="289"/>
    </row>
    <row r="24" spans="1:13" hidden="1">
      <c r="A24" s="257" t="s">
        <v>80</v>
      </c>
      <c r="B24" s="187" t="s">
        <v>2054</v>
      </c>
      <c r="C24" s="188" t="s">
        <v>81</v>
      </c>
      <c r="D24" s="189">
        <v>45972</v>
      </c>
      <c r="E24" s="189">
        <v>45972</v>
      </c>
      <c r="F24" s="257" t="s">
        <v>49</v>
      </c>
      <c r="G24" s="272">
        <v>-602</v>
      </c>
      <c r="H24" s="190"/>
      <c r="I24" s="187" t="s">
        <v>82</v>
      </c>
      <c r="J24" s="278" t="s">
        <v>83</v>
      </c>
      <c r="K24" s="192"/>
      <c r="L24" s="193"/>
      <c r="M24" s="289"/>
    </row>
    <row r="25" spans="1:13" hidden="1">
      <c r="A25" s="257">
        <v>2024</v>
      </c>
      <c r="B25" s="194" t="s">
        <v>2055</v>
      </c>
      <c r="C25" s="188" t="s">
        <v>85</v>
      </c>
      <c r="D25" s="195">
        <v>45608</v>
      </c>
      <c r="E25" s="189">
        <v>45657</v>
      </c>
      <c r="F25" s="257" t="s">
        <v>16</v>
      </c>
      <c r="G25" s="272">
        <v>1000</v>
      </c>
      <c r="H25" s="200" t="s">
        <v>86</v>
      </c>
      <c r="I25" s="194" t="s">
        <v>87</v>
      </c>
      <c r="J25" s="278" t="s">
        <v>56</v>
      </c>
      <c r="K25" s="192">
        <v>45968</v>
      </c>
      <c r="L25" s="193">
        <v>1000</v>
      </c>
      <c r="M25" s="289" t="s">
        <v>71</v>
      </c>
    </row>
    <row r="26" spans="1:13" hidden="1">
      <c r="A26" s="257">
        <v>2024</v>
      </c>
      <c r="B26" s="194" t="s">
        <v>2055</v>
      </c>
      <c r="C26" s="188" t="s">
        <v>85</v>
      </c>
      <c r="D26" s="195">
        <v>45973</v>
      </c>
      <c r="E26" s="189"/>
      <c r="F26" s="257" t="s">
        <v>16</v>
      </c>
      <c r="G26" s="272">
        <f>1977.42-$G$24</f>
        <v>2579.42</v>
      </c>
      <c r="H26" s="200" t="s">
        <v>86</v>
      </c>
      <c r="I26" s="194" t="s">
        <v>87</v>
      </c>
      <c r="J26" s="278" t="s">
        <v>56</v>
      </c>
      <c r="K26" s="192"/>
      <c r="L26" s="193"/>
      <c r="M26" s="289"/>
    </row>
    <row r="27" spans="1:13" hidden="1">
      <c r="A27" s="257">
        <v>2024</v>
      </c>
      <c r="B27" s="194" t="s">
        <v>2055</v>
      </c>
      <c r="C27" s="188" t="s">
        <v>91</v>
      </c>
      <c r="D27" s="195">
        <v>45626</v>
      </c>
      <c r="E27" s="189">
        <v>45656</v>
      </c>
      <c r="F27" s="257" t="s">
        <v>16</v>
      </c>
      <c r="G27" s="272">
        <v>94.71</v>
      </c>
      <c r="H27" s="200" t="s">
        <v>92</v>
      </c>
      <c r="I27" s="194" t="s">
        <v>87</v>
      </c>
      <c r="J27" s="278" t="s">
        <v>56</v>
      </c>
      <c r="K27" s="192"/>
      <c r="L27" s="193"/>
      <c r="M27" s="289"/>
    </row>
    <row r="28" spans="1:13" hidden="1">
      <c r="A28" s="257" t="s">
        <v>316</v>
      </c>
      <c r="B28" s="194" t="s">
        <v>2055</v>
      </c>
      <c r="C28" s="188" t="s">
        <v>93</v>
      </c>
      <c r="D28" s="195">
        <v>45817</v>
      </c>
      <c r="E28" s="189">
        <v>45817</v>
      </c>
      <c r="F28" s="257" t="s">
        <v>16</v>
      </c>
      <c r="G28" s="272">
        <v>219.6</v>
      </c>
      <c r="H28" s="200" t="s">
        <v>94</v>
      </c>
      <c r="I28" s="194" t="s">
        <v>95</v>
      </c>
      <c r="J28" s="278" t="s">
        <v>66</v>
      </c>
      <c r="K28" s="192">
        <v>45818</v>
      </c>
      <c r="L28" s="193" t="s">
        <v>96</v>
      </c>
      <c r="M28" s="289" t="s">
        <v>97</v>
      </c>
    </row>
    <row r="29" spans="1:13" hidden="1">
      <c r="A29" s="257" t="s">
        <v>2056</v>
      </c>
      <c r="B29" s="194" t="s">
        <v>2055</v>
      </c>
      <c r="C29" s="188" t="s">
        <v>98</v>
      </c>
      <c r="D29" s="195">
        <v>45831</v>
      </c>
      <c r="E29" s="189">
        <v>45831</v>
      </c>
      <c r="F29" s="257" t="s">
        <v>49</v>
      </c>
      <c r="G29" s="272">
        <v>32.21</v>
      </c>
      <c r="H29" s="200" t="s">
        <v>99</v>
      </c>
      <c r="I29" s="194"/>
      <c r="J29" s="278" t="s">
        <v>47</v>
      </c>
      <c r="K29" s="192">
        <v>45831</v>
      </c>
      <c r="L29" s="193">
        <v>32.21</v>
      </c>
      <c r="M29" s="289" t="s">
        <v>100</v>
      </c>
    </row>
    <row r="30" spans="1:13" hidden="1">
      <c r="A30" s="196" t="s">
        <v>13</v>
      </c>
      <c r="B30" s="196" t="s">
        <v>84</v>
      </c>
      <c r="C30" s="196" t="s">
        <v>85</v>
      </c>
      <c r="D30" s="192">
        <v>45973</v>
      </c>
      <c r="E30" s="192"/>
      <c r="F30" s="196" t="s">
        <v>16</v>
      </c>
      <c r="G30" s="201">
        <v>977.42</v>
      </c>
      <c r="H30" s="196" t="s">
        <v>89</v>
      </c>
      <c r="I30" s="196" t="s">
        <v>56</v>
      </c>
      <c r="J30" s="192">
        <v>46049</v>
      </c>
      <c r="K30" s="201">
        <v>977.42</v>
      </c>
      <c r="L30" s="196" t="s">
        <v>4169</v>
      </c>
      <c r="M30" s="289"/>
    </row>
    <row r="31" spans="1:13" hidden="1">
      <c r="A31" s="196" t="s">
        <v>13</v>
      </c>
      <c r="B31" s="196" t="s">
        <v>84</v>
      </c>
      <c r="C31" s="196" t="s">
        <v>91</v>
      </c>
      <c r="D31" s="192">
        <v>45626</v>
      </c>
      <c r="E31" s="192">
        <v>45656</v>
      </c>
      <c r="F31" s="196" t="s">
        <v>16</v>
      </c>
      <c r="G31" s="201">
        <v>94.71</v>
      </c>
      <c r="H31" s="196" t="s">
        <v>87</v>
      </c>
      <c r="I31" s="196" t="s">
        <v>56</v>
      </c>
      <c r="J31" s="192">
        <v>46049</v>
      </c>
      <c r="K31" s="201">
        <v>94.71</v>
      </c>
      <c r="L31" s="196" t="s">
        <v>4169</v>
      </c>
      <c r="M31" s="289"/>
    </row>
    <row r="32" spans="1:13" hidden="1">
      <c r="A32" s="257" t="s">
        <v>13</v>
      </c>
      <c r="B32" s="194" t="s">
        <v>2057</v>
      </c>
      <c r="C32" s="188">
        <v>72</v>
      </c>
      <c r="D32" s="195">
        <v>45688</v>
      </c>
      <c r="E32" s="189">
        <f>DATE(2025,4,10)+60</f>
        <v>45817</v>
      </c>
      <c r="F32" s="257" t="s">
        <v>16</v>
      </c>
      <c r="G32" s="272">
        <v>5049.7299999999996</v>
      </c>
      <c r="H32" s="190" t="s">
        <v>103</v>
      </c>
      <c r="I32" s="194" t="s">
        <v>104</v>
      </c>
      <c r="J32" s="278" t="s">
        <v>105</v>
      </c>
      <c r="K32" s="192">
        <v>45823</v>
      </c>
      <c r="L32" s="201">
        <v>5049.7299999999996</v>
      </c>
      <c r="M32" s="289" t="s">
        <v>106</v>
      </c>
    </row>
    <row r="33" spans="1:14" hidden="1">
      <c r="A33" s="257">
        <v>2024</v>
      </c>
      <c r="B33" s="202" t="s">
        <v>2058</v>
      </c>
      <c r="C33" s="188" t="s">
        <v>107</v>
      </c>
      <c r="D33" s="195">
        <v>45650</v>
      </c>
      <c r="E33" s="189">
        <v>45726</v>
      </c>
      <c r="F33" s="257" t="s">
        <v>16</v>
      </c>
      <c r="G33" s="272">
        <v>1288.3399999999999</v>
      </c>
      <c r="H33" s="200" t="s">
        <v>108</v>
      </c>
      <c r="I33" s="194" t="s">
        <v>109</v>
      </c>
      <c r="J33" s="278" t="s">
        <v>110</v>
      </c>
      <c r="K33" s="192">
        <v>45730</v>
      </c>
      <c r="L33" s="193" t="e">
        <f>$H$23+$H$24</f>
        <v>#VALUE!</v>
      </c>
      <c r="M33" s="289" t="s">
        <v>111</v>
      </c>
    </row>
    <row r="34" spans="1:14" hidden="1">
      <c r="A34" s="257">
        <v>2024</v>
      </c>
      <c r="B34" s="202" t="s">
        <v>2058</v>
      </c>
      <c r="C34" s="188" t="s">
        <v>112</v>
      </c>
      <c r="D34" s="195">
        <v>45657</v>
      </c>
      <c r="E34" s="189">
        <v>45726</v>
      </c>
      <c r="F34" s="257" t="s">
        <v>16</v>
      </c>
      <c r="G34" s="272">
        <v>231.8</v>
      </c>
      <c r="H34" s="200" t="s">
        <v>113</v>
      </c>
      <c r="I34" s="194" t="s">
        <v>114</v>
      </c>
      <c r="J34" s="278" t="s">
        <v>110</v>
      </c>
      <c r="K34" s="192">
        <v>45730</v>
      </c>
      <c r="L34" s="193" t="e">
        <f>$H$23+$H$24</f>
        <v>#VALUE!</v>
      </c>
      <c r="M34" s="289" t="s">
        <v>111</v>
      </c>
    </row>
    <row r="35" spans="1:14" hidden="1">
      <c r="A35" s="257" t="s">
        <v>13</v>
      </c>
      <c r="B35" s="202" t="s">
        <v>2057</v>
      </c>
      <c r="C35" s="188" t="s">
        <v>115</v>
      </c>
      <c r="D35" s="195">
        <v>45716</v>
      </c>
      <c r="E35" s="189">
        <v>45787</v>
      </c>
      <c r="F35" s="257" t="s">
        <v>16</v>
      </c>
      <c r="G35" s="272">
        <v>4933.58</v>
      </c>
      <c r="H35" s="200" t="s">
        <v>116</v>
      </c>
      <c r="I35" s="194" t="s">
        <v>117</v>
      </c>
      <c r="J35" s="278" t="s">
        <v>56</v>
      </c>
      <c r="K35" s="192">
        <v>45791</v>
      </c>
      <c r="L35" s="193">
        <f>G35</f>
        <v>4933.58</v>
      </c>
      <c r="M35" s="289" t="s">
        <v>19</v>
      </c>
    </row>
    <row r="36" spans="1:14" hidden="1">
      <c r="A36" s="257" t="s">
        <v>13</v>
      </c>
      <c r="B36" s="202" t="s">
        <v>2057</v>
      </c>
      <c r="C36" s="188" t="s">
        <v>118</v>
      </c>
      <c r="D36" s="195">
        <v>45747</v>
      </c>
      <c r="E36" s="189">
        <v>45853</v>
      </c>
      <c r="F36" s="257" t="s">
        <v>16</v>
      </c>
      <c r="G36" s="272">
        <v>3655.96</v>
      </c>
      <c r="H36" s="200" t="s">
        <v>119</v>
      </c>
      <c r="I36" s="194" t="s">
        <v>120</v>
      </c>
      <c r="J36" s="278" t="s">
        <v>105</v>
      </c>
      <c r="K36" s="192">
        <v>45853</v>
      </c>
      <c r="L36" s="193">
        <v>3655.96</v>
      </c>
      <c r="M36" s="289" t="s">
        <v>121</v>
      </c>
    </row>
    <row r="37" spans="1:14" hidden="1">
      <c r="A37" s="257" t="s">
        <v>13</v>
      </c>
      <c r="B37" s="202" t="s">
        <v>2057</v>
      </c>
      <c r="C37" s="188" t="s">
        <v>122</v>
      </c>
      <c r="D37" s="195">
        <v>45777</v>
      </c>
      <c r="E37" s="189">
        <v>45848</v>
      </c>
      <c r="F37" s="257" t="s">
        <v>16</v>
      </c>
      <c r="G37" s="272">
        <v>629.75</v>
      </c>
      <c r="H37" s="200" t="s">
        <v>123</v>
      </c>
      <c r="I37" s="194" t="s">
        <v>124</v>
      </c>
      <c r="J37" s="278" t="s">
        <v>125</v>
      </c>
      <c r="K37" s="192">
        <v>45848</v>
      </c>
      <c r="L37" s="193">
        <v>87.53</v>
      </c>
      <c r="M37" s="289" t="s">
        <v>126</v>
      </c>
    </row>
    <row r="38" spans="1:14" hidden="1">
      <c r="A38" s="257" t="s">
        <v>80</v>
      </c>
      <c r="B38" s="202" t="s">
        <v>2057</v>
      </c>
      <c r="C38" s="188" t="s">
        <v>127</v>
      </c>
      <c r="D38" s="203">
        <v>45777</v>
      </c>
      <c r="E38" s="189">
        <v>45848</v>
      </c>
      <c r="F38" s="257" t="s">
        <v>16</v>
      </c>
      <c r="G38" s="272">
        <v>-542.22</v>
      </c>
      <c r="H38" s="204" t="s">
        <v>128</v>
      </c>
      <c r="I38" s="216"/>
      <c r="J38" s="278" t="s">
        <v>125</v>
      </c>
      <c r="K38" s="192">
        <v>45848</v>
      </c>
      <c r="L38" s="205">
        <v>-542.22</v>
      </c>
      <c r="M38" s="289" t="s">
        <v>129</v>
      </c>
    </row>
    <row r="39" spans="1:14" hidden="1">
      <c r="A39" s="257" t="s">
        <v>13</v>
      </c>
      <c r="B39" s="202" t="s">
        <v>2057</v>
      </c>
      <c r="C39" s="188" t="s">
        <v>130</v>
      </c>
      <c r="D39" s="189">
        <v>45808</v>
      </c>
      <c r="E39" s="189">
        <v>45879</v>
      </c>
      <c r="F39" s="257" t="s">
        <v>49</v>
      </c>
      <c r="G39" s="272">
        <v>1923.2</v>
      </c>
      <c r="H39" s="200" t="s">
        <v>131</v>
      </c>
      <c r="I39" s="187" t="s">
        <v>132</v>
      </c>
      <c r="J39" s="278" t="s">
        <v>105</v>
      </c>
      <c r="K39" s="192">
        <v>45950</v>
      </c>
      <c r="L39" s="193">
        <v>1923.2</v>
      </c>
      <c r="M39" s="289" t="s">
        <v>133</v>
      </c>
    </row>
    <row r="40" spans="1:14" hidden="1">
      <c r="A40" s="257" t="s">
        <v>13</v>
      </c>
      <c r="B40" s="202" t="s">
        <v>2057</v>
      </c>
      <c r="C40" s="188" t="s">
        <v>134</v>
      </c>
      <c r="D40" s="189">
        <v>45838</v>
      </c>
      <c r="E40" s="189">
        <v>45910</v>
      </c>
      <c r="F40" s="257" t="s">
        <v>16</v>
      </c>
      <c r="G40" s="272">
        <v>2859.9</v>
      </c>
      <c r="H40" s="200" t="s">
        <v>135</v>
      </c>
      <c r="I40" s="187" t="s">
        <v>132</v>
      </c>
      <c r="J40" s="278" t="s">
        <v>110</v>
      </c>
      <c r="K40" s="192">
        <v>45910</v>
      </c>
      <c r="L40" s="206">
        <v>2859.9</v>
      </c>
      <c r="M40" s="289" t="s">
        <v>19</v>
      </c>
    </row>
    <row r="41" spans="1:14" hidden="1">
      <c r="A41" s="260" t="s">
        <v>2059</v>
      </c>
      <c r="B41" s="202" t="s">
        <v>2057</v>
      </c>
      <c r="C41" s="188" t="s">
        <v>139</v>
      </c>
      <c r="D41" s="189">
        <v>45869</v>
      </c>
      <c r="E41" s="189">
        <v>45940</v>
      </c>
      <c r="F41" s="257" t="s">
        <v>16</v>
      </c>
      <c r="G41" s="272">
        <v>1244.74</v>
      </c>
      <c r="H41" s="200" t="s">
        <v>140</v>
      </c>
      <c r="I41" s="187" t="s">
        <v>141</v>
      </c>
      <c r="J41" s="278" t="s">
        <v>105</v>
      </c>
      <c r="K41" s="192">
        <v>46001</v>
      </c>
      <c r="L41" s="193"/>
      <c r="M41" s="289"/>
    </row>
    <row r="42" spans="1:14" hidden="1">
      <c r="A42" s="260" t="s">
        <v>13</v>
      </c>
      <c r="B42" s="202" t="s">
        <v>2057</v>
      </c>
      <c r="C42" s="188" t="s">
        <v>136</v>
      </c>
      <c r="D42" s="189">
        <v>45900</v>
      </c>
      <c r="E42" s="189">
        <v>45971</v>
      </c>
      <c r="F42" s="257" t="s">
        <v>49</v>
      </c>
      <c r="G42" s="272">
        <v>567.29999999999995</v>
      </c>
      <c r="H42" s="200" t="s">
        <v>137</v>
      </c>
      <c r="I42" s="187" t="s">
        <v>138</v>
      </c>
      <c r="J42" s="278" t="s">
        <v>110</v>
      </c>
      <c r="K42" s="192">
        <v>45961</v>
      </c>
      <c r="L42" s="193">
        <v>567.29999999999995</v>
      </c>
      <c r="M42" s="289" t="s">
        <v>19</v>
      </c>
    </row>
    <row r="43" spans="1:14" hidden="1">
      <c r="A43" s="260" t="s">
        <v>2060</v>
      </c>
      <c r="B43" s="202" t="s">
        <v>2057</v>
      </c>
      <c r="C43" s="188" t="s">
        <v>144</v>
      </c>
      <c r="D43" s="189">
        <v>45930</v>
      </c>
      <c r="E43" s="189">
        <v>46001</v>
      </c>
      <c r="F43" s="257" t="s">
        <v>16</v>
      </c>
      <c r="G43" s="272">
        <v>13.42</v>
      </c>
      <c r="H43" s="200" t="s">
        <v>145</v>
      </c>
      <c r="I43" s="187" t="s">
        <v>46</v>
      </c>
      <c r="J43" s="278" t="s">
        <v>105</v>
      </c>
      <c r="K43" s="192">
        <v>46001</v>
      </c>
      <c r="L43" s="193"/>
      <c r="M43" s="289"/>
    </row>
    <row r="44" spans="1:14" hidden="1">
      <c r="A44" s="257" t="s">
        <v>316</v>
      </c>
      <c r="B44" s="194" t="s">
        <v>173</v>
      </c>
      <c r="C44" s="194" t="s">
        <v>174</v>
      </c>
      <c r="D44" s="189">
        <v>45982</v>
      </c>
      <c r="E44" s="189">
        <v>45982</v>
      </c>
      <c r="F44" s="257" t="s">
        <v>16</v>
      </c>
      <c r="G44" s="272">
        <v>5.27</v>
      </c>
      <c r="H44" s="190"/>
      <c r="I44" s="187" t="s">
        <v>175</v>
      </c>
      <c r="J44" s="278" t="s">
        <v>176</v>
      </c>
      <c r="K44" s="192">
        <v>45982</v>
      </c>
      <c r="L44" s="193">
        <v>5.27</v>
      </c>
      <c r="M44" s="289" t="s">
        <v>19</v>
      </c>
    </row>
    <row r="45" spans="1:14" hidden="1">
      <c r="A45" s="257"/>
      <c r="B45" s="194" t="s">
        <v>3354</v>
      </c>
      <c r="C45" s="188" t="s">
        <v>4174</v>
      </c>
      <c r="D45" s="195">
        <v>46052</v>
      </c>
      <c r="E45" s="195">
        <v>46052</v>
      </c>
      <c r="F45" s="257" t="s">
        <v>16</v>
      </c>
      <c r="G45" s="272">
        <v>251.38</v>
      </c>
      <c r="H45" s="196"/>
      <c r="I45" s="194" t="s">
        <v>3308</v>
      </c>
      <c r="J45" s="278" t="s">
        <v>3309</v>
      </c>
      <c r="K45" s="193">
        <v>45.33</v>
      </c>
      <c r="L45" s="192">
        <v>46112</v>
      </c>
      <c r="M45" s="289"/>
    </row>
    <row r="46" spans="1:14" hidden="1">
      <c r="A46" s="257"/>
      <c r="B46" s="187" t="s">
        <v>3354</v>
      </c>
      <c r="C46" s="188" t="s">
        <v>4313</v>
      </c>
      <c r="D46" s="189">
        <v>46081</v>
      </c>
      <c r="E46" s="189">
        <v>46081</v>
      </c>
      <c r="F46" s="257" t="s">
        <v>16</v>
      </c>
      <c r="G46" s="272">
        <v>274.39999999999998</v>
      </c>
      <c r="H46" s="190"/>
      <c r="I46" s="187" t="s">
        <v>3308</v>
      </c>
      <c r="J46" s="278" t="s">
        <v>3309</v>
      </c>
      <c r="K46" s="193">
        <v>49.48</v>
      </c>
      <c r="L46" s="192">
        <v>46141</v>
      </c>
      <c r="M46" s="289"/>
      <c r="N46" s="56"/>
    </row>
    <row r="47" spans="1:14" hidden="1">
      <c r="A47" s="257" t="s">
        <v>316</v>
      </c>
      <c r="B47" s="194" t="s">
        <v>2061</v>
      </c>
      <c r="C47" s="188" t="s">
        <v>147</v>
      </c>
      <c r="D47" s="195">
        <v>45687</v>
      </c>
      <c r="E47" s="189">
        <v>45687</v>
      </c>
      <c r="F47" s="257" t="s">
        <v>16</v>
      </c>
      <c r="G47" s="272">
        <v>333.48</v>
      </c>
      <c r="H47" s="190" t="s">
        <v>148</v>
      </c>
      <c r="I47" s="194" t="s">
        <v>149</v>
      </c>
      <c r="J47" s="278" t="s">
        <v>150</v>
      </c>
      <c r="K47" s="207">
        <v>45687</v>
      </c>
      <c r="L47" s="201">
        <v>333.48</v>
      </c>
      <c r="M47" s="289" t="s">
        <v>151</v>
      </c>
    </row>
    <row r="48" spans="1:14" hidden="1">
      <c r="A48" s="257" t="s">
        <v>316</v>
      </c>
      <c r="B48" s="194" t="s">
        <v>2061</v>
      </c>
      <c r="C48" s="188" t="s">
        <v>152</v>
      </c>
      <c r="D48" s="195">
        <v>45716</v>
      </c>
      <c r="E48" s="189">
        <v>45716</v>
      </c>
      <c r="F48" s="257" t="s">
        <v>16</v>
      </c>
      <c r="G48" s="272">
        <v>244.6</v>
      </c>
      <c r="H48" s="190" t="s">
        <v>153</v>
      </c>
      <c r="I48" s="194" t="s">
        <v>149</v>
      </c>
      <c r="J48" s="278" t="s">
        <v>154</v>
      </c>
      <c r="K48" s="207" t="s">
        <v>155</v>
      </c>
      <c r="L48" s="201">
        <v>244.6</v>
      </c>
      <c r="M48" s="289" t="s">
        <v>151</v>
      </c>
    </row>
    <row r="49" spans="1:14" hidden="1">
      <c r="A49" s="257" t="s">
        <v>316</v>
      </c>
      <c r="B49" s="194" t="s">
        <v>2061</v>
      </c>
      <c r="C49" s="188" t="s">
        <v>156</v>
      </c>
      <c r="D49" s="195">
        <v>45746</v>
      </c>
      <c r="E49" s="189">
        <v>45746</v>
      </c>
      <c r="F49" s="257" t="s">
        <v>16</v>
      </c>
      <c r="G49" s="272">
        <v>180.66</v>
      </c>
      <c r="H49" s="190" t="s">
        <v>157</v>
      </c>
      <c r="I49" s="194" t="s">
        <v>158</v>
      </c>
      <c r="J49" s="278" t="s">
        <v>150</v>
      </c>
      <c r="K49" s="207">
        <v>45746</v>
      </c>
      <c r="L49" s="201">
        <v>180.66</v>
      </c>
      <c r="M49" s="289" t="s">
        <v>151</v>
      </c>
    </row>
    <row r="50" spans="1:14" hidden="1">
      <c r="A50" s="257" t="s">
        <v>316</v>
      </c>
      <c r="B50" s="194" t="s">
        <v>2061</v>
      </c>
      <c r="C50" s="188" t="s">
        <v>159</v>
      </c>
      <c r="D50" s="195">
        <v>45777</v>
      </c>
      <c r="E50" s="189">
        <v>45777</v>
      </c>
      <c r="F50" s="257" t="s">
        <v>16</v>
      </c>
      <c r="G50" s="272">
        <v>247.8</v>
      </c>
      <c r="H50" s="190" t="s">
        <v>160</v>
      </c>
      <c r="I50" s="194" t="s">
        <v>158</v>
      </c>
      <c r="J50" s="278" t="s">
        <v>150</v>
      </c>
      <c r="K50" s="192">
        <v>45777</v>
      </c>
      <c r="L50" s="201">
        <v>247.8</v>
      </c>
      <c r="M50" s="289" t="s">
        <v>151</v>
      </c>
    </row>
    <row r="51" spans="1:14" hidden="1">
      <c r="A51" s="257" t="s">
        <v>316</v>
      </c>
      <c r="B51" s="194" t="s">
        <v>2061</v>
      </c>
      <c r="C51" s="188" t="s">
        <v>161</v>
      </c>
      <c r="D51" s="195">
        <v>45807</v>
      </c>
      <c r="E51" s="189">
        <v>45807</v>
      </c>
      <c r="F51" s="257" t="s">
        <v>16</v>
      </c>
      <c r="G51" s="272">
        <v>400.85</v>
      </c>
      <c r="H51" s="190" t="s">
        <v>162</v>
      </c>
      <c r="I51" s="194" t="s">
        <v>149</v>
      </c>
      <c r="J51" s="278" t="s">
        <v>150</v>
      </c>
      <c r="K51" s="192">
        <v>45807</v>
      </c>
      <c r="L51" s="201">
        <v>400.85</v>
      </c>
      <c r="M51" s="289" t="s">
        <v>151</v>
      </c>
    </row>
    <row r="52" spans="1:14" hidden="1">
      <c r="A52" s="257" t="s">
        <v>316</v>
      </c>
      <c r="B52" s="194" t="s">
        <v>2061</v>
      </c>
      <c r="C52" s="188">
        <v>4585906</v>
      </c>
      <c r="D52" s="195">
        <v>45838</v>
      </c>
      <c r="E52" s="189">
        <v>45838</v>
      </c>
      <c r="F52" s="257" t="s">
        <v>16</v>
      </c>
      <c r="G52" s="272">
        <v>211.2</v>
      </c>
      <c r="H52" s="190" t="s">
        <v>164</v>
      </c>
      <c r="I52" s="194" t="s">
        <v>149</v>
      </c>
      <c r="J52" s="278" t="s">
        <v>150</v>
      </c>
      <c r="K52" s="192">
        <v>45838</v>
      </c>
      <c r="L52" s="201">
        <v>211.2</v>
      </c>
      <c r="M52" s="289" t="s">
        <v>151</v>
      </c>
    </row>
    <row r="53" spans="1:14" hidden="1">
      <c r="A53" s="257" t="s">
        <v>316</v>
      </c>
      <c r="B53" s="194" t="s">
        <v>2061</v>
      </c>
      <c r="C53" s="188" t="s">
        <v>165</v>
      </c>
      <c r="D53" s="195">
        <v>45868</v>
      </c>
      <c r="E53" s="189">
        <v>45868</v>
      </c>
      <c r="F53" s="257" t="s">
        <v>16</v>
      </c>
      <c r="G53" s="272">
        <v>390.35</v>
      </c>
      <c r="H53" s="190" t="s">
        <v>166</v>
      </c>
      <c r="I53" s="194" t="s">
        <v>149</v>
      </c>
      <c r="J53" s="278" t="s">
        <v>150</v>
      </c>
      <c r="K53" s="192">
        <v>45868</v>
      </c>
      <c r="L53" s="201">
        <v>390.35</v>
      </c>
      <c r="M53" s="289" t="s">
        <v>151</v>
      </c>
    </row>
    <row r="54" spans="1:14" hidden="1">
      <c r="A54" s="257" t="s">
        <v>316</v>
      </c>
      <c r="B54" s="194" t="s">
        <v>2061</v>
      </c>
      <c r="C54" s="188" t="s">
        <v>167</v>
      </c>
      <c r="D54" s="195">
        <v>45899</v>
      </c>
      <c r="E54" s="189">
        <v>45899</v>
      </c>
      <c r="F54" s="257" t="s">
        <v>16</v>
      </c>
      <c r="G54" s="272">
        <v>267.16000000000003</v>
      </c>
      <c r="H54" s="190" t="s">
        <v>168</v>
      </c>
      <c r="I54" s="194" t="s">
        <v>149</v>
      </c>
      <c r="J54" s="278" t="s">
        <v>150</v>
      </c>
      <c r="K54" s="192">
        <v>45899</v>
      </c>
      <c r="L54" s="201">
        <v>267.16000000000003</v>
      </c>
      <c r="M54" s="289" t="s">
        <v>151</v>
      </c>
    </row>
    <row r="55" spans="1:14" hidden="1">
      <c r="A55" s="257" t="s">
        <v>316</v>
      </c>
      <c r="B55" s="194" t="s">
        <v>2061</v>
      </c>
      <c r="C55" s="188" t="s">
        <v>169</v>
      </c>
      <c r="D55" s="195">
        <v>45930</v>
      </c>
      <c r="E55" s="189">
        <v>45930</v>
      </c>
      <c r="F55" s="257" t="s">
        <v>16</v>
      </c>
      <c r="G55" s="272">
        <v>229.8</v>
      </c>
      <c r="H55" s="190" t="s">
        <v>170</v>
      </c>
      <c r="I55" s="194" t="s">
        <v>149</v>
      </c>
      <c r="J55" s="278" t="s">
        <v>150</v>
      </c>
      <c r="K55" s="192">
        <v>45930</v>
      </c>
      <c r="L55" s="201">
        <v>229.8</v>
      </c>
      <c r="M55" s="289" t="s">
        <v>151</v>
      </c>
    </row>
    <row r="56" spans="1:14" hidden="1">
      <c r="A56" s="257"/>
      <c r="B56" s="194" t="s">
        <v>2061</v>
      </c>
      <c r="C56" s="188" t="s">
        <v>171</v>
      </c>
      <c r="D56" s="195">
        <v>45960</v>
      </c>
      <c r="E56" s="189">
        <v>45960</v>
      </c>
      <c r="F56" s="257" t="s">
        <v>16</v>
      </c>
      <c r="G56" s="272">
        <v>116.4</v>
      </c>
      <c r="H56" s="190"/>
      <c r="I56" s="194" t="s">
        <v>149</v>
      </c>
      <c r="J56" s="278" t="s">
        <v>150</v>
      </c>
      <c r="K56" s="192">
        <v>45960</v>
      </c>
      <c r="L56" s="201">
        <v>116.4</v>
      </c>
      <c r="M56" s="289" t="s">
        <v>151</v>
      </c>
    </row>
    <row r="57" spans="1:14" hidden="1">
      <c r="A57" s="257" t="s">
        <v>13</v>
      </c>
      <c r="B57" s="194" t="s">
        <v>146</v>
      </c>
      <c r="C57" s="188" t="s">
        <v>3359</v>
      </c>
      <c r="D57" s="195">
        <v>46021</v>
      </c>
      <c r="E57" s="189">
        <v>46021</v>
      </c>
      <c r="F57" s="257" t="s">
        <v>16</v>
      </c>
      <c r="G57" s="272">
        <v>181.1</v>
      </c>
      <c r="H57" s="190"/>
      <c r="I57" s="194" t="s">
        <v>149</v>
      </c>
      <c r="J57" s="278" t="s">
        <v>150</v>
      </c>
      <c r="K57" s="192">
        <v>46021</v>
      </c>
      <c r="L57" s="201">
        <v>181.1</v>
      </c>
      <c r="M57" s="289" t="s">
        <v>151</v>
      </c>
    </row>
    <row r="58" spans="1:14" hidden="1">
      <c r="A58" s="257"/>
      <c r="B58" s="187" t="s">
        <v>2062</v>
      </c>
      <c r="C58" s="188" t="s">
        <v>172</v>
      </c>
      <c r="D58" s="189">
        <v>45991</v>
      </c>
      <c r="E58" s="189">
        <v>45991</v>
      </c>
      <c r="F58" s="257" t="s">
        <v>49</v>
      </c>
      <c r="G58" s="272">
        <v>111.9</v>
      </c>
      <c r="H58" s="190"/>
      <c r="I58" s="187" t="s">
        <v>149</v>
      </c>
      <c r="J58" s="278" t="s">
        <v>150</v>
      </c>
      <c r="K58" s="192">
        <v>45991</v>
      </c>
      <c r="L58" s="193">
        <v>111.9</v>
      </c>
      <c r="M58" s="289" t="s">
        <v>151</v>
      </c>
    </row>
    <row r="59" spans="1:14" hidden="1">
      <c r="A59" s="261">
        <v>2024</v>
      </c>
      <c r="B59" s="194" t="s">
        <v>2063</v>
      </c>
      <c r="C59" s="209" t="s">
        <v>178</v>
      </c>
      <c r="D59" s="195">
        <v>45628</v>
      </c>
      <c r="F59" s="268" t="s">
        <v>16</v>
      </c>
      <c r="G59" s="273">
        <v>737.47</v>
      </c>
      <c r="H59" s="190"/>
      <c r="I59" s="194"/>
      <c r="K59" s="192"/>
      <c r="L59" s="193"/>
      <c r="M59" s="289"/>
    </row>
    <row r="60" spans="1:14" hidden="1">
      <c r="A60" s="257"/>
      <c r="B60" s="194" t="s">
        <v>2064</v>
      </c>
      <c r="C60" s="188">
        <v>153</v>
      </c>
      <c r="D60" s="195">
        <v>45712</v>
      </c>
      <c r="E60" s="189"/>
      <c r="F60" s="257" t="s">
        <v>16</v>
      </c>
      <c r="G60" s="272">
        <v>447.6</v>
      </c>
      <c r="H60" s="190" t="s">
        <v>180</v>
      </c>
      <c r="I60" s="194" t="s">
        <v>181</v>
      </c>
      <c r="J60" s="278" t="s">
        <v>66</v>
      </c>
      <c r="K60" s="192"/>
      <c r="L60" s="193"/>
      <c r="M60" s="289"/>
    </row>
    <row r="61" spans="1:14" hidden="1">
      <c r="A61" s="257"/>
      <c r="B61" s="187" t="s">
        <v>4310</v>
      </c>
      <c r="C61" s="188" t="s">
        <v>26</v>
      </c>
      <c r="D61" s="189">
        <v>46079</v>
      </c>
      <c r="E61" s="189">
        <v>46079</v>
      </c>
      <c r="F61" s="257"/>
      <c r="G61" s="272">
        <v>4100</v>
      </c>
      <c r="H61" s="190"/>
      <c r="I61" s="187" t="s">
        <v>4311</v>
      </c>
      <c r="J61" s="278" t="s">
        <v>751</v>
      </c>
      <c r="K61" s="193">
        <v>0</v>
      </c>
      <c r="L61" s="192">
        <v>46139</v>
      </c>
      <c r="M61" s="289"/>
      <c r="N61" s="56"/>
    </row>
    <row r="62" spans="1:14" hidden="1">
      <c r="A62" s="257">
        <v>2024</v>
      </c>
      <c r="B62" s="194" t="s">
        <v>2065</v>
      </c>
      <c r="C62" s="188" t="s">
        <v>183</v>
      </c>
      <c r="D62" s="195">
        <v>45363</v>
      </c>
      <c r="E62" s="189"/>
      <c r="F62" s="257" t="s">
        <v>16</v>
      </c>
      <c r="G62" s="272">
        <v>180</v>
      </c>
      <c r="H62" s="208" t="s">
        <v>2066</v>
      </c>
      <c r="I62" s="194" t="s">
        <v>184</v>
      </c>
      <c r="J62" s="278" t="s">
        <v>185</v>
      </c>
      <c r="K62" s="192"/>
      <c r="L62" s="193"/>
      <c r="M62" s="289"/>
    </row>
    <row r="63" spans="1:14" hidden="1">
      <c r="A63" s="257"/>
      <c r="B63" s="194" t="s">
        <v>2065</v>
      </c>
      <c r="C63" s="188" t="s">
        <v>2067</v>
      </c>
      <c r="D63" s="195"/>
      <c r="E63" s="189"/>
      <c r="F63" s="257"/>
      <c r="G63" s="272">
        <v>991</v>
      </c>
      <c r="H63" s="208"/>
      <c r="I63" s="194"/>
      <c r="J63" s="278"/>
      <c r="K63" s="193"/>
      <c r="L63" s="192"/>
      <c r="M63" s="289"/>
    </row>
    <row r="64" spans="1:14" hidden="1">
      <c r="B64" s="187" t="s">
        <v>4264</v>
      </c>
      <c r="C64" s="188" t="s">
        <v>4308</v>
      </c>
      <c r="D64" s="189">
        <v>46076</v>
      </c>
      <c r="E64" s="189"/>
      <c r="F64" s="257"/>
      <c r="G64" s="272">
        <v>1330.36</v>
      </c>
      <c r="H64" s="190"/>
      <c r="I64" s="187" t="s">
        <v>4309</v>
      </c>
      <c r="J64" s="278" t="s">
        <v>3314</v>
      </c>
      <c r="K64" s="193">
        <v>217.36</v>
      </c>
      <c r="L64" s="192"/>
      <c r="M64" s="289"/>
      <c r="N64" s="56"/>
    </row>
    <row r="65" spans="1:14" hidden="1">
      <c r="A65" s="261" t="s">
        <v>316</v>
      </c>
      <c r="B65" s="194" t="s">
        <v>2068</v>
      </c>
      <c r="C65" s="188">
        <v>273</v>
      </c>
      <c r="D65" s="195">
        <v>45674</v>
      </c>
      <c r="E65" s="189" t="s">
        <v>188</v>
      </c>
      <c r="F65" s="257" t="s">
        <v>16</v>
      </c>
      <c r="G65" s="272">
        <f>12801.52</f>
        <v>12801.52</v>
      </c>
      <c r="H65" s="190" t="s">
        <v>189</v>
      </c>
      <c r="I65" s="194" t="s">
        <v>190</v>
      </c>
      <c r="J65" s="278" t="s">
        <v>105</v>
      </c>
      <c r="K65" s="195" t="s">
        <v>188</v>
      </c>
      <c r="L65" s="201">
        <f>12801.52</f>
        <v>12801.52</v>
      </c>
      <c r="M65" s="289" t="s">
        <v>191</v>
      </c>
    </row>
    <row r="66" spans="1:14" hidden="1">
      <c r="A66" s="261" t="s">
        <v>316</v>
      </c>
      <c r="B66" s="194" t="s">
        <v>2068</v>
      </c>
      <c r="C66" s="188">
        <v>273</v>
      </c>
      <c r="D66" s="195">
        <v>45674</v>
      </c>
      <c r="E66" s="189">
        <v>45747</v>
      </c>
      <c r="F66" s="257" t="s">
        <v>16</v>
      </c>
      <c r="G66" s="272">
        <v>12801.52</v>
      </c>
      <c r="H66" s="190" t="s">
        <v>189</v>
      </c>
      <c r="I66" s="194" t="s">
        <v>190</v>
      </c>
      <c r="J66" s="278" t="s">
        <v>105</v>
      </c>
      <c r="K66" s="195">
        <v>45747</v>
      </c>
      <c r="L66" s="201">
        <v>12801.52</v>
      </c>
      <c r="M66" s="289" t="s">
        <v>192</v>
      </c>
    </row>
    <row r="67" spans="1:14" hidden="1">
      <c r="A67" s="261" t="s">
        <v>316</v>
      </c>
      <c r="B67" s="194" t="s">
        <v>2069</v>
      </c>
      <c r="C67" s="188" t="s">
        <v>194</v>
      </c>
      <c r="D67" s="195">
        <v>45665</v>
      </c>
      <c r="E67" s="189">
        <v>45688</v>
      </c>
      <c r="F67" s="257" t="s">
        <v>16</v>
      </c>
      <c r="G67" s="272">
        <v>80.52</v>
      </c>
      <c r="H67" s="190" t="s">
        <v>195</v>
      </c>
      <c r="I67" s="194" t="s">
        <v>196</v>
      </c>
      <c r="J67" s="278" t="s">
        <v>197</v>
      </c>
      <c r="K67" s="195">
        <v>45688</v>
      </c>
      <c r="L67" s="201">
        <v>80.52</v>
      </c>
      <c r="M67" s="289" t="s">
        <v>198</v>
      </c>
    </row>
    <row r="68" spans="1:14" hidden="1">
      <c r="A68" s="330" t="s">
        <v>199</v>
      </c>
      <c r="B68" s="194" t="s">
        <v>2069</v>
      </c>
      <c r="C68" s="188"/>
      <c r="D68" s="195">
        <v>45696</v>
      </c>
      <c r="E68" s="189"/>
      <c r="F68" s="257" t="s">
        <v>49</v>
      </c>
      <c r="G68" s="272">
        <v>80.52</v>
      </c>
      <c r="H68" s="190"/>
      <c r="I68" s="194" t="s">
        <v>196</v>
      </c>
      <c r="J68" s="278" t="s">
        <v>197</v>
      </c>
      <c r="K68" s="195"/>
      <c r="L68" s="201"/>
      <c r="M68" s="289" t="s">
        <v>200</v>
      </c>
    </row>
    <row r="69" spans="1:14" hidden="1">
      <c r="A69" s="260" t="s">
        <v>199</v>
      </c>
      <c r="B69" s="194" t="s">
        <v>2069</v>
      </c>
      <c r="C69" s="188"/>
      <c r="D69" s="195">
        <v>45724</v>
      </c>
      <c r="E69" s="189"/>
      <c r="F69" s="257" t="s">
        <v>49</v>
      </c>
      <c r="G69" s="272">
        <v>80.52</v>
      </c>
      <c r="H69" s="190"/>
      <c r="I69" s="194" t="s">
        <v>196</v>
      </c>
      <c r="J69" s="278" t="s">
        <v>197</v>
      </c>
      <c r="K69" s="195"/>
      <c r="L69" s="201"/>
      <c r="M69" s="289" t="s">
        <v>201</v>
      </c>
    </row>
    <row r="70" spans="1:14" hidden="1">
      <c r="A70" s="257" t="s">
        <v>316</v>
      </c>
      <c r="B70" s="194" t="s">
        <v>2069</v>
      </c>
      <c r="C70" s="188" t="s">
        <v>202</v>
      </c>
      <c r="D70" s="195">
        <v>45754</v>
      </c>
      <c r="E70" s="189">
        <v>45748</v>
      </c>
      <c r="F70" s="257" t="s">
        <v>49</v>
      </c>
      <c r="G70" s="272">
        <v>80.52</v>
      </c>
      <c r="H70" s="190" t="s">
        <v>195</v>
      </c>
      <c r="I70" s="194" t="s">
        <v>196</v>
      </c>
      <c r="J70" s="278" t="s">
        <v>197</v>
      </c>
      <c r="K70" s="195">
        <v>45748</v>
      </c>
      <c r="L70" s="201">
        <v>80.52</v>
      </c>
      <c r="M70" s="289" t="s">
        <v>203</v>
      </c>
    </row>
    <row r="71" spans="1:14" hidden="1">
      <c r="A71" s="260" t="s">
        <v>199</v>
      </c>
      <c r="B71" s="194" t="s">
        <v>2069</v>
      </c>
      <c r="C71" s="188"/>
      <c r="D71" s="195">
        <v>45785</v>
      </c>
      <c r="E71" s="189"/>
      <c r="F71" s="257" t="s">
        <v>49</v>
      </c>
      <c r="G71" s="272">
        <v>80.52</v>
      </c>
      <c r="H71" s="190"/>
      <c r="I71" s="194" t="s">
        <v>196</v>
      </c>
      <c r="J71" s="278" t="s">
        <v>197</v>
      </c>
      <c r="K71" s="195"/>
      <c r="L71" s="201"/>
      <c r="M71" s="289" t="s">
        <v>200</v>
      </c>
    </row>
    <row r="72" spans="1:14" hidden="1">
      <c r="A72" s="260" t="s">
        <v>199</v>
      </c>
      <c r="B72" s="194" t="s">
        <v>2069</v>
      </c>
      <c r="C72" s="188"/>
      <c r="D72" s="195">
        <v>45816</v>
      </c>
      <c r="E72" s="189"/>
      <c r="F72" s="257" t="s">
        <v>49</v>
      </c>
      <c r="G72" s="272">
        <v>80.52</v>
      </c>
      <c r="H72" s="190"/>
      <c r="I72" s="194" t="s">
        <v>196</v>
      </c>
      <c r="J72" s="278" t="s">
        <v>197</v>
      </c>
      <c r="K72" s="195"/>
      <c r="L72" s="201"/>
      <c r="M72" s="289" t="s">
        <v>201</v>
      </c>
    </row>
    <row r="73" spans="1:14" hidden="1">
      <c r="A73" s="257" t="s">
        <v>316</v>
      </c>
      <c r="B73" s="194" t="s">
        <v>2069</v>
      </c>
      <c r="C73" s="188" t="s">
        <v>204</v>
      </c>
      <c r="D73" s="195">
        <v>45845</v>
      </c>
      <c r="E73" s="189">
        <v>45840</v>
      </c>
      <c r="F73" s="257" t="s">
        <v>16</v>
      </c>
      <c r="G73" s="272">
        <v>80.52</v>
      </c>
      <c r="H73" s="190" t="s">
        <v>205</v>
      </c>
      <c r="I73" s="194" t="s">
        <v>196</v>
      </c>
      <c r="J73" s="278" t="s">
        <v>197</v>
      </c>
      <c r="K73" s="195">
        <v>45840</v>
      </c>
      <c r="L73" s="201">
        <v>80.52</v>
      </c>
      <c r="M73" s="289" t="s">
        <v>203</v>
      </c>
    </row>
    <row r="74" spans="1:14" hidden="1">
      <c r="A74" s="260" t="s">
        <v>199</v>
      </c>
      <c r="B74" s="194" t="s">
        <v>2069</v>
      </c>
      <c r="C74" s="188"/>
      <c r="D74" s="195">
        <v>45877</v>
      </c>
      <c r="E74" s="189"/>
      <c r="F74" s="257" t="s">
        <v>49</v>
      </c>
      <c r="G74" s="272">
        <v>80.52</v>
      </c>
      <c r="H74" s="97"/>
      <c r="I74" s="289" t="s">
        <v>196</v>
      </c>
      <c r="J74" s="279" t="s">
        <v>197</v>
      </c>
      <c r="K74" s="195"/>
      <c r="L74" s="201"/>
      <c r="M74" s="289" t="s">
        <v>206</v>
      </c>
    </row>
    <row r="75" spans="1:14" hidden="1">
      <c r="A75" s="260" t="s">
        <v>199</v>
      </c>
      <c r="B75" s="194" t="s">
        <v>2069</v>
      </c>
      <c r="C75" s="188"/>
      <c r="D75" s="195">
        <v>45908</v>
      </c>
      <c r="E75" s="189"/>
      <c r="F75" s="257" t="s">
        <v>16</v>
      </c>
      <c r="G75" s="272">
        <v>80.52</v>
      </c>
      <c r="H75" s="190"/>
      <c r="I75" s="194" t="s">
        <v>196</v>
      </c>
      <c r="J75" s="278" t="s">
        <v>197</v>
      </c>
      <c r="K75" s="195"/>
      <c r="L75" s="201"/>
      <c r="M75" s="289" t="s">
        <v>207</v>
      </c>
    </row>
    <row r="76" spans="1:14" ht="21" hidden="1" customHeight="1">
      <c r="A76" s="257" t="s">
        <v>316</v>
      </c>
      <c r="B76" s="194" t="s">
        <v>2069</v>
      </c>
      <c r="C76" s="188" t="s">
        <v>208</v>
      </c>
      <c r="D76" s="195">
        <v>45937</v>
      </c>
      <c r="E76" s="189">
        <v>45933</v>
      </c>
      <c r="F76" s="257" t="s">
        <v>49</v>
      </c>
      <c r="G76" s="272">
        <v>80.52</v>
      </c>
      <c r="H76" s="190" t="s">
        <v>209</v>
      </c>
      <c r="I76" s="194" t="s">
        <v>196</v>
      </c>
      <c r="J76" s="278" t="s">
        <v>197</v>
      </c>
      <c r="K76" s="195">
        <v>45933</v>
      </c>
      <c r="L76" s="201">
        <v>80.52</v>
      </c>
      <c r="M76" s="289" t="s">
        <v>210</v>
      </c>
      <c r="N76" s="212"/>
    </row>
    <row r="77" spans="1:14" hidden="1">
      <c r="A77" s="196" t="s">
        <v>13</v>
      </c>
      <c r="B77" s="196" t="s">
        <v>193</v>
      </c>
      <c r="C77" s="196" t="s">
        <v>4096</v>
      </c>
      <c r="D77" s="192">
        <v>46031</v>
      </c>
      <c r="E77" s="192">
        <v>46031</v>
      </c>
      <c r="F77" s="196" t="s">
        <v>16</v>
      </c>
      <c r="G77" s="201">
        <v>80.52</v>
      </c>
      <c r="H77" t="s">
        <v>196</v>
      </c>
      <c r="I77" s="196" t="s">
        <v>4139</v>
      </c>
      <c r="J77" s="301">
        <v>46031</v>
      </c>
      <c r="K77" s="201">
        <v>80.52</v>
      </c>
      <c r="L77" s="196" t="s">
        <v>210</v>
      </c>
      <c r="M77" s="289"/>
      <c r="N77" s="212"/>
    </row>
    <row r="78" spans="1:14" ht="21" hidden="1" customHeight="1">
      <c r="A78" s="257"/>
      <c r="B78" s="194" t="s">
        <v>3444</v>
      </c>
      <c r="C78" s="188" t="s">
        <v>4096</v>
      </c>
      <c r="D78" s="195">
        <v>46031</v>
      </c>
      <c r="E78" s="189"/>
      <c r="F78" s="257" t="s">
        <v>16</v>
      </c>
      <c r="G78" s="272">
        <v>80.52</v>
      </c>
      <c r="H78" s="196"/>
      <c r="I78" s="303" t="s">
        <v>3445</v>
      </c>
      <c r="J78" s="278" t="s">
        <v>3446</v>
      </c>
      <c r="K78" s="278">
        <v>14.52</v>
      </c>
      <c r="L78" s="193"/>
      <c r="M78" s="289"/>
      <c r="N78" s="212"/>
    </row>
    <row r="79" spans="1:14" hidden="1">
      <c r="A79" s="257" t="s">
        <v>219</v>
      </c>
      <c r="B79" s="194" t="s">
        <v>2070</v>
      </c>
      <c r="C79" s="188" t="s">
        <v>212</v>
      </c>
      <c r="D79" s="195">
        <v>45873</v>
      </c>
      <c r="E79" s="189">
        <v>45873</v>
      </c>
      <c r="F79" s="257" t="s">
        <v>16</v>
      </c>
      <c r="G79" s="272">
        <v>218.16</v>
      </c>
      <c r="H79" s="190" t="s">
        <v>213</v>
      </c>
      <c r="I79" s="194" t="s">
        <v>214</v>
      </c>
      <c r="J79" s="278" t="s">
        <v>215</v>
      </c>
      <c r="K79" s="192"/>
      <c r="L79" s="193"/>
      <c r="M79" s="289"/>
      <c r="N79" s="212"/>
    </row>
    <row r="80" spans="1:14" ht="21" hidden="1" customHeight="1">
      <c r="A80" s="257" t="s">
        <v>316</v>
      </c>
      <c r="B80" s="194" t="s">
        <v>2071</v>
      </c>
      <c r="C80" s="188" t="s">
        <v>217</v>
      </c>
      <c r="D80" s="195">
        <v>45995</v>
      </c>
      <c r="E80" s="189">
        <v>45995</v>
      </c>
      <c r="F80" s="257" t="s">
        <v>16</v>
      </c>
      <c r="G80" s="272">
        <v>51.2</v>
      </c>
      <c r="H80" s="196"/>
      <c r="I80" s="194" t="s">
        <v>218</v>
      </c>
      <c r="J80" s="278" t="s">
        <v>219</v>
      </c>
      <c r="K80" s="192">
        <v>45995</v>
      </c>
      <c r="L80" s="193">
        <v>51.2</v>
      </c>
      <c r="M80" s="289" t="s">
        <v>219</v>
      </c>
      <c r="N80" s="212"/>
    </row>
    <row r="81" spans="1:14" hidden="1">
      <c r="A81" s="196" t="s">
        <v>13</v>
      </c>
      <c r="B81" s="196" t="s">
        <v>216</v>
      </c>
      <c r="C81" s="196" t="s">
        <v>4140</v>
      </c>
      <c r="D81" s="192">
        <v>46034</v>
      </c>
      <c r="E81" s="192">
        <v>46034</v>
      </c>
      <c r="F81" s="196" t="s">
        <v>16</v>
      </c>
      <c r="G81" s="201">
        <v>102.46</v>
      </c>
      <c r="H81" s="196" t="s">
        <v>373</v>
      </c>
      <c r="I81" s="196" t="s">
        <v>47</v>
      </c>
      <c r="J81" s="192">
        <v>46034</v>
      </c>
      <c r="K81" s="201">
        <v>102.46</v>
      </c>
      <c r="L81" s="196" t="s">
        <v>47</v>
      </c>
      <c r="M81" s="289"/>
      <c r="N81" s="212"/>
    </row>
    <row r="82" spans="1:14" ht="21" hidden="1" customHeight="1">
      <c r="A82" s="257"/>
      <c r="B82" s="194" t="s">
        <v>3447</v>
      </c>
      <c r="C82" s="188" t="s">
        <v>4094</v>
      </c>
      <c r="D82" s="195">
        <v>46034</v>
      </c>
      <c r="E82" s="189">
        <v>46034</v>
      </c>
      <c r="F82" s="257" t="s">
        <v>16</v>
      </c>
      <c r="G82" s="272">
        <v>102.46</v>
      </c>
      <c r="H82" s="196"/>
      <c r="I82" s="299" t="s">
        <v>4095</v>
      </c>
      <c r="J82" s="278" t="s">
        <v>751</v>
      </c>
      <c r="K82" s="195">
        <v>18.48</v>
      </c>
      <c r="L82" s="192">
        <v>46094</v>
      </c>
      <c r="M82" s="289"/>
      <c r="N82" s="212"/>
    </row>
    <row r="83" spans="1:14" hidden="1">
      <c r="A83" s="257"/>
      <c r="B83" s="194" t="s">
        <v>220</v>
      </c>
      <c r="C83" s="188" t="s">
        <v>4323</v>
      </c>
      <c r="D83" s="195">
        <v>46080</v>
      </c>
      <c r="E83" s="189">
        <v>46080</v>
      </c>
      <c r="F83" s="257" t="s">
        <v>16</v>
      </c>
      <c r="G83" s="272">
        <v>0.61</v>
      </c>
      <c r="H83" s="208"/>
      <c r="I83" s="194" t="s">
        <v>3311</v>
      </c>
      <c r="J83" s="278" t="s">
        <v>751</v>
      </c>
      <c r="K83" s="193">
        <v>0.11</v>
      </c>
      <c r="L83" s="192">
        <v>46140</v>
      </c>
      <c r="M83" s="289"/>
      <c r="N83" s="212"/>
    </row>
    <row r="84" spans="1:14" hidden="1">
      <c r="A84" s="257" t="s">
        <v>316</v>
      </c>
      <c r="B84" s="194" t="s">
        <v>2072</v>
      </c>
      <c r="C84" s="188">
        <v>84530256900040</v>
      </c>
      <c r="D84" s="195">
        <v>45688</v>
      </c>
      <c r="E84" s="189">
        <v>45688</v>
      </c>
      <c r="F84" s="257" t="s">
        <v>16</v>
      </c>
      <c r="G84" s="272">
        <v>0.61</v>
      </c>
      <c r="H84" s="190" t="s">
        <v>222</v>
      </c>
      <c r="I84" s="194" t="s">
        <v>196</v>
      </c>
      <c r="J84" s="278" t="s">
        <v>223</v>
      </c>
      <c r="K84" s="195">
        <v>45688</v>
      </c>
      <c r="L84" s="201">
        <v>0.61</v>
      </c>
      <c r="M84" s="289" t="s">
        <v>19</v>
      </c>
      <c r="N84" s="212"/>
    </row>
    <row r="85" spans="1:14" hidden="1">
      <c r="A85" s="257" t="s">
        <v>316</v>
      </c>
      <c r="B85" s="194" t="s">
        <v>2072</v>
      </c>
      <c r="C85" s="188">
        <v>84530256900402</v>
      </c>
      <c r="D85" s="195">
        <v>45716</v>
      </c>
      <c r="E85" s="189">
        <v>45716</v>
      </c>
      <c r="F85" s="257" t="s">
        <v>16</v>
      </c>
      <c r="G85" s="272">
        <v>0.61</v>
      </c>
      <c r="H85" s="190" t="s">
        <v>225</v>
      </c>
      <c r="I85" s="194" t="s">
        <v>196</v>
      </c>
      <c r="J85" s="278" t="s">
        <v>223</v>
      </c>
      <c r="K85" s="195">
        <v>45716</v>
      </c>
      <c r="L85" s="201">
        <v>0.61</v>
      </c>
      <c r="M85" s="289" t="s">
        <v>19</v>
      </c>
      <c r="N85" s="212"/>
    </row>
    <row r="86" spans="1:14" ht="21" hidden="1" customHeight="1">
      <c r="A86" s="257" t="s">
        <v>316</v>
      </c>
      <c r="B86" s="194" t="s">
        <v>2072</v>
      </c>
      <c r="C86" s="188">
        <v>84530256901130</v>
      </c>
      <c r="D86" s="195">
        <v>45777</v>
      </c>
      <c r="E86" s="189">
        <v>45777</v>
      </c>
      <c r="F86" s="257" t="s">
        <v>16</v>
      </c>
      <c r="G86" s="272">
        <v>0.61</v>
      </c>
      <c r="H86" s="190" t="s">
        <v>227</v>
      </c>
      <c r="I86" s="194" t="s">
        <v>196</v>
      </c>
      <c r="J86" s="278" t="s">
        <v>223</v>
      </c>
      <c r="K86" s="195">
        <v>45777</v>
      </c>
      <c r="L86" s="201">
        <v>0.61</v>
      </c>
      <c r="M86" s="289" t="s">
        <v>19</v>
      </c>
      <c r="N86" s="335"/>
    </row>
    <row r="87" spans="1:14" hidden="1">
      <c r="A87" s="257" t="s">
        <v>316</v>
      </c>
      <c r="B87" s="194" t="s">
        <v>2072</v>
      </c>
      <c r="C87" s="188">
        <v>84530256901486</v>
      </c>
      <c r="D87" s="195">
        <v>45807</v>
      </c>
      <c r="E87" s="189">
        <v>45807</v>
      </c>
      <c r="F87" s="257" t="s">
        <v>16</v>
      </c>
      <c r="G87" s="272">
        <v>0.61</v>
      </c>
      <c r="H87" s="190" t="s">
        <v>229</v>
      </c>
      <c r="I87" s="194" t="s">
        <v>196</v>
      </c>
      <c r="J87" s="278" t="s">
        <v>223</v>
      </c>
      <c r="K87" s="195">
        <v>45807</v>
      </c>
      <c r="L87" s="201">
        <v>0.61</v>
      </c>
      <c r="M87" s="289" t="s">
        <v>19</v>
      </c>
      <c r="N87" s="56"/>
    </row>
    <row r="88" spans="1:14" hidden="1">
      <c r="A88" s="257" t="s">
        <v>316</v>
      </c>
      <c r="B88" s="194" t="s">
        <v>2072</v>
      </c>
      <c r="C88" s="188">
        <v>84530256901844</v>
      </c>
      <c r="D88" s="195">
        <v>45838</v>
      </c>
      <c r="E88" s="189">
        <v>45838</v>
      </c>
      <c r="F88" s="257" t="s">
        <v>16</v>
      </c>
      <c r="G88" s="272">
        <v>0.61</v>
      </c>
      <c r="H88" s="190" t="s">
        <v>231</v>
      </c>
      <c r="I88" s="194" t="s">
        <v>196</v>
      </c>
      <c r="J88" s="278" t="s">
        <v>223</v>
      </c>
      <c r="K88" s="195">
        <v>45838</v>
      </c>
      <c r="L88" s="201">
        <v>0.61</v>
      </c>
      <c r="M88" s="289" t="s">
        <v>19</v>
      </c>
      <c r="N88" s="56"/>
    </row>
    <row r="89" spans="1:14" hidden="1">
      <c r="A89" s="257" t="s">
        <v>316</v>
      </c>
      <c r="B89" s="194" t="s">
        <v>2072</v>
      </c>
      <c r="C89" s="188">
        <v>84530256902218</v>
      </c>
      <c r="D89" s="195">
        <v>45869</v>
      </c>
      <c r="E89" s="189">
        <v>45869</v>
      </c>
      <c r="F89" s="257" t="s">
        <v>16</v>
      </c>
      <c r="G89" s="272">
        <v>0.61</v>
      </c>
      <c r="H89" s="190" t="s">
        <v>233</v>
      </c>
      <c r="I89" s="194" t="s">
        <v>196</v>
      </c>
      <c r="J89" s="278" t="s">
        <v>223</v>
      </c>
      <c r="K89" s="195">
        <v>45869</v>
      </c>
      <c r="L89" s="201">
        <v>0.61</v>
      </c>
      <c r="M89" s="289" t="s">
        <v>19</v>
      </c>
      <c r="N89" s="56"/>
    </row>
    <row r="90" spans="1:14" hidden="1">
      <c r="A90" s="257" t="s">
        <v>316</v>
      </c>
      <c r="B90" s="194" t="s">
        <v>2072</v>
      </c>
      <c r="C90" s="188">
        <v>84530256902568</v>
      </c>
      <c r="D90" s="195">
        <v>45898</v>
      </c>
      <c r="E90" s="189">
        <v>45898</v>
      </c>
      <c r="F90" s="257" t="s">
        <v>16</v>
      </c>
      <c r="G90" s="272">
        <v>0.61</v>
      </c>
      <c r="H90" s="190" t="s">
        <v>235</v>
      </c>
      <c r="I90" s="194" t="s">
        <v>196</v>
      </c>
      <c r="J90" s="278" t="s">
        <v>223</v>
      </c>
      <c r="K90" s="195">
        <v>45898</v>
      </c>
      <c r="L90" s="201">
        <v>0.61</v>
      </c>
      <c r="M90" s="289" t="s">
        <v>19</v>
      </c>
      <c r="N90" s="56"/>
    </row>
    <row r="91" spans="1:14" hidden="1">
      <c r="A91" s="257" t="s">
        <v>316</v>
      </c>
      <c r="B91" s="194" t="s">
        <v>2072</v>
      </c>
      <c r="C91" s="188">
        <v>84530256902922</v>
      </c>
      <c r="D91" s="195">
        <v>45930</v>
      </c>
      <c r="E91" s="189">
        <v>45930</v>
      </c>
      <c r="F91" s="257" t="s">
        <v>16</v>
      </c>
      <c r="G91" s="272">
        <v>0.61</v>
      </c>
      <c r="H91" s="190" t="s">
        <v>237</v>
      </c>
      <c r="I91" s="194" t="s">
        <v>196</v>
      </c>
      <c r="J91" s="278" t="s">
        <v>223</v>
      </c>
      <c r="K91" s="195">
        <v>45930</v>
      </c>
      <c r="L91" s="201">
        <v>0.61</v>
      </c>
      <c r="M91" s="289" t="s">
        <v>19</v>
      </c>
      <c r="N91" s="56"/>
    </row>
    <row r="92" spans="1:14" hidden="1">
      <c r="A92" s="257" t="s">
        <v>316</v>
      </c>
      <c r="B92" s="194" t="s">
        <v>2072</v>
      </c>
      <c r="C92" s="188">
        <v>84530256903276</v>
      </c>
      <c r="D92" s="195">
        <v>45961</v>
      </c>
      <c r="E92" s="189">
        <v>45961</v>
      </c>
      <c r="F92" s="257" t="s">
        <v>16</v>
      </c>
      <c r="G92" s="272">
        <v>0.61</v>
      </c>
      <c r="H92" s="190"/>
      <c r="I92" s="194" t="s">
        <v>196</v>
      </c>
      <c r="J92" s="278" t="s">
        <v>223</v>
      </c>
      <c r="K92" s="195">
        <v>45961</v>
      </c>
      <c r="L92" s="201">
        <v>0.61</v>
      </c>
      <c r="M92" s="289" t="s">
        <v>19</v>
      </c>
      <c r="N92" s="56"/>
    </row>
    <row r="93" spans="1:14" hidden="1">
      <c r="A93" s="257"/>
      <c r="B93" s="187" t="s">
        <v>2073</v>
      </c>
      <c r="C93" s="188" t="s">
        <v>239</v>
      </c>
      <c r="D93" s="189">
        <v>45989</v>
      </c>
      <c r="E93" s="189">
        <v>45989</v>
      </c>
      <c r="F93" s="257" t="s">
        <v>49</v>
      </c>
      <c r="G93" s="272">
        <v>0.61</v>
      </c>
      <c r="H93" s="190"/>
      <c r="I93" s="187" t="s">
        <v>196</v>
      </c>
      <c r="J93" s="278" t="s">
        <v>223</v>
      </c>
      <c r="K93" s="192">
        <v>45989</v>
      </c>
      <c r="L93" s="193">
        <v>0.61</v>
      </c>
      <c r="M93" s="289" t="s">
        <v>19</v>
      </c>
      <c r="N93" s="56"/>
    </row>
    <row r="94" spans="1:14" hidden="1">
      <c r="A94" s="257"/>
      <c r="B94" s="187" t="s">
        <v>220</v>
      </c>
      <c r="C94" s="188" t="s">
        <v>3360</v>
      </c>
      <c r="D94" s="189">
        <v>46022</v>
      </c>
      <c r="E94" s="189">
        <v>46022</v>
      </c>
      <c r="F94" s="257" t="s">
        <v>16</v>
      </c>
      <c r="G94" s="272">
        <v>0.61</v>
      </c>
      <c r="H94" s="190"/>
      <c r="I94" s="187" t="s">
        <v>196</v>
      </c>
      <c r="J94" s="278" t="s">
        <v>223</v>
      </c>
      <c r="K94" s="192">
        <v>46022</v>
      </c>
      <c r="L94" s="193">
        <v>0.61</v>
      </c>
      <c r="M94" s="289" t="s">
        <v>19</v>
      </c>
      <c r="N94" s="56"/>
    </row>
    <row r="95" spans="1:14" hidden="1">
      <c r="A95" s="257"/>
      <c r="B95" s="187" t="s">
        <v>220</v>
      </c>
      <c r="C95" s="188" t="s">
        <v>3452</v>
      </c>
      <c r="D95" s="189">
        <v>45747</v>
      </c>
      <c r="E95" s="189">
        <v>45747</v>
      </c>
      <c r="F95" s="257" t="s">
        <v>16</v>
      </c>
      <c r="G95" s="272">
        <v>0.61</v>
      </c>
      <c r="H95" s="190" t="s">
        <v>3311</v>
      </c>
      <c r="I95" s="187" t="s">
        <v>751</v>
      </c>
      <c r="J95" s="278">
        <v>0.11</v>
      </c>
      <c r="K95" s="192">
        <v>45807</v>
      </c>
      <c r="L95" s="193"/>
      <c r="M95" s="289"/>
      <c r="N95" s="56"/>
    </row>
    <row r="96" spans="1:14" hidden="1">
      <c r="A96" s="257"/>
      <c r="B96" s="194" t="s">
        <v>220</v>
      </c>
      <c r="C96" s="188" t="s">
        <v>4177</v>
      </c>
      <c r="D96" s="195">
        <v>46052</v>
      </c>
      <c r="E96" s="195">
        <v>46052</v>
      </c>
      <c r="F96" s="257"/>
      <c r="G96" s="272">
        <v>0.61</v>
      </c>
      <c r="H96" s="196"/>
      <c r="I96" s="194" t="s">
        <v>3311</v>
      </c>
      <c r="J96" s="278" t="s">
        <v>751</v>
      </c>
      <c r="K96" s="193">
        <v>0.11</v>
      </c>
      <c r="L96" s="192">
        <v>46112</v>
      </c>
      <c r="M96" s="289"/>
    </row>
    <row r="97" spans="1:14" hidden="1">
      <c r="A97" s="261" t="s">
        <v>13</v>
      </c>
      <c r="B97" s="187" t="s">
        <v>2074</v>
      </c>
      <c r="C97" s="188" t="s">
        <v>241</v>
      </c>
      <c r="D97" s="189">
        <v>45155</v>
      </c>
      <c r="E97" s="189">
        <v>45240</v>
      </c>
      <c r="F97" s="257"/>
      <c r="G97" s="272">
        <f>3869.64-G103</f>
        <v>1869.6399999999999</v>
      </c>
      <c r="H97" s="190" t="s">
        <v>242</v>
      </c>
      <c r="I97" s="187" t="s">
        <v>243</v>
      </c>
      <c r="J97" s="278" t="s">
        <v>56</v>
      </c>
      <c r="K97" s="193"/>
      <c r="L97" s="192"/>
      <c r="M97" s="289"/>
      <c r="N97" s="56"/>
    </row>
    <row r="98" spans="1:14" hidden="1">
      <c r="A98" s="261" t="s">
        <v>13</v>
      </c>
      <c r="B98" s="187" t="s">
        <v>2074</v>
      </c>
      <c r="C98" s="188" t="s">
        <v>241</v>
      </c>
      <c r="D98" s="189">
        <v>45155</v>
      </c>
      <c r="E98" s="189"/>
      <c r="F98" s="257" t="s">
        <v>16</v>
      </c>
      <c r="G98" s="272">
        <v>720</v>
      </c>
      <c r="H98" s="190"/>
      <c r="I98" s="187" t="s">
        <v>243</v>
      </c>
      <c r="J98" s="278" t="s">
        <v>185</v>
      </c>
      <c r="K98" s="192"/>
      <c r="L98" s="193"/>
      <c r="M98" s="289"/>
      <c r="N98" s="56"/>
    </row>
    <row r="99" spans="1:14" hidden="1">
      <c r="A99" s="261" t="s">
        <v>13</v>
      </c>
      <c r="B99" s="187" t="s">
        <v>2074</v>
      </c>
      <c r="C99" s="188" t="s">
        <v>244</v>
      </c>
      <c r="D99" s="189">
        <v>45946</v>
      </c>
      <c r="E99" s="189">
        <v>45946</v>
      </c>
      <c r="F99" s="257" t="s">
        <v>49</v>
      </c>
      <c r="G99" s="272">
        <v>859.92</v>
      </c>
      <c r="H99" s="190"/>
      <c r="I99" s="187" t="s">
        <v>245</v>
      </c>
      <c r="J99" s="278" t="s">
        <v>56</v>
      </c>
      <c r="K99" s="192">
        <v>45945</v>
      </c>
      <c r="L99" s="193">
        <v>859.92</v>
      </c>
      <c r="M99" s="289" t="s">
        <v>246</v>
      </c>
      <c r="N99" s="56"/>
    </row>
    <row r="100" spans="1:14" hidden="1">
      <c r="A100" s="261" t="s">
        <v>13</v>
      </c>
      <c r="B100" s="187" t="s">
        <v>2074</v>
      </c>
      <c r="C100" s="188" t="s">
        <v>244</v>
      </c>
      <c r="D100" s="189">
        <v>45946</v>
      </c>
      <c r="E100" s="189">
        <v>45977</v>
      </c>
      <c r="F100" s="257"/>
      <c r="G100" s="272">
        <v>160</v>
      </c>
      <c r="H100" s="190"/>
      <c r="I100" s="187" t="s">
        <v>245</v>
      </c>
      <c r="J100" s="278" t="s">
        <v>185</v>
      </c>
      <c r="K100" s="192">
        <v>45977</v>
      </c>
      <c r="L100" s="193">
        <v>160</v>
      </c>
      <c r="M100" s="289"/>
      <c r="N100" s="56"/>
    </row>
    <row r="101" spans="1:14" hidden="1">
      <c r="A101" s="261" t="s">
        <v>13</v>
      </c>
      <c r="B101" s="187" t="s">
        <v>2074</v>
      </c>
      <c r="C101" s="188" t="s">
        <v>247</v>
      </c>
      <c r="D101" s="189">
        <v>45946</v>
      </c>
      <c r="E101" s="189">
        <v>45946</v>
      </c>
      <c r="F101" s="257" t="s">
        <v>49</v>
      </c>
      <c r="G101" s="272">
        <v>1140.08</v>
      </c>
      <c r="H101" s="190"/>
      <c r="I101" s="187" t="s">
        <v>248</v>
      </c>
      <c r="J101" s="278" t="s">
        <v>56</v>
      </c>
      <c r="K101" s="192">
        <v>45945</v>
      </c>
      <c r="L101" s="193">
        <v>1140.08</v>
      </c>
      <c r="M101" s="289" t="s">
        <v>246</v>
      </c>
      <c r="N101" s="56"/>
    </row>
    <row r="102" spans="1:14" hidden="1">
      <c r="A102" s="261" t="s">
        <v>13</v>
      </c>
      <c r="B102" s="187" t="s">
        <v>2074</v>
      </c>
      <c r="C102" s="188" t="s">
        <v>247</v>
      </c>
      <c r="D102" s="189">
        <v>45946</v>
      </c>
      <c r="E102" s="189">
        <v>45977</v>
      </c>
      <c r="F102" s="257"/>
      <c r="G102" s="272">
        <v>212.13</v>
      </c>
      <c r="H102" s="190"/>
      <c r="I102" s="187" t="s">
        <v>248</v>
      </c>
      <c r="J102" s="278" t="s">
        <v>185</v>
      </c>
      <c r="K102" s="192">
        <v>45977</v>
      </c>
      <c r="L102" s="193">
        <v>212.13</v>
      </c>
      <c r="M102" s="289"/>
      <c r="N102" s="56"/>
    </row>
    <row r="103" spans="1:14" hidden="1">
      <c r="A103" s="261" t="s">
        <v>13</v>
      </c>
      <c r="B103" s="187" t="s">
        <v>2074</v>
      </c>
      <c r="C103" s="188" t="s">
        <v>249</v>
      </c>
      <c r="D103" s="189">
        <v>45964</v>
      </c>
      <c r="E103" s="189">
        <v>45960</v>
      </c>
      <c r="F103" s="257" t="s">
        <v>16</v>
      </c>
      <c r="G103" s="272">
        <v>2000</v>
      </c>
      <c r="H103" s="190"/>
      <c r="I103" s="187" t="s">
        <v>250</v>
      </c>
      <c r="J103" s="278" t="s">
        <v>56</v>
      </c>
      <c r="K103" s="192">
        <v>45960</v>
      </c>
      <c r="L103" s="193">
        <v>2000</v>
      </c>
      <c r="M103" s="289" t="s">
        <v>246</v>
      </c>
      <c r="N103" s="56"/>
    </row>
    <row r="104" spans="1:14" hidden="1">
      <c r="A104" s="261" t="s">
        <v>13</v>
      </c>
      <c r="B104" s="187" t="s">
        <v>2074</v>
      </c>
      <c r="C104" s="188" t="s">
        <v>249</v>
      </c>
      <c r="D104" s="189">
        <v>45660</v>
      </c>
      <c r="E104" s="189">
        <v>45977</v>
      </c>
      <c r="F104" s="257"/>
      <c r="G104" s="272">
        <v>372.13</v>
      </c>
      <c r="H104" s="190"/>
      <c r="I104" s="187" t="s">
        <v>250</v>
      </c>
      <c r="J104" s="278" t="s">
        <v>185</v>
      </c>
      <c r="K104" s="192">
        <v>45977</v>
      </c>
      <c r="L104" s="193">
        <v>372.13</v>
      </c>
      <c r="M104" s="289"/>
      <c r="N104" s="56"/>
    </row>
    <row r="105" spans="1:14" hidden="1">
      <c r="A105" s="261">
        <v>2023</v>
      </c>
      <c r="B105" s="194" t="s">
        <v>2079</v>
      </c>
      <c r="C105" s="188" t="s">
        <v>4082</v>
      </c>
      <c r="D105" s="195">
        <v>45192</v>
      </c>
      <c r="E105" s="189"/>
      <c r="F105" s="257" t="s">
        <v>16</v>
      </c>
      <c r="G105" s="272">
        <v>693.68</v>
      </c>
      <c r="H105" s="208" t="s">
        <v>2080</v>
      </c>
      <c r="I105" s="194" t="s">
        <v>253</v>
      </c>
      <c r="J105" s="278" t="s">
        <v>185</v>
      </c>
      <c r="K105" s="192"/>
      <c r="L105" s="193"/>
      <c r="M105" s="289"/>
      <c r="N105" s="126"/>
    </row>
    <row r="106" spans="1:14" hidden="1">
      <c r="A106" s="261">
        <v>2023</v>
      </c>
      <c r="B106" s="194" t="s">
        <v>2079</v>
      </c>
      <c r="C106" s="188" t="s">
        <v>255</v>
      </c>
      <c r="D106" s="195">
        <v>45226</v>
      </c>
      <c r="E106" s="189"/>
      <c r="F106" s="257" t="s">
        <v>16</v>
      </c>
      <c r="G106" s="272">
        <v>380.19</v>
      </c>
      <c r="H106" s="208"/>
      <c r="I106" s="194" t="s">
        <v>257</v>
      </c>
      <c r="J106" s="278" t="s">
        <v>185</v>
      </c>
      <c r="K106" s="192"/>
      <c r="L106" s="193"/>
      <c r="M106" s="289"/>
    </row>
    <row r="107" spans="1:14" hidden="1">
      <c r="A107" s="261">
        <v>2023</v>
      </c>
      <c r="B107" s="194" t="s">
        <v>2079</v>
      </c>
      <c r="C107" s="188" t="s">
        <v>258</v>
      </c>
      <c r="D107" s="195">
        <v>45236</v>
      </c>
      <c r="E107" s="189"/>
      <c r="F107" s="257" t="s">
        <v>16</v>
      </c>
      <c r="G107" s="272">
        <v>230</v>
      </c>
      <c r="H107" s="208"/>
      <c r="I107" s="194" t="s">
        <v>257</v>
      </c>
      <c r="J107" s="278" t="s">
        <v>185</v>
      </c>
      <c r="K107" s="192"/>
      <c r="L107" s="193"/>
      <c r="M107" s="289"/>
    </row>
    <row r="108" spans="1:14" hidden="1">
      <c r="A108" s="261">
        <v>2023</v>
      </c>
      <c r="B108" s="194" t="s">
        <v>2079</v>
      </c>
      <c r="C108" s="188" t="s">
        <v>260</v>
      </c>
      <c r="D108" s="195">
        <v>45250</v>
      </c>
      <c r="E108" s="189"/>
      <c r="F108" s="257" t="s">
        <v>16</v>
      </c>
      <c r="G108" s="272">
        <v>184</v>
      </c>
      <c r="H108" s="208"/>
      <c r="I108" s="194" t="s">
        <v>257</v>
      </c>
      <c r="J108" s="278" t="s">
        <v>185</v>
      </c>
      <c r="K108" s="192"/>
      <c r="L108" s="193"/>
      <c r="M108" s="289"/>
    </row>
    <row r="109" spans="1:14" hidden="1">
      <c r="A109" s="257">
        <v>2023</v>
      </c>
      <c r="B109" s="194" t="s">
        <v>2081</v>
      </c>
      <c r="C109" s="188" t="s">
        <v>265</v>
      </c>
      <c r="D109" s="195">
        <v>45740</v>
      </c>
      <c r="E109" s="189">
        <v>45740</v>
      </c>
      <c r="F109" s="257" t="s">
        <v>49</v>
      </c>
      <c r="G109" s="272">
        <v>1282.19</v>
      </c>
      <c r="H109" s="196" t="s">
        <v>266</v>
      </c>
      <c r="I109" s="194" t="s">
        <v>267</v>
      </c>
      <c r="J109" s="278" t="s">
        <v>56</v>
      </c>
      <c r="K109" s="192"/>
      <c r="L109" s="201"/>
      <c r="M109" s="289"/>
    </row>
    <row r="110" spans="1:14" hidden="1">
      <c r="A110" s="257">
        <v>2023</v>
      </c>
      <c r="B110" s="194" t="s">
        <v>2081</v>
      </c>
      <c r="C110" s="188" t="s">
        <v>265</v>
      </c>
      <c r="D110" s="195">
        <v>45740</v>
      </c>
      <c r="E110" s="189">
        <v>45763</v>
      </c>
      <c r="F110" s="257" t="s">
        <v>49</v>
      </c>
      <c r="G110" s="272">
        <v>197.8</v>
      </c>
      <c r="H110" s="196"/>
      <c r="I110" s="194"/>
      <c r="J110" s="278" t="s">
        <v>185</v>
      </c>
      <c r="K110" s="192"/>
      <c r="L110" s="201"/>
      <c r="M110" s="289"/>
    </row>
    <row r="111" spans="1:14" hidden="1">
      <c r="A111" s="257">
        <v>2023</v>
      </c>
      <c r="B111" s="194" t="s">
        <v>2079</v>
      </c>
      <c r="C111" s="188" t="s">
        <v>262</v>
      </c>
      <c r="D111" s="195">
        <v>45260</v>
      </c>
      <c r="E111" s="189"/>
      <c r="F111" s="257" t="s">
        <v>16</v>
      </c>
      <c r="G111" s="272">
        <v>227.3</v>
      </c>
      <c r="H111" s="332"/>
      <c r="I111" s="194" t="s">
        <v>257</v>
      </c>
      <c r="J111" s="278" t="s">
        <v>185</v>
      </c>
    </row>
    <row r="112" spans="1:14" hidden="1">
      <c r="A112" s="257">
        <v>2024</v>
      </c>
      <c r="B112" s="194" t="s">
        <v>2079</v>
      </c>
      <c r="C112" s="188" t="s">
        <v>264</v>
      </c>
      <c r="D112" s="195">
        <v>45566</v>
      </c>
      <c r="E112" s="189">
        <v>45673</v>
      </c>
      <c r="F112" s="257" t="s">
        <v>16</v>
      </c>
      <c r="G112" s="272">
        <v>262.19</v>
      </c>
      <c r="H112" s="208" t="s">
        <v>2082</v>
      </c>
      <c r="I112" s="194"/>
      <c r="J112" s="278" t="s">
        <v>185</v>
      </c>
      <c r="K112" s="192"/>
      <c r="L112" s="193"/>
      <c r="M112" s="289"/>
    </row>
    <row r="113" spans="1:14" hidden="1">
      <c r="A113" s="257" t="s">
        <v>3361</v>
      </c>
      <c r="B113" s="194" t="s">
        <v>251</v>
      </c>
      <c r="C113" s="188" t="s">
        <v>310</v>
      </c>
      <c r="D113" s="195">
        <v>46038</v>
      </c>
      <c r="E113" s="189">
        <v>46038</v>
      </c>
      <c r="F113" s="257" t="s">
        <v>16</v>
      </c>
      <c r="G113" s="272">
        <v>5955.05</v>
      </c>
      <c r="H113" s="200" t="s">
        <v>4131</v>
      </c>
      <c r="I113" s="194" t="s">
        <v>3314</v>
      </c>
      <c r="J113" s="278">
        <v>1036.79</v>
      </c>
      <c r="K113" s="192">
        <v>46098</v>
      </c>
      <c r="L113" s="193" t="s">
        <v>330</v>
      </c>
      <c r="M113" s="289"/>
    </row>
    <row r="114" spans="1:14" hidden="1">
      <c r="A114" s="257" t="s">
        <v>3361</v>
      </c>
      <c r="B114" s="194" t="s">
        <v>251</v>
      </c>
      <c r="C114" s="188" t="s">
        <v>2083</v>
      </c>
      <c r="D114" s="195"/>
      <c r="E114" s="189"/>
      <c r="F114" s="257"/>
      <c r="G114" s="272">
        <v>5001.26</v>
      </c>
      <c r="H114" s="200"/>
      <c r="I114" s="194" t="s">
        <v>3363</v>
      </c>
      <c r="J114" s="278" t="s">
        <v>83</v>
      </c>
      <c r="K114" s="192"/>
      <c r="L114" s="193"/>
      <c r="M114" s="289"/>
    </row>
    <row r="115" spans="1:14" hidden="1">
      <c r="A115" s="257" t="s">
        <v>3361</v>
      </c>
      <c r="B115" s="194" t="s">
        <v>251</v>
      </c>
      <c r="C115" s="188" t="s">
        <v>2083</v>
      </c>
      <c r="D115" s="195"/>
      <c r="E115" s="189"/>
      <c r="F115" s="257"/>
      <c r="G115" s="272">
        <v>7362.68</v>
      </c>
      <c r="H115" s="200"/>
      <c r="I115" s="194" t="s">
        <v>3364</v>
      </c>
      <c r="J115" s="278" t="s">
        <v>83</v>
      </c>
      <c r="K115" s="192"/>
      <c r="L115" s="193"/>
      <c r="M115" s="289"/>
    </row>
    <row r="116" spans="1:14" hidden="1">
      <c r="A116" s="257" t="s">
        <v>90</v>
      </c>
      <c r="B116" s="194" t="s">
        <v>2079</v>
      </c>
      <c r="C116" s="188" t="s">
        <v>2083</v>
      </c>
      <c r="D116" s="195">
        <v>45740</v>
      </c>
      <c r="E116" s="189">
        <v>45763</v>
      </c>
      <c r="F116" s="257"/>
      <c r="G116" s="272">
        <f>50000-SUM(G113:G115)</f>
        <v>31681.01</v>
      </c>
      <c r="H116" s="200"/>
      <c r="I116" s="194"/>
      <c r="J116" s="278" t="s">
        <v>56</v>
      </c>
      <c r="K116" s="192"/>
      <c r="L116" s="193"/>
      <c r="M116" s="289"/>
    </row>
    <row r="117" spans="1:14" hidden="1">
      <c r="A117" s="196" t="s">
        <v>4141</v>
      </c>
      <c r="B117" s="196" t="s">
        <v>251</v>
      </c>
      <c r="C117" s="196"/>
      <c r="D117" s="192"/>
      <c r="E117" s="192"/>
      <c r="F117" s="196" t="s">
        <v>16</v>
      </c>
      <c r="G117" s="201">
        <v>5955.05</v>
      </c>
      <c r="H117" s="196" t="s">
        <v>3362</v>
      </c>
      <c r="I117" s="196" t="s">
        <v>83</v>
      </c>
      <c r="J117" s="192">
        <v>46037</v>
      </c>
      <c r="K117" s="201">
        <v>5955.05</v>
      </c>
      <c r="L117" s="196" t="s">
        <v>313</v>
      </c>
      <c r="M117" s="289"/>
    </row>
    <row r="118" spans="1:14" hidden="1">
      <c r="A118" s="257" t="s">
        <v>90</v>
      </c>
      <c r="B118" s="194" t="s">
        <v>2084</v>
      </c>
      <c r="C118" s="188" t="s">
        <v>269</v>
      </c>
      <c r="D118" s="195">
        <v>45473</v>
      </c>
      <c r="E118" s="189">
        <v>45514</v>
      </c>
      <c r="F118" s="257"/>
      <c r="G118" s="272">
        <v>643.05999999999995</v>
      </c>
      <c r="H118" s="200" t="s">
        <v>270</v>
      </c>
      <c r="I118" s="194" t="s">
        <v>271</v>
      </c>
      <c r="J118" s="278" t="s">
        <v>56</v>
      </c>
      <c r="K118" s="192"/>
      <c r="L118" s="193"/>
      <c r="M118" s="289"/>
    </row>
    <row r="119" spans="1:14" hidden="1">
      <c r="A119" s="257" t="s">
        <v>90</v>
      </c>
      <c r="B119" s="194" t="s">
        <v>2084</v>
      </c>
      <c r="C119" s="188" t="s">
        <v>272</v>
      </c>
      <c r="D119" s="195">
        <v>45504</v>
      </c>
      <c r="E119" s="189">
        <v>45545</v>
      </c>
      <c r="F119" s="257"/>
      <c r="G119" s="272">
        <v>1381.35</v>
      </c>
      <c r="H119" s="200" t="s">
        <v>273</v>
      </c>
      <c r="I119" s="194" t="s">
        <v>274</v>
      </c>
      <c r="J119" s="278" t="s">
        <v>56</v>
      </c>
      <c r="K119" s="192"/>
      <c r="L119" s="193"/>
      <c r="M119" s="289"/>
    </row>
    <row r="120" spans="1:14" hidden="1">
      <c r="A120" s="260" t="s">
        <v>275</v>
      </c>
      <c r="B120" s="194" t="s">
        <v>2085</v>
      </c>
      <c r="C120" s="188" t="s">
        <v>277</v>
      </c>
      <c r="D120" s="195">
        <v>45787</v>
      </c>
      <c r="E120" s="189"/>
      <c r="F120" s="257" t="s">
        <v>16</v>
      </c>
      <c r="G120" s="272">
        <v>111</v>
      </c>
      <c r="H120" s="200" t="s">
        <v>278</v>
      </c>
      <c r="I120" s="194" t="s">
        <v>279</v>
      </c>
      <c r="J120" s="278"/>
      <c r="K120" s="192">
        <v>45787</v>
      </c>
      <c r="L120" s="193">
        <f>G120</f>
        <v>111</v>
      </c>
      <c r="M120" s="289"/>
    </row>
    <row r="121" spans="1:14" hidden="1">
      <c r="A121" s="260"/>
      <c r="B121" s="194" t="s">
        <v>2089</v>
      </c>
      <c r="C121" s="188" t="s">
        <v>2067</v>
      </c>
      <c r="D121" s="195"/>
      <c r="E121" s="189"/>
      <c r="F121" s="257" t="s">
        <v>16</v>
      </c>
      <c r="G121" s="272">
        <v>2363.5300000000002</v>
      </c>
      <c r="H121" s="214"/>
      <c r="I121" s="194"/>
      <c r="J121" s="278"/>
      <c r="K121" s="192"/>
      <c r="L121" s="193"/>
      <c r="M121" s="289"/>
    </row>
    <row r="122" spans="1:14" hidden="1">
      <c r="A122" s="260" t="s">
        <v>275</v>
      </c>
      <c r="B122" s="194" t="s">
        <v>2089</v>
      </c>
      <c r="C122" s="188" t="s">
        <v>281</v>
      </c>
      <c r="D122" s="195">
        <v>45807</v>
      </c>
      <c r="E122" s="189">
        <v>45838</v>
      </c>
      <c r="F122" s="257" t="s">
        <v>16</v>
      </c>
      <c r="G122" s="272">
        <v>314.64</v>
      </c>
      <c r="H122" s="200" t="s">
        <v>282</v>
      </c>
      <c r="I122" s="194" t="s">
        <v>283</v>
      </c>
      <c r="J122" s="278" t="s">
        <v>56</v>
      </c>
      <c r="K122" s="192"/>
      <c r="L122" s="193"/>
      <c r="M122" s="289"/>
    </row>
    <row r="123" spans="1:14" hidden="1">
      <c r="A123" s="260"/>
      <c r="B123" s="194" t="s">
        <v>280</v>
      </c>
      <c r="C123" s="188" t="s">
        <v>3366</v>
      </c>
      <c r="D123" s="195">
        <v>46006</v>
      </c>
      <c r="E123" s="189">
        <v>46053</v>
      </c>
      <c r="F123" s="257" t="s">
        <v>16</v>
      </c>
      <c r="G123" s="272">
        <v>217.4</v>
      </c>
      <c r="H123" s="200"/>
      <c r="I123" s="194" t="s">
        <v>283</v>
      </c>
      <c r="J123" s="278" t="s">
        <v>56</v>
      </c>
      <c r="K123" s="192">
        <v>46053</v>
      </c>
      <c r="L123" s="193">
        <v>217.4</v>
      </c>
      <c r="M123" s="289" t="s">
        <v>3365</v>
      </c>
    </row>
    <row r="124" spans="1:14" hidden="1">
      <c r="A124" s="263" t="s">
        <v>13</v>
      </c>
      <c r="B124" s="194" t="s">
        <v>2090</v>
      </c>
      <c r="C124" s="188" t="s">
        <v>285</v>
      </c>
      <c r="D124" s="195">
        <v>45733</v>
      </c>
      <c r="E124" s="189">
        <v>45733</v>
      </c>
      <c r="F124" s="257" t="s">
        <v>16</v>
      </c>
      <c r="G124" s="272">
        <v>233.02</v>
      </c>
      <c r="H124" s="200" t="s">
        <v>286</v>
      </c>
      <c r="I124" s="194" t="s">
        <v>287</v>
      </c>
      <c r="J124" s="278" t="s">
        <v>56</v>
      </c>
      <c r="K124" s="192">
        <v>45736</v>
      </c>
      <c r="L124" s="193">
        <f>G124</f>
        <v>233.02</v>
      </c>
      <c r="M124" s="289" t="s">
        <v>288</v>
      </c>
      <c r="N124" s="56"/>
    </row>
    <row r="125" spans="1:14" hidden="1">
      <c r="A125" s="263" t="s">
        <v>13</v>
      </c>
      <c r="B125" s="194" t="s">
        <v>2090</v>
      </c>
      <c r="C125" s="188" t="s">
        <v>289</v>
      </c>
      <c r="D125" s="195">
        <v>45777</v>
      </c>
      <c r="E125" s="189">
        <v>45777</v>
      </c>
      <c r="F125" s="257" t="s">
        <v>16</v>
      </c>
      <c r="G125" s="272">
        <v>142.74</v>
      </c>
      <c r="H125" s="200" t="s">
        <v>290</v>
      </c>
      <c r="I125" s="194" t="s">
        <v>291</v>
      </c>
      <c r="J125" s="278" t="s">
        <v>66</v>
      </c>
      <c r="K125" s="192">
        <v>45817</v>
      </c>
      <c r="L125" s="193">
        <v>142.74</v>
      </c>
      <c r="M125" s="289" t="s">
        <v>198</v>
      </c>
      <c r="N125" s="56"/>
    </row>
    <row r="126" spans="1:14" hidden="1">
      <c r="A126" s="330" t="s">
        <v>292</v>
      </c>
      <c r="B126" s="194" t="s">
        <v>2090</v>
      </c>
      <c r="C126" s="209" t="s">
        <v>293</v>
      </c>
      <c r="D126" s="195">
        <v>45824</v>
      </c>
      <c r="E126" s="210">
        <v>45824</v>
      </c>
      <c r="F126" s="268" t="s">
        <v>16</v>
      </c>
      <c r="G126" s="273">
        <v>126.88</v>
      </c>
      <c r="H126" s="200" t="s">
        <v>294</v>
      </c>
      <c r="I126" s="194" t="s">
        <v>295</v>
      </c>
      <c r="J126" s="279" t="s">
        <v>66</v>
      </c>
      <c r="K126" s="192" t="s">
        <v>2091</v>
      </c>
      <c r="L126" s="193">
        <v>126.88</v>
      </c>
      <c r="M126" s="289" t="s">
        <v>2092</v>
      </c>
      <c r="N126" s="56"/>
    </row>
    <row r="127" spans="1:14" hidden="1">
      <c r="A127" s="263" t="s">
        <v>13</v>
      </c>
      <c r="B127" s="194" t="s">
        <v>2090</v>
      </c>
      <c r="C127" s="188" t="s">
        <v>297</v>
      </c>
      <c r="D127" s="195">
        <v>45841</v>
      </c>
      <c r="E127" s="189">
        <v>45841</v>
      </c>
      <c r="F127" s="257" t="s">
        <v>49</v>
      </c>
      <c r="G127" s="272">
        <v>220.82</v>
      </c>
      <c r="H127" s="200" t="s">
        <v>298</v>
      </c>
      <c r="I127" s="194" t="s">
        <v>299</v>
      </c>
      <c r="J127" s="278" t="s">
        <v>66</v>
      </c>
      <c r="K127" s="192">
        <v>46310</v>
      </c>
      <c r="L127" s="215">
        <v>220.82</v>
      </c>
      <c r="M127" s="289" t="s">
        <v>246</v>
      </c>
      <c r="N127" s="56"/>
    </row>
    <row r="128" spans="1:14" hidden="1">
      <c r="A128" s="263" t="s">
        <v>13</v>
      </c>
      <c r="B128" s="194" t="s">
        <v>2090</v>
      </c>
      <c r="C128" s="188" t="s">
        <v>300</v>
      </c>
      <c r="D128" s="195">
        <v>45862</v>
      </c>
      <c r="E128" s="189">
        <v>45862</v>
      </c>
      <c r="F128" s="257" t="s">
        <v>49</v>
      </c>
      <c r="G128" s="272">
        <v>68.319999999999993</v>
      </c>
      <c r="H128" s="200" t="s">
        <v>301</v>
      </c>
      <c r="I128" s="194" t="s">
        <v>302</v>
      </c>
      <c r="J128" s="278" t="s">
        <v>66</v>
      </c>
      <c r="K128" s="192">
        <v>46310</v>
      </c>
      <c r="L128" s="215">
        <v>68.319999999999993</v>
      </c>
      <c r="M128" s="289" t="s">
        <v>246</v>
      </c>
      <c r="N128" s="56"/>
    </row>
    <row r="129" spans="1:14" hidden="1">
      <c r="A129" s="263" t="s">
        <v>13</v>
      </c>
      <c r="B129" s="194" t="s">
        <v>2090</v>
      </c>
      <c r="C129" s="188" t="s">
        <v>303</v>
      </c>
      <c r="D129" s="195">
        <v>45897</v>
      </c>
      <c r="E129" s="189">
        <v>45897</v>
      </c>
      <c r="F129" s="257" t="s">
        <v>49</v>
      </c>
      <c r="G129" s="272">
        <v>395.25</v>
      </c>
      <c r="H129" s="200" t="s">
        <v>304</v>
      </c>
      <c r="I129" s="194" t="s">
        <v>305</v>
      </c>
      <c r="J129" s="278" t="s">
        <v>66</v>
      </c>
      <c r="K129" s="192">
        <v>46310</v>
      </c>
      <c r="L129" s="215">
        <v>395.25</v>
      </c>
      <c r="M129" s="289" t="s">
        <v>246</v>
      </c>
      <c r="N129" s="56"/>
    </row>
    <row r="130" spans="1:14" hidden="1">
      <c r="A130" s="260" t="s">
        <v>306</v>
      </c>
      <c r="B130" s="216" t="s">
        <v>284</v>
      </c>
      <c r="C130" s="188" t="s">
        <v>4322</v>
      </c>
      <c r="D130" s="203">
        <v>45824</v>
      </c>
      <c r="E130" s="189"/>
      <c r="F130" s="257"/>
      <c r="G130" s="272">
        <v>-126.88</v>
      </c>
      <c r="H130" s="204" t="s">
        <v>294</v>
      </c>
      <c r="I130" s="216" t="s">
        <v>307</v>
      </c>
      <c r="J130" s="278" t="s">
        <v>308</v>
      </c>
      <c r="K130" s="217"/>
      <c r="L130" s="218"/>
      <c r="M130" s="291"/>
      <c r="N130" s="56"/>
    </row>
    <row r="131" spans="1:14" hidden="1">
      <c r="A131" s="263" t="s">
        <v>13</v>
      </c>
      <c r="B131" s="194" t="s">
        <v>2094</v>
      </c>
      <c r="C131" s="188" t="s">
        <v>310</v>
      </c>
      <c r="D131" s="195">
        <v>45868</v>
      </c>
      <c r="E131" s="189">
        <v>45869</v>
      </c>
      <c r="F131" s="257" t="s">
        <v>16</v>
      </c>
      <c r="G131" s="272">
        <v>10000</v>
      </c>
      <c r="H131" s="200" t="s">
        <v>311</v>
      </c>
      <c r="I131" s="194" t="s">
        <v>312</v>
      </c>
      <c r="J131" s="278" t="s">
        <v>66</v>
      </c>
      <c r="K131" s="195">
        <v>45869</v>
      </c>
      <c r="L131" s="215">
        <v>10000</v>
      </c>
      <c r="M131" s="289" t="s">
        <v>19</v>
      </c>
      <c r="N131" s="56"/>
    </row>
    <row r="132" spans="1:14" hidden="1">
      <c r="A132" s="263" t="s">
        <v>13</v>
      </c>
      <c r="B132" s="194" t="s">
        <v>2094</v>
      </c>
      <c r="C132" s="188" t="s">
        <v>310</v>
      </c>
      <c r="D132" s="195">
        <v>45868</v>
      </c>
      <c r="E132" s="189">
        <v>45923</v>
      </c>
      <c r="F132" s="257" t="s">
        <v>49</v>
      </c>
      <c r="G132" s="272">
        <v>10000</v>
      </c>
      <c r="H132" s="200"/>
      <c r="I132" s="194" t="s">
        <v>312</v>
      </c>
      <c r="J132" s="278" t="s">
        <v>66</v>
      </c>
      <c r="K132" s="195">
        <v>45923</v>
      </c>
      <c r="L132" s="215">
        <v>10000</v>
      </c>
      <c r="M132" s="289" t="s">
        <v>313</v>
      </c>
      <c r="N132" s="56"/>
    </row>
    <row r="133" spans="1:14" hidden="1">
      <c r="A133" s="263" t="s">
        <v>13</v>
      </c>
      <c r="B133" s="194" t="s">
        <v>2094</v>
      </c>
      <c r="C133" s="188" t="s">
        <v>310</v>
      </c>
      <c r="D133" s="195">
        <v>45868</v>
      </c>
      <c r="E133" s="189">
        <v>45944</v>
      </c>
      <c r="F133" s="257" t="s">
        <v>49</v>
      </c>
      <c r="G133" s="272">
        <v>5000</v>
      </c>
      <c r="H133" s="200"/>
      <c r="I133" s="194" t="s">
        <v>312</v>
      </c>
      <c r="J133" s="278" t="s">
        <v>66</v>
      </c>
      <c r="K133" s="195">
        <v>45944</v>
      </c>
      <c r="L133" s="215">
        <v>5000</v>
      </c>
      <c r="M133" s="289" t="s">
        <v>313</v>
      </c>
      <c r="N133" s="56"/>
    </row>
    <row r="134" spans="1:14" hidden="1">
      <c r="A134" s="263" t="s">
        <v>13</v>
      </c>
      <c r="B134" s="194" t="s">
        <v>2094</v>
      </c>
      <c r="C134" s="188" t="s">
        <v>310</v>
      </c>
      <c r="D134" s="195">
        <v>45868</v>
      </c>
      <c r="E134" s="189">
        <v>45947</v>
      </c>
      <c r="F134" s="257" t="s">
        <v>49</v>
      </c>
      <c r="G134" s="272">
        <v>5000</v>
      </c>
      <c r="H134" s="200"/>
      <c r="I134" s="194" t="s">
        <v>312</v>
      </c>
      <c r="J134" s="278" t="s">
        <v>66</v>
      </c>
      <c r="K134" s="195">
        <v>45947</v>
      </c>
      <c r="L134" s="215">
        <v>5000</v>
      </c>
      <c r="M134" s="289" t="s">
        <v>313</v>
      </c>
      <c r="N134" s="56"/>
    </row>
    <row r="135" spans="1:14" hidden="1">
      <c r="A135" s="263" t="s">
        <v>13</v>
      </c>
      <c r="B135" s="194" t="s">
        <v>2094</v>
      </c>
      <c r="C135" s="188" t="s">
        <v>310</v>
      </c>
      <c r="D135" s="195">
        <v>45868</v>
      </c>
      <c r="E135" s="189">
        <v>45952</v>
      </c>
      <c r="F135" s="257" t="s">
        <v>49</v>
      </c>
      <c r="G135" s="272">
        <v>10000</v>
      </c>
      <c r="H135" s="200"/>
      <c r="I135" s="194" t="s">
        <v>312</v>
      </c>
      <c r="J135" s="278" t="s">
        <v>66</v>
      </c>
      <c r="K135" s="195">
        <v>45952</v>
      </c>
      <c r="L135" s="215">
        <v>10000</v>
      </c>
      <c r="M135" s="289" t="s">
        <v>313</v>
      </c>
    </row>
    <row r="136" spans="1:14" hidden="1">
      <c r="A136" s="263"/>
      <c r="B136" s="194" t="s">
        <v>2094</v>
      </c>
      <c r="C136" s="188" t="s">
        <v>314</v>
      </c>
      <c r="D136" s="195"/>
      <c r="E136" s="189"/>
      <c r="F136" s="257" t="s">
        <v>16</v>
      </c>
      <c r="G136" s="272">
        <v>10008</v>
      </c>
      <c r="H136" s="196" t="s">
        <v>312</v>
      </c>
      <c r="I136" s="257"/>
      <c r="J136" s="278" t="s">
        <v>66</v>
      </c>
      <c r="K136" s="195">
        <v>45971</v>
      </c>
      <c r="L136" s="215">
        <v>10000</v>
      </c>
      <c r="M136" s="289" t="s">
        <v>2095</v>
      </c>
    </row>
    <row r="137" spans="1:14" hidden="1">
      <c r="A137" s="263" t="s">
        <v>13</v>
      </c>
      <c r="B137" s="194" t="s">
        <v>2094</v>
      </c>
      <c r="C137" s="188" t="s">
        <v>314</v>
      </c>
      <c r="D137" s="195">
        <v>45958</v>
      </c>
      <c r="E137" s="189">
        <v>45958</v>
      </c>
      <c r="F137" s="257" t="s">
        <v>16</v>
      </c>
      <c r="G137" s="272">
        <v>30000</v>
      </c>
      <c r="H137" s="200"/>
      <c r="I137" s="194" t="s">
        <v>312</v>
      </c>
      <c r="J137" s="278" t="s">
        <v>83</v>
      </c>
      <c r="K137" s="219"/>
      <c r="L137" s="215"/>
      <c r="M137" s="289" t="s">
        <v>2096</v>
      </c>
    </row>
    <row r="138" spans="1:14" hidden="1">
      <c r="A138" s="257" t="s">
        <v>316</v>
      </c>
      <c r="B138" s="187" t="s">
        <v>2097</v>
      </c>
      <c r="C138" s="188" t="s">
        <v>317</v>
      </c>
      <c r="D138" s="189">
        <v>45978</v>
      </c>
      <c r="E138" s="189">
        <v>45978</v>
      </c>
      <c r="F138" s="257" t="s">
        <v>16</v>
      </c>
      <c r="G138" s="272">
        <v>30000</v>
      </c>
      <c r="H138" s="190"/>
      <c r="I138" s="187" t="s">
        <v>312</v>
      </c>
      <c r="J138" s="278" t="s">
        <v>83</v>
      </c>
      <c r="K138" s="220"/>
      <c r="L138" s="193"/>
      <c r="M138" s="289"/>
    </row>
    <row r="139" spans="1:14" hidden="1">
      <c r="A139" s="263" t="s">
        <v>13</v>
      </c>
      <c r="B139" s="194" t="s">
        <v>2098</v>
      </c>
      <c r="C139" s="188" t="s">
        <v>319</v>
      </c>
      <c r="D139" s="195">
        <v>45672</v>
      </c>
      <c r="E139" s="189">
        <v>45716</v>
      </c>
      <c r="F139" s="257" t="s">
        <v>16</v>
      </c>
      <c r="G139" s="272">
        <v>2685.5</v>
      </c>
      <c r="H139" s="190" t="s">
        <v>320</v>
      </c>
      <c r="I139" s="194" t="s">
        <v>321</v>
      </c>
      <c r="J139" s="278"/>
      <c r="K139" s="221">
        <v>45733</v>
      </c>
      <c r="L139" s="284">
        <v>4138.68</v>
      </c>
      <c r="M139" s="289" t="s">
        <v>111</v>
      </c>
    </row>
    <row r="140" spans="1:14" hidden="1">
      <c r="A140" s="263" t="s">
        <v>13</v>
      </c>
      <c r="B140" s="194" t="s">
        <v>2098</v>
      </c>
      <c r="C140" s="188" t="s">
        <v>322</v>
      </c>
      <c r="D140" s="195">
        <v>45703</v>
      </c>
      <c r="E140" s="189">
        <v>45747</v>
      </c>
      <c r="F140" s="257" t="s">
        <v>16</v>
      </c>
      <c r="G140" s="272">
        <v>2906.35</v>
      </c>
      <c r="H140" s="222"/>
      <c r="I140" s="216"/>
      <c r="J140" s="278"/>
      <c r="K140" s="220">
        <v>45733</v>
      </c>
      <c r="L140" s="284">
        <f>+L139-G139</f>
        <v>1453.1800000000003</v>
      </c>
      <c r="M140" s="289" t="s">
        <v>111</v>
      </c>
      <c r="N140" s="56"/>
    </row>
    <row r="141" spans="1:14" hidden="1">
      <c r="A141" s="263" t="s">
        <v>13</v>
      </c>
      <c r="B141" s="194" t="s">
        <v>2098</v>
      </c>
      <c r="C141" s="188" t="s">
        <v>322</v>
      </c>
      <c r="D141" s="195">
        <v>45703</v>
      </c>
      <c r="E141" s="189">
        <v>45747</v>
      </c>
      <c r="F141" s="257" t="s">
        <v>16</v>
      </c>
      <c r="G141" s="272">
        <f>+G140-L140</f>
        <v>1453.1699999999996</v>
      </c>
      <c r="H141" s="222"/>
      <c r="I141" s="216" t="s">
        <v>323</v>
      </c>
      <c r="J141" s="278"/>
      <c r="K141" s="221">
        <v>45945</v>
      </c>
      <c r="L141" s="284">
        <v>1560</v>
      </c>
      <c r="M141" s="289" t="s">
        <v>71</v>
      </c>
    </row>
    <row r="142" spans="1:14" hidden="1">
      <c r="A142" s="263" t="s">
        <v>13</v>
      </c>
      <c r="B142" s="194" t="s">
        <v>2098</v>
      </c>
      <c r="C142" s="188" t="s">
        <v>324</v>
      </c>
      <c r="D142" s="195">
        <v>45808</v>
      </c>
      <c r="E142" s="189">
        <v>45838</v>
      </c>
      <c r="F142" s="257" t="s">
        <v>16</v>
      </c>
      <c r="G142" s="273">
        <v>2963.54</v>
      </c>
      <c r="H142" s="222"/>
      <c r="I142" s="216"/>
      <c r="J142" s="278"/>
      <c r="K142" s="221">
        <v>45945</v>
      </c>
      <c r="L142" s="284">
        <v>106</v>
      </c>
      <c r="M142" s="289" t="s">
        <v>71</v>
      </c>
    </row>
    <row r="143" spans="1:14" hidden="1">
      <c r="A143" s="263" t="s">
        <v>13</v>
      </c>
      <c r="B143" s="194" t="s">
        <v>2098</v>
      </c>
      <c r="C143" s="188" t="s">
        <v>324</v>
      </c>
      <c r="D143" s="195">
        <v>45808</v>
      </c>
      <c r="E143" s="189">
        <v>45838</v>
      </c>
      <c r="F143" s="257" t="s">
        <v>16</v>
      </c>
      <c r="G143" s="273">
        <f>+G142-L142</f>
        <v>2857.54</v>
      </c>
      <c r="H143" s="222"/>
      <c r="I143" s="216" t="s">
        <v>325</v>
      </c>
      <c r="J143" s="278"/>
      <c r="K143" s="221">
        <v>45960</v>
      </c>
      <c r="L143" s="284">
        <v>1560</v>
      </c>
      <c r="M143" s="289" t="s">
        <v>326</v>
      </c>
      <c r="N143" s="56"/>
    </row>
    <row r="144" spans="1:14" hidden="1">
      <c r="A144" s="265" t="s">
        <v>13</v>
      </c>
      <c r="B144" s="194" t="s">
        <v>2098</v>
      </c>
      <c r="C144" s="209" t="s">
        <v>324</v>
      </c>
      <c r="D144" s="195">
        <v>45808</v>
      </c>
      <c r="E144" s="210">
        <v>45838</v>
      </c>
      <c r="F144" s="268" t="s">
        <v>16</v>
      </c>
      <c r="G144" s="273">
        <f>+G143-L143</f>
        <v>1297.54</v>
      </c>
      <c r="H144" s="222"/>
      <c r="I144" s="216" t="s">
        <v>327</v>
      </c>
      <c r="J144" s="278"/>
      <c r="K144" s="220"/>
      <c r="L144" s="333"/>
      <c r="M144" s="289"/>
    </row>
    <row r="145" spans="1:13" hidden="1">
      <c r="A145" s="263" t="s">
        <v>13</v>
      </c>
      <c r="B145" s="194" t="s">
        <v>318</v>
      </c>
      <c r="C145" s="188" t="s">
        <v>324</v>
      </c>
      <c r="D145" s="195">
        <v>45808</v>
      </c>
      <c r="E145" s="189">
        <v>45838</v>
      </c>
      <c r="F145" s="257" t="s">
        <v>16</v>
      </c>
      <c r="G145" s="272">
        <v>1297.54</v>
      </c>
      <c r="H145" s="222"/>
      <c r="I145" s="216" t="s">
        <v>327</v>
      </c>
      <c r="J145" s="278"/>
      <c r="K145" s="220">
        <v>46042</v>
      </c>
      <c r="L145" s="334"/>
      <c r="M145" s="289" t="s">
        <v>330</v>
      </c>
    </row>
    <row r="146" spans="1:13" hidden="1">
      <c r="A146" s="263" t="s">
        <v>13</v>
      </c>
      <c r="B146" s="194" t="s">
        <v>318</v>
      </c>
      <c r="C146" s="188" t="s">
        <v>329</v>
      </c>
      <c r="D146" s="195">
        <v>45901</v>
      </c>
      <c r="E146" s="189">
        <v>45901</v>
      </c>
      <c r="F146" s="257" t="s">
        <v>16</v>
      </c>
      <c r="G146" s="272">
        <v>-415.46</v>
      </c>
      <c r="H146" s="222"/>
      <c r="I146" s="216"/>
      <c r="J146" s="278"/>
      <c r="K146" s="192">
        <v>46042</v>
      </c>
      <c r="L146" s="193"/>
      <c r="M146" s="289" t="s">
        <v>330</v>
      </c>
    </row>
    <row r="147" spans="1:13" hidden="1">
      <c r="A147" s="263" t="s">
        <v>333</v>
      </c>
      <c r="B147" s="194" t="s">
        <v>2099</v>
      </c>
      <c r="C147" s="188">
        <v>2</v>
      </c>
      <c r="D147" s="195">
        <v>45682</v>
      </c>
      <c r="E147" s="189"/>
      <c r="F147" s="257" t="s">
        <v>16</v>
      </c>
      <c r="G147" s="272">
        <v>5276.37</v>
      </c>
      <c r="H147" s="190" t="s">
        <v>336</v>
      </c>
      <c r="I147" s="194" t="s">
        <v>337</v>
      </c>
      <c r="J147" s="278" t="s">
        <v>56</v>
      </c>
      <c r="K147" s="192"/>
      <c r="L147" s="193"/>
      <c r="M147" s="268"/>
    </row>
    <row r="148" spans="1:13" hidden="1">
      <c r="A148" s="263" t="s">
        <v>333</v>
      </c>
      <c r="B148" s="194" t="s">
        <v>2099</v>
      </c>
      <c r="C148" s="188">
        <v>1</v>
      </c>
      <c r="D148" s="195">
        <v>45680</v>
      </c>
      <c r="E148" s="189">
        <v>45682</v>
      </c>
      <c r="F148" s="257" t="s">
        <v>16</v>
      </c>
      <c r="G148" s="272">
        <v>6008.44</v>
      </c>
      <c r="H148" s="223" t="s">
        <v>339</v>
      </c>
      <c r="I148" s="194" t="s">
        <v>337</v>
      </c>
      <c r="J148" s="278" t="s">
        <v>66</v>
      </c>
      <c r="K148" s="195">
        <v>45681</v>
      </c>
      <c r="L148" s="193">
        <v>6008.44</v>
      </c>
      <c r="M148" s="268" t="s">
        <v>111</v>
      </c>
    </row>
    <row r="149" spans="1:13" hidden="1">
      <c r="A149" s="263" t="s">
        <v>333</v>
      </c>
      <c r="B149" s="194" t="s">
        <v>2099</v>
      </c>
      <c r="C149" s="188">
        <v>3</v>
      </c>
      <c r="D149" s="195">
        <v>45687</v>
      </c>
      <c r="E149" s="189"/>
      <c r="F149" s="257" t="s">
        <v>16</v>
      </c>
      <c r="G149" s="272">
        <v>5345.42</v>
      </c>
      <c r="H149" s="223" t="s">
        <v>341</v>
      </c>
      <c r="I149" s="194" t="s">
        <v>342</v>
      </c>
      <c r="J149" s="278" t="s">
        <v>56</v>
      </c>
      <c r="K149" s="195"/>
      <c r="L149" s="193"/>
      <c r="M149" s="268"/>
    </row>
    <row r="150" spans="1:13" hidden="1">
      <c r="A150" s="263" t="s">
        <v>316</v>
      </c>
      <c r="B150" s="194" t="s">
        <v>2099</v>
      </c>
      <c r="C150" s="188">
        <v>18</v>
      </c>
      <c r="D150" s="195">
        <v>45798</v>
      </c>
      <c r="E150" s="189"/>
      <c r="F150" s="257" t="s">
        <v>16</v>
      </c>
      <c r="G150" s="272">
        <v>5000</v>
      </c>
      <c r="H150" s="223" t="s">
        <v>344</v>
      </c>
      <c r="I150" s="194" t="s">
        <v>342</v>
      </c>
      <c r="J150" s="278" t="s">
        <v>56</v>
      </c>
      <c r="K150" s="195">
        <v>45800</v>
      </c>
      <c r="L150" s="193">
        <v>5000</v>
      </c>
      <c r="M150" s="268" t="s">
        <v>345</v>
      </c>
    </row>
    <row r="151" spans="1:13" hidden="1">
      <c r="A151" s="257" t="s">
        <v>316</v>
      </c>
      <c r="B151" s="194" t="s">
        <v>296</v>
      </c>
      <c r="C151" s="188" t="s">
        <v>331</v>
      </c>
      <c r="D151" s="195">
        <v>45993</v>
      </c>
      <c r="E151" s="189">
        <v>45993</v>
      </c>
      <c r="F151" s="257" t="s">
        <v>16</v>
      </c>
      <c r="G151" s="272">
        <v>8.5399999999999991</v>
      </c>
      <c r="H151" s="196"/>
      <c r="I151" s="194" t="s">
        <v>196</v>
      </c>
      <c r="J151" s="278" t="s">
        <v>332</v>
      </c>
      <c r="K151" s="192">
        <v>45993</v>
      </c>
      <c r="L151" s="193">
        <v>8.5399999999999991</v>
      </c>
      <c r="M151" s="289" t="s">
        <v>313</v>
      </c>
    </row>
    <row r="152" spans="1:13" hidden="1">
      <c r="A152" s="196" t="s">
        <v>316</v>
      </c>
      <c r="B152" s="196" t="s">
        <v>330</v>
      </c>
      <c r="C152" s="196" t="s">
        <v>4136</v>
      </c>
      <c r="D152" s="192">
        <v>46027</v>
      </c>
      <c r="E152" s="192">
        <v>46027</v>
      </c>
      <c r="F152" s="196" t="s">
        <v>16</v>
      </c>
      <c r="G152" s="201">
        <v>8.5399999999999991</v>
      </c>
      <c r="H152" s="196" t="s">
        <v>196</v>
      </c>
      <c r="I152" s="196" t="s">
        <v>332</v>
      </c>
      <c r="J152" s="192">
        <v>46027</v>
      </c>
      <c r="K152" s="201">
        <v>8.5399999999999991</v>
      </c>
      <c r="L152" s="196" t="s">
        <v>313</v>
      </c>
      <c r="M152" s="289"/>
    </row>
    <row r="153" spans="1:13" ht="30" hidden="1">
      <c r="A153" s="257"/>
      <c r="B153" s="194" t="s">
        <v>3483</v>
      </c>
      <c r="C153" s="188" t="s">
        <v>4259</v>
      </c>
      <c r="D153" s="195">
        <v>46056</v>
      </c>
      <c r="E153" s="189"/>
      <c r="F153" s="257" t="s">
        <v>16</v>
      </c>
      <c r="G153" s="272">
        <v>8.5399999999999991</v>
      </c>
      <c r="H153" s="249"/>
      <c r="I153" s="325" t="s">
        <v>4260</v>
      </c>
      <c r="J153" s="278"/>
      <c r="K153" s="201">
        <v>1.54</v>
      </c>
      <c r="L153" s="192"/>
      <c r="M153" s="289"/>
    </row>
    <row r="154" spans="1:13" hidden="1">
      <c r="A154" s="263" t="s">
        <v>219</v>
      </c>
      <c r="B154" s="194" t="s">
        <v>2100</v>
      </c>
      <c r="C154" s="188">
        <v>113090000966</v>
      </c>
      <c r="D154" s="195">
        <v>45757</v>
      </c>
      <c r="E154" s="189">
        <v>45757</v>
      </c>
      <c r="F154" s="257" t="s">
        <v>16</v>
      </c>
      <c r="G154" s="272">
        <v>127.8</v>
      </c>
      <c r="H154" s="223" t="s">
        <v>348</v>
      </c>
      <c r="I154" s="194" t="s">
        <v>349</v>
      </c>
      <c r="J154" s="278" t="s">
        <v>350</v>
      </c>
      <c r="K154" s="195"/>
      <c r="L154" s="193"/>
      <c r="M154" s="268"/>
    </row>
    <row r="155" spans="1:13" hidden="1">
      <c r="A155" s="257" t="s">
        <v>316</v>
      </c>
      <c r="B155" s="187" t="s">
        <v>2101</v>
      </c>
      <c r="C155" s="188" t="s">
        <v>2102</v>
      </c>
      <c r="D155" s="189">
        <v>45987</v>
      </c>
      <c r="E155" s="189">
        <v>45987</v>
      </c>
      <c r="F155" s="257" t="s">
        <v>16</v>
      </c>
      <c r="G155" s="272">
        <v>31.99</v>
      </c>
      <c r="H155" s="190"/>
      <c r="I155" s="187" t="s">
        <v>218</v>
      </c>
      <c r="J155" s="278" t="s">
        <v>219</v>
      </c>
      <c r="K155" s="192">
        <v>45987</v>
      </c>
      <c r="L155" s="193">
        <v>31.99</v>
      </c>
      <c r="M155" s="289" t="s">
        <v>219</v>
      </c>
    </row>
    <row r="156" spans="1:13" hidden="1">
      <c r="A156" s="257" t="s">
        <v>13</v>
      </c>
      <c r="B156" s="194" t="s">
        <v>2103</v>
      </c>
      <c r="C156" s="188" t="s">
        <v>372</v>
      </c>
      <c r="D156" s="195">
        <v>45991</v>
      </c>
      <c r="E156" s="189">
        <v>46053</v>
      </c>
      <c r="F156" s="257" t="s">
        <v>16</v>
      </c>
      <c r="G156" s="272">
        <v>92.92</v>
      </c>
      <c r="H156" s="196"/>
      <c r="I156" s="194" t="s">
        <v>373</v>
      </c>
      <c r="J156" s="278" t="s">
        <v>374</v>
      </c>
      <c r="K156" s="192">
        <v>46053</v>
      </c>
      <c r="L156" s="193">
        <v>92.92</v>
      </c>
      <c r="M156" s="289" t="s">
        <v>47</v>
      </c>
    </row>
    <row r="157" spans="1:13" hidden="1">
      <c r="A157" s="263" t="s">
        <v>316</v>
      </c>
      <c r="B157" s="194" t="s">
        <v>2104</v>
      </c>
      <c r="C157" s="188" t="s">
        <v>352</v>
      </c>
      <c r="D157" s="195">
        <v>45688</v>
      </c>
      <c r="E157" s="189">
        <v>45747</v>
      </c>
      <c r="F157" s="257" t="s">
        <v>16</v>
      </c>
      <c r="G157" s="272">
        <v>218.72</v>
      </c>
      <c r="H157" s="223" t="s">
        <v>353</v>
      </c>
      <c r="I157" s="194" t="s">
        <v>349</v>
      </c>
      <c r="J157" s="278" t="s">
        <v>354</v>
      </c>
      <c r="K157" s="195">
        <v>45868</v>
      </c>
      <c r="L157" s="193">
        <v>218.72</v>
      </c>
      <c r="M157" s="268" t="s">
        <v>19</v>
      </c>
    </row>
    <row r="158" spans="1:13" hidden="1">
      <c r="A158" s="260" t="s">
        <v>67</v>
      </c>
      <c r="B158" s="194" t="s">
        <v>2104</v>
      </c>
      <c r="C158" s="188" t="s">
        <v>355</v>
      </c>
      <c r="D158" s="195">
        <v>45716</v>
      </c>
      <c r="E158" s="189">
        <v>45716</v>
      </c>
      <c r="F158" s="257" t="s">
        <v>16</v>
      </c>
      <c r="G158" s="272">
        <v>4.7</v>
      </c>
      <c r="H158" s="223" t="s">
        <v>356</v>
      </c>
      <c r="I158" s="194" t="s">
        <v>349</v>
      </c>
      <c r="J158" s="278" t="s">
        <v>56</v>
      </c>
      <c r="K158" s="195"/>
      <c r="L158" s="193"/>
      <c r="M158" s="268"/>
    </row>
    <row r="159" spans="1:13" hidden="1">
      <c r="A159" s="263" t="s">
        <v>316</v>
      </c>
      <c r="B159" s="194" t="s">
        <v>2104</v>
      </c>
      <c r="C159" s="188" t="s">
        <v>357</v>
      </c>
      <c r="D159" s="195">
        <v>45771</v>
      </c>
      <c r="E159" s="189">
        <v>45771</v>
      </c>
      <c r="F159" s="257" t="s">
        <v>16</v>
      </c>
      <c r="G159" s="272">
        <v>21.2</v>
      </c>
      <c r="H159" s="223" t="s">
        <v>358</v>
      </c>
      <c r="I159" s="194" t="s">
        <v>349</v>
      </c>
      <c r="J159" s="278" t="s">
        <v>24</v>
      </c>
      <c r="K159" s="195">
        <v>45771</v>
      </c>
      <c r="L159" s="193">
        <v>21.2</v>
      </c>
      <c r="M159" s="268" t="s">
        <v>219</v>
      </c>
    </row>
    <row r="160" spans="1:13" hidden="1">
      <c r="A160" s="263" t="s">
        <v>316</v>
      </c>
      <c r="B160" s="194" t="s">
        <v>2104</v>
      </c>
      <c r="C160" s="188" t="s">
        <v>359</v>
      </c>
      <c r="D160" s="195">
        <v>45828</v>
      </c>
      <c r="E160" s="189">
        <v>45828</v>
      </c>
      <c r="F160" s="257" t="s">
        <v>16</v>
      </c>
      <c r="G160" s="272">
        <v>15.47</v>
      </c>
      <c r="H160" s="223" t="s">
        <v>360</v>
      </c>
      <c r="I160" s="194" t="s">
        <v>349</v>
      </c>
      <c r="J160" s="278" t="s">
        <v>219</v>
      </c>
      <c r="K160" s="195">
        <v>45828</v>
      </c>
      <c r="L160" s="193">
        <v>15.47</v>
      </c>
      <c r="M160" s="268" t="s">
        <v>361</v>
      </c>
    </row>
    <row r="161" spans="1:13" hidden="1">
      <c r="A161" s="263" t="s">
        <v>316</v>
      </c>
      <c r="B161" s="194" t="s">
        <v>2104</v>
      </c>
      <c r="C161" s="188" t="s">
        <v>362</v>
      </c>
      <c r="D161" s="195">
        <v>45831</v>
      </c>
      <c r="E161" s="189">
        <v>45831</v>
      </c>
      <c r="F161" s="257" t="s">
        <v>16</v>
      </c>
      <c r="G161" s="272">
        <v>37.94</v>
      </c>
      <c r="H161" s="223" t="s">
        <v>363</v>
      </c>
      <c r="I161" s="194" t="s">
        <v>364</v>
      </c>
      <c r="J161" s="278" t="s">
        <v>361</v>
      </c>
      <c r="K161" s="195">
        <v>45831</v>
      </c>
      <c r="L161" s="193">
        <v>37.94</v>
      </c>
      <c r="M161" s="268" t="s">
        <v>361</v>
      </c>
    </row>
    <row r="162" spans="1:13" hidden="1">
      <c r="A162" s="260" t="s">
        <v>365</v>
      </c>
      <c r="B162" s="194" t="s">
        <v>2104</v>
      </c>
      <c r="C162" s="188" t="s">
        <v>366</v>
      </c>
      <c r="D162" s="195">
        <v>45838</v>
      </c>
      <c r="E162" s="189">
        <v>45905</v>
      </c>
      <c r="F162" s="257" t="s">
        <v>16</v>
      </c>
      <c r="G162" s="272">
        <v>33.659999999999997</v>
      </c>
      <c r="H162" s="223" t="s">
        <v>367</v>
      </c>
      <c r="I162" s="194" t="s">
        <v>349</v>
      </c>
      <c r="J162" s="278"/>
      <c r="K162" s="195"/>
      <c r="L162" s="193"/>
      <c r="M162" s="289"/>
    </row>
    <row r="163" spans="1:13" hidden="1">
      <c r="A163" s="263" t="s">
        <v>90</v>
      </c>
      <c r="B163" s="194" t="s">
        <v>2104</v>
      </c>
      <c r="C163" s="188" t="s">
        <v>368</v>
      </c>
      <c r="D163" s="195">
        <v>45869</v>
      </c>
      <c r="E163" s="189"/>
      <c r="F163" s="257" t="s">
        <v>16</v>
      </c>
      <c r="G163" s="272">
        <v>11.24</v>
      </c>
      <c r="H163" s="223" t="s">
        <v>369</v>
      </c>
      <c r="I163" s="194" t="s">
        <v>349</v>
      </c>
      <c r="J163" s="278" t="s">
        <v>491</v>
      </c>
      <c r="K163" s="195">
        <v>46053</v>
      </c>
      <c r="L163" s="193"/>
      <c r="M163" s="289"/>
    </row>
    <row r="164" spans="1:13" hidden="1">
      <c r="A164" s="257" t="s">
        <v>385</v>
      </c>
      <c r="B164" s="194" t="s">
        <v>2105</v>
      </c>
      <c r="C164" s="188" t="s">
        <v>2106</v>
      </c>
      <c r="D164" s="195">
        <v>45673</v>
      </c>
      <c r="E164" s="189">
        <v>45716</v>
      </c>
      <c r="F164" s="257" t="s">
        <v>16</v>
      </c>
      <c r="G164" s="272">
        <v>16925.38</v>
      </c>
      <c r="H164" s="190" t="s">
        <v>388</v>
      </c>
      <c r="I164" s="194" t="s">
        <v>342</v>
      </c>
      <c r="J164" s="278" t="s">
        <v>389</v>
      </c>
      <c r="K164" s="195">
        <v>45685</v>
      </c>
      <c r="L164" s="193">
        <v>16925.38</v>
      </c>
      <c r="M164" s="289" t="s">
        <v>111</v>
      </c>
    </row>
    <row r="165" spans="1:13" hidden="1">
      <c r="A165" s="257" t="s">
        <v>385</v>
      </c>
      <c r="B165" s="194" t="s">
        <v>2105</v>
      </c>
      <c r="C165" s="188" t="s">
        <v>390</v>
      </c>
      <c r="D165" s="195">
        <v>45700</v>
      </c>
      <c r="E165" s="189">
        <v>45747</v>
      </c>
      <c r="F165" s="257" t="s">
        <v>16</v>
      </c>
      <c r="G165" s="272">
        <v>11766.72</v>
      </c>
      <c r="H165" s="190" t="s">
        <v>391</v>
      </c>
      <c r="I165" s="194" t="s">
        <v>312</v>
      </c>
      <c r="J165" s="278" t="s">
        <v>56</v>
      </c>
      <c r="K165" s="195">
        <v>45730</v>
      </c>
      <c r="L165" s="193">
        <v>11766.72</v>
      </c>
      <c r="M165" s="289" t="s">
        <v>111</v>
      </c>
    </row>
    <row r="166" spans="1:13" hidden="1">
      <c r="A166" s="257" t="s">
        <v>13</v>
      </c>
      <c r="B166" s="194" t="s">
        <v>2105</v>
      </c>
      <c r="C166" s="188" t="s">
        <v>392</v>
      </c>
      <c r="D166" s="195">
        <v>45716</v>
      </c>
      <c r="E166" s="189">
        <v>45777</v>
      </c>
      <c r="F166" s="257" t="s">
        <v>16</v>
      </c>
      <c r="G166" s="272">
        <v>12667.41</v>
      </c>
      <c r="H166" s="190" t="s">
        <v>393</v>
      </c>
      <c r="I166" s="194" t="s">
        <v>312</v>
      </c>
      <c r="J166" s="278" t="s">
        <v>110</v>
      </c>
      <c r="K166" s="195">
        <v>45853</v>
      </c>
      <c r="L166" s="193">
        <v>12667.41</v>
      </c>
      <c r="M166" s="289" t="s">
        <v>394</v>
      </c>
    </row>
    <row r="167" spans="1:13" hidden="1">
      <c r="A167" s="257" t="s">
        <v>2086</v>
      </c>
      <c r="B167" s="194" t="s">
        <v>2107</v>
      </c>
      <c r="C167" s="188" t="s">
        <v>2067</v>
      </c>
      <c r="D167" s="195"/>
      <c r="E167" s="189"/>
      <c r="F167" s="257" t="s">
        <v>2088</v>
      </c>
      <c r="G167" s="272">
        <v>1933.4</v>
      </c>
      <c r="H167" s="213"/>
      <c r="I167" s="194"/>
      <c r="J167" s="278"/>
      <c r="K167" s="195"/>
      <c r="L167" s="193"/>
      <c r="M167" s="289"/>
    </row>
    <row r="168" spans="1:13" hidden="1">
      <c r="A168" s="257" t="s">
        <v>13</v>
      </c>
      <c r="B168" s="187" t="s">
        <v>2108</v>
      </c>
      <c r="C168" s="188" t="s">
        <v>380</v>
      </c>
      <c r="D168" s="189">
        <v>45995</v>
      </c>
      <c r="E168" s="189">
        <v>45995</v>
      </c>
      <c r="F168" s="257" t="s">
        <v>49</v>
      </c>
      <c r="G168" s="272">
        <v>10.33</v>
      </c>
      <c r="H168" s="190"/>
      <c r="I168" s="187" t="s">
        <v>379</v>
      </c>
      <c r="J168" s="278" t="s">
        <v>18</v>
      </c>
      <c r="K168" s="192">
        <v>45995</v>
      </c>
      <c r="L168" s="193">
        <v>10.33</v>
      </c>
      <c r="M168" s="289" t="s">
        <v>345</v>
      </c>
    </row>
    <row r="169" spans="1:13" hidden="1">
      <c r="A169" s="257" t="s">
        <v>13</v>
      </c>
      <c r="B169" s="187" t="s">
        <v>2108</v>
      </c>
      <c r="C169" s="188" t="s">
        <v>381</v>
      </c>
      <c r="D169" s="189">
        <v>45995</v>
      </c>
      <c r="E169" s="189">
        <v>45995</v>
      </c>
      <c r="F169" s="257" t="s">
        <v>49</v>
      </c>
      <c r="G169" s="272">
        <v>18</v>
      </c>
      <c r="H169" s="190"/>
      <c r="I169" s="187" t="s">
        <v>379</v>
      </c>
      <c r="J169" s="278" t="s">
        <v>18</v>
      </c>
      <c r="K169" s="192">
        <v>45995</v>
      </c>
      <c r="L169" s="193">
        <v>18</v>
      </c>
      <c r="M169" s="289" t="s">
        <v>345</v>
      </c>
    </row>
    <row r="170" spans="1:13" hidden="1">
      <c r="A170" s="257" t="s">
        <v>13</v>
      </c>
      <c r="B170" s="187" t="s">
        <v>2108</v>
      </c>
      <c r="C170" s="188" t="s">
        <v>382</v>
      </c>
      <c r="D170" s="189">
        <v>46003</v>
      </c>
      <c r="E170" s="189">
        <v>46003</v>
      </c>
      <c r="F170" s="257" t="s">
        <v>49</v>
      </c>
      <c r="G170" s="272">
        <v>10</v>
      </c>
      <c r="H170" s="190"/>
      <c r="I170" s="187" t="s">
        <v>379</v>
      </c>
      <c r="J170" s="278" t="s">
        <v>18</v>
      </c>
      <c r="K170" s="192" t="s">
        <v>383</v>
      </c>
      <c r="L170" s="193">
        <v>10</v>
      </c>
      <c r="M170" s="289" t="s">
        <v>345</v>
      </c>
    </row>
    <row r="171" spans="1:13" hidden="1">
      <c r="A171" s="257" t="s">
        <v>13</v>
      </c>
      <c r="B171" s="187" t="s">
        <v>2108</v>
      </c>
      <c r="C171" s="188" t="s">
        <v>384</v>
      </c>
      <c r="D171" s="189">
        <v>46003</v>
      </c>
      <c r="E171" s="189">
        <v>46003</v>
      </c>
      <c r="F171" s="257" t="s">
        <v>49</v>
      </c>
      <c r="G171" s="272">
        <v>16</v>
      </c>
      <c r="H171" s="190"/>
      <c r="I171" s="187" t="s">
        <v>379</v>
      </c>
      <c r="J171" s="278" t="s">
        <v>18</v>
      </c>
      <c r="K171" s="192">
        <v>46003</v>
      </c>
      <c r="L171" s="193">
        <v>16</v>
      </c>
      <c r="M171" s="289" t="s">
        <v>345</v>
      </c>
    </row>
    <row r="172" spans="1:13" hidden="1">
      <c r="A172" s="263"/>
      <c r="B172" s="194" t="s">
        <v>2109</v>
      </c>
      <c r="C172" s="188" t="s">
        <v>376</v>
      </c>
      <c r="D172" s="195">
        <v>45995</v>
      </c>
      <c r="E172" s="189">
        <v>45995</v>
      </c>
      <c r="F172" s="257" t="s">
        <v>49</v>
      </c>
      <c r="G172" s="272">
        <v>16</v>
      </c>
      <c r="H172" s="223"/>
      <c r="I172" s="194" t="s">
        <v>377</v>
      </c>
      <c r="J172" s="278" t="s">
        <v>18</v>
      </c>
      <c r="K172" s="195">
        <v>45995</v>
      </c>
      <c r="L172" s="193">
        <v>16</v>
      </c>
      <c r="M172" s="289" t="s">
        <v>345</v>
      </c>
    </row>
    <row r="173" spans="1:13" hidden="1">
      <c r="A173" s="263"/>
      <c r="B173" s="194" t="s">
        <v>2109</v>
      </c>
      <c r="C173" s="188" t="s">
        <v>378</v>
      </c>
      <c r="D173" s="195">
        <v>45995</v>
      </c>
      <c r="E173" s="189">
        <v>45995</v>
      </c>
      <c r="F173" s="257" t="s">
        <v>49</v>
      </c>
      <c r="G173" s="272">
        <v>8.33</v>
      </c>
      <c r="H173" s="223"/>
      <c r="I173" s="194" t="s">
        <v>379</v>
      </c>
      <c r="J173" s="278" t="s">
        <v>18</v>
      </c>
      <c r="K173" s="195">
        <v>45995</v>
      </c>
      <c r="L173" s="193">
        <v>8.33</v>
      </c>
      <c r="M173" s="289" t="s">
        <v>345</v>
      </c>
    </row>
    <row r="174" spans="1:13" hidden="1">
      <c r="A174" s="257" t="s">
        <v>316</v>
      </c>
      <c r="B174" s="194" t="s">
        <v>2110</v>
      </c>
      <c r="C174" s="188">
        <v>45</v>
      </c>
      <c r="D174" s="195">
        <v>45734</v>
      </c>
      <c r="E174" s="189">
        <v>45808</v>
      </c>
      <c r="F174" s="257" t="s">
        <v>16</v>
      </c>
      <c r="G174" s="272">
        <v>702.72</v>
      </c>
      <c r="H174" s="190" t="s">
        <v>397</v>
      </c>
      <c r="I174" s="194" t="s">
        <v>398</v>
      </c>
      <c r="J174" s="278" t="s">
        <v>399</v>
      </c>
      <c r="K174" s="195">
        <v>45811</v>
      </c>
      <c r="L174" s="201">
        <v>702.72</v>
      </c>
      <c r="M174" s="268"/>
    </row>
    <row r="175" spans="1:13" hidden="1">
      <c r="A175" s="257"/>
      <c r="B175" s="194" t="s">
        <v>4221</v>
      </c>
      <c r="C175" s="188" t="s">
        <v>4222</v>
      </c>
      <c r="D175" s="195">
        <v>46049</v>
      </c>
      <c r="E175" s="189"/>
      <c r="F175" s="257" t="s">
        <v>16</v>
      </c>
      <c r="G175" s="272">
        <v>19.52</v>
      </c>
      <c r="H175" s="196"/>
      <c r="I175" s="194" t="s">
        <v>4223</v>
      </c>
      <c r="J175" s="278"/>
      <c r="K175" s="193">
        <v>3.52</v>
      </c>
      <c r="L175" s="192"/>
      <c r="M175" s="289"/>
    </row>
    <row r="176" spans="1:13" hidden="1">
      <c r="A176" s="257" t="s">
        <v>385</v>
      </c>
      <c r="B176" s="194" t="s">
        <v>2111</v>
      </c>
      <c r="C176" s="188">
        <v>10</v>
      </c>
      <c r="D176" s="195">
        <v>45694</v>
      </c>
      <c r="E176" s="189"/>
      <c r="F176" s="257" t="s">
        <v>16</v>
      </c>
      <c r="G176" s="272">
        <f>14963.2/2</f>
        <v>7481.6</v>
      </c>
      <c r="H176" s="223" t="s">
        <v>402</v>
      </c>
      <c r="I176" s="194" t="s">
        <v>312</v>
      </c>
      <c r="J176" s="278" t="s">
        <v>66</v>
      </c>
      <c r="K176" s="195"/>
      <c r="L176" s="193"/>
      <c r="M176" s="289"/>
    </row>
    <row r="177" spans="1:13" hidden="1">
      <c r="A177" s="257" t="s">
        <v>385</v>
      </c>
      <c r="B177" s="194" t="s">
        <v>2111</v>
      </c>
      <c r="C177" s="188">
        <v>10</v>
      </c>
      <c r="D177" s="195">
        <v>45694</v>
      </c>
      <c r="E177" s="189"/>
      <c r="F177" s="257" t="s">
        <v>16</v>
      </c>
      <c r="G177" s="272">
        <v>3500</v>
      </c>
      <c r="H177" s="223" t="s">
        <v>402</v>
      </c>
      <c r="I177" s="194" t="s">
        <v>312</v>
      </c>
      <c r="J177" s="278" t="s">
        <v>66</v>
      </c>
      <c r="K177" s="195">
        <v>45730</v>
      </c>
      <c r="L177" s="193">
        <v>3500</v>
      </c>
      <c r="M177" s="289" t="s">
        <v>111</v>
      </c>
    </row>
    <row r="178" spans="1:13" hidden="1">
      <c r="A178" s="257" t="s">
        <v>2086</v>
      </c>
      <c r="B178" s="194" t="s">
        <v>2111</v>
      </c>
      <c r="C178" s="188">
        <v>10</v>
      </c>
      <c r="D178" s="195">
        <v>45694</v>
      </c>
      <c r="E178" s="189"/>
      <c r="F178" s="257"/>
      <c r="G178" s="272">
        <f>14963.2-G176-G177</f>
        <v>3981.6000000000004</v>
      </c>
      <c r="H178" s="223" t="s">
        <v>402</v>
      </c>
      <c r="I178" s="194" t="s">
        <v>312</v>
      </c>
      <c r="J178" s="278" t="s">
        <v>66</v>
      </c>
      <c r="K178" s="195"/>
      <c r="L178" s="193"/>
      <c r="M178" s="268"/>
    </row>
    <row r="179" spans="1:13" hidden="1">
      <c r="A179" s="257" t="s">
        <v>90</v>
      </c>
      <c r="B179" s="194" t="s">
        <v>2112</v>
      </c>
      <c r="C179" s="188" t="s">
        <v>404</v>
      </c>
      <c r="D179" s="195">
        <v>46007</v>
      </c>
      <c r="E179" s="189">
        <v>46022</v>
      </c>
      <c r="F179" s="257" t="s">
        <v>16</v>
      </c>
      <c r="G179" s="272">
        <v>458</v>
      </c>
      <c r="H179" s="196"/>
      <c r="I179" s="194" t="s">
        <v>405</v>
      </c>
      <c r="J179" s="278" t="s">
        <v>361</v>
      </c>
      <c r="K179" s="192"/>
      <c r="L179" s="193">
        <v>458</v>
      </c>
      <c r="M179" s="289"/>
    </row>
    <row r="180" spans="1:13" hidden="1">
      <c r="A180" s="257" t="s">
        <v>90</v>
      </c>
      <c r="B180" s="194" t="s">
        <v>2113</v>
      </c>
      <c r="C180" s="188">
        <v>1002</v>
      </c>
      <c r="D180" s="195">
        <v>45918</v>
      </c>
      <c r="E180" s="189">
        <v>45727</v>
      </c>
      <c r="F180" s="257" t="s">
        <v>16</v>
      </c>
      <c r="G180" s="272">
        <v>3933.18</v>
      </c>
      <c r="H180" s="223" t="s">
        <v>408</v>
      </c>
      <c r="I180" s="194" t="s">
        <v>409</v>
      </c>
      <c r="J180" s="278" t="s">
        <v>56</v>
      </c>
      <c r="K180" s="195">
        <v>45918</v>
      </c>
      <c r="L180" s="193">
        <v>3933.18</v>
      </c>
      <c r="M180" s="289" t="s">
        <v>296</v>
      </c>
    </row>
    <row r="181" spans="1:13" hidden="1">
      <c r="A181" s="257" t="s">
        <v>90</v>
      </c>
      <c r="B181" s="194" t="s">
        <v>2114</v>
      </c>
      <c r="C181" s="188">
        <v>13532</v>
      </c>
      <c r="D181" s="195">
        <v>45896</v>
      </c>
      <c r="E181" s="189">
        <v>45896</v>
      </c>
      <c r="F181" s="257" t="s">
        <v>49</v>
      </c>
      <c r="G181" s="272">
        <v>406.94</v>
      </c>
      <c r="H181" s="223" t="s">
        <v>412</v>
      </c>
      <c r="I181" s="194" t="s">
        <v>413</v>
      </c>
      <c r="J181" s="278" t="s">
        <v>66</v>
      </c>
      <c r="K181" s="195">
        <v>45989</v>
      </c>
      <c r="L181" s="193"/>
      <c r="M181" s="289" t="s">
        <v>345</v>
      </c>
    </row>
    <row r="182" spans="1:13" hidden="1">
      <c r="A182" s="257" t="s">
        <v>47</v>
      </c>
      <c r="B182" s="194" t="s">
        <v>2115</v>
      </c>
      <c r="C182" s="188" t="s">
        <v>415</v>
      </c>
      <c r="D182" s="195">
        <v>45699</v>
      </c>
      <c r="E182" s="189"/>
      <c r="F182" s="257" t="s">
        <v>16</v>
      </c>
      <c r="G182" s="272">
        <v>63.42</v>
      </c>
      <c r="H182" s="190" t="s">
        <v>416</v>
      </c>
      <c r="I182" s="194" t="s">
        <v>417</v>
      </c>
      <c r="J182" s="278" t="s">
        <v>24</v>
      </c>
      <c r="K182" s="195"/>
      <c r="L182" s="193"/>
      <c r="M182" s="289"/>
    </row>
    <row r="183" spans="1:13" hidden="1">
      <c r="A183" s="257" t="s">
        <v>13</v>
      </c>
      <c r="B183" s="194" t="s">
        <v>2116</v>
      </c>
      <c r="C183" s="188" t="s">
        <v>419</v>
      </c>
      <c r="D183" s="195">
        <v>45873</v>
      </c>
      <c r="E183" s="189"/>
      <c r="F183" s="257" t="s">
        <v>16</v>
      </c>
      <c r="G183" s="272">
        <v>55.96</v>
      </c>
      <c r="H183" s="190" t="s">
        <v>420</v>
      </c>
      <c r="I183" s="194" t="s">
        <v>421</v>
      </c>
      <c r="J183" s="278" t="s">
        <v>215</v>
      </c>
      <c r="K183" s="195">
        <v>45873</v>
      </c>
      <c r="L183" s="193">
        <v>55.96</v>
      </c>
      <c r="M183" s="289" t="s">
        <v>422</v>
      </c>
    </row>
    <row r="184" spans="1:13" hidden="1">
      <c r="A184" s="257" t="s">
        <v>13</v>
      </c>
      <c r="B184" s="194" t="s">
        <v>2116</v>
      </c>
      <c r="C184" s="188" t="s">
        <v>423</v>
      </c>
      <c r="D184" s="195">
        <v>45903</v>
      </c>
      <c r="E184" s="189"/>
      <c r="F184" s="257" t="s">
        <v>16</v>
      </c>
      <c r="G184" s="272">
        <v>51.24</v>
      </c>
      <c r="H184" s="190" t="s">
        <v>424</v>
      </c>
      <c r="I184" s="194"/>
      <c r="J184" s="278" t="s">
        <v>215</v>
      </c>
      <c r="K184" s="195"/>
      <c r="L184" s="193"/>
      <c r="M184" s="289"/>
    </row>
    <row r="185" spans="1:13" hidden="1">
      <c r="A185" s="257" t="s">
        <v>13</v>
      </c>
      <c r="B185" s="187" t="s">
        <v>2117</v>
      </c>
      <c r="C185" s="188" t="s">
        <v>426</v>
      </c>
      <c r="D185" s="189">
        <v>45966</v>
      </c>
      <c r="E185" s="189">
        <v>45966</v>
      </c>
      <c r="F185" s="257" t="s">
        <v>49</v>
      </c>
      <c r="G185" s="272">
        <v>51.24</v>
      </c>
      <c r="H185" s="190"/>
      <c r="I185" s="187" t="s">
        <v>427</v>
      </c>
      <c r="J185" s="278" t="s">
        <v>428</v>
      </c>
      <c r="K185" s="192"/>
      <c r="L185" s="193">
        <v>51.24</v>
      </c>
      <c r="M185" s="289"/>
    </row>
    <row r="186" spans="1:13" hidden="1">
      <c r="A186" s="257"/>
      <c r="B186" s="194" t="s">
        <v>4128</v>
      </c>
      <c r="C186" s="188" t="s">
        <v>4129</v>
      </c>
      <c r="D186" s="195">
        <v>46043</v>
      </c>
      <c r="E186" s="195"/>
      <c r="F186" s="257" t="s">
        <v>16</v>
      </c>
      <c r="G186" s="272">
        <v>37.15</v>
      </c>
      <c r="H186" s="196"/>
      <c r="I186" s="194" t="s">
        <v>4130</v>
      </c>
      <c r="J186" s="278" t="s">
        <v>751</v>
      </c>
      <c r="K186" s="193">
        <v>4.3599999999999994</v>
      </c>
      <c r="L186" s="192"/>
      <c r="M186" s="289"/>
    </row>
    <row r="187" spans="1:13" hidden="1">
      <c r="A187" s="257" t="s">
        <v>13</v>
      </c>
      <c r="B187" s="194" t="s">
        <v>2118</v>
      </c>
      <c r="C187" s="188">
        <v>19018303</v>
      </c>
      <c r="D187" s="195">
        <v>45685</v>
      </c>
      <c r="E187" s="189">
        <v>45705</v>
      </c>
      <c r="F187" s="257" t="s">
        <v>16</v>
      </c>
      <c r="G187" s="272">
        <v>450.51</v>
      </c>
      <c r="H187" s="190" t="s">
        <v>431</v>
      </c>
      <c r="I187" s="194" t="s">
        <v>87</v>
      </c>
      <c r="J187" s="278" t="s">
        <v>150</v>
      </c>
      <c r="K187" s="195">
        <v>45705</v>
      </c>
      <c r="L187" s="201">
        <v>450.51</v>
      </c>
      <c r="M187" s="289" t="s">
        <v>345</v>
      </c>
    </row>
    <row r="188" spans="1:13" hidden="1">
      <c r="A188" s="257" t="s">
        <v>13</v>
      </c>
      <c r="B188" s="194" t="s">
        <v>2118</v>
      </c>
      <c r="C188" s="188">
        <v>20250019038971</v>
      </c>
      <c r="D188" s="195">
        <v>45714</v>
      </c>
      <c r="E188" s="189">
        <v>45734</v>
      </c>
      <c r="F188" s="257" t="s">
        <v>16</v>
      </c>
      <c r="G188" s="272">
        <v>1230.1500000000001</v>
      </c>
      <c r="H188" s="190" t="s">
        <v>433</v>
      </c>
      <c r="I188" s="194" t="s">
        <v>87</v>
      </c>
      <c r="J188" s="278" t="s">
        <v>150</v>
      </c>
      <c r="K188" s="195">
        <v>45734</v>
      </c>
      <c r="L188" s="201">
        <v>1230.1500000000001</v>
      </c>
      <c r="M188" s="289" t="s">
        <v>345</v>
      </c>
    </row>
    <row r="189" spans="1:13" hidden="1">
      <c r="A189" s="257" t="s">
        <v>13</v>
      </c>
      <c r="B189" s="194" t="s">
        <v>2118</v>
      </c>
      <c r="C189" s="188">
        <v>20250019056741</v>
      </c>
      <c r="D189" s="195">
        <v>45741</v>
      </c>
      <c r="E189" s="189">
        <v>45761</v>
      </c>
      <c r="F189" s="257" t="s">
        <v>16</v>
      </c>
      <c r="G189" s="272">
        <v>37.86</v>
      </c>
      <c r="H189" s="190" t="s">
        <v>435</v>
      </c>
      <c r="I189" s="194" t="s">
        <v>436</v>
      </c>
      <c r="J189" s="278" t="s">
        <v>150</v>
      </c>
      <c r="K189" s="195">
        <v>45761</v>
      </c>
      <c r="L189" s="201">
        <v>37.86</v>
      </c>
      <c r="M189" s="289" t="s">
        <v>345</v>
      </c>
    </row>
    <row r="190" spans="1:13" hidden="1">
      <c r="A190" s="257" t="s">
        <v>13</v>
      </c>
      <c r="B190" s="194" t="s">
        <v>2118</v>
      </c>
      <c r="C190" s="188">
        <v>20250019054075</v>
      </c>
      <c r="D190" s="195">
        <v>45741</v>
      </c>
      <c r="E190" s="189">
        <v>45761</v>
      </c>
      <c r="F190" s="257" t="s">
        <v>16</v>
      </c>
      <c r="G190" s="272">
        <v>225.75</v>
      </c>
      <c r="H190" s="190" t="s">
        <v>438</v>
      </c>
      <c r="I190" s="194" t="s">
        <v>87</v>
      </c>
      <c r="J190" s="278" t="s">
        <v>150</v>
      </c>
      <c r="K190" s="195">
        <v>45764</v>
      </c>
      <c r="L190" s="201">
        <v>225.75</v>
      </c>
      <c r="M190" s="289" t="s">
        <v>345</v>
      </c>
    </row>
    <row r="191" spans="1:13" hidden="1">
      <c r="A191" s="257" t="s">
        <v>13</v>
      </c>
      <c r="B191" s="194" t="s">
        <v>2118</v>
      </c>
      <c r="C191" s="188">
        <v>20250019081946</v>
      </c>
      <c r="D191" s="195">
        <v>45775</v>
      </c>
      <c r="E191" s="189">
        <v>45796</v>
      </c>
      <c r="F191" s="257" t="s">
        <v>16</v>
      </c>
      <c r="G191" s="272">
        <v>265.18</v>
      </c>
      <c r="H191" s="190" t="s">
        <v>440</v>
      </c>
      <c r="I191" s="194" t="s">
        <v>87</v>
      </c>
      <c r="J191" s="278" t="s">
        <v>150</v>
      </c>
      <c r="K191" s="195">
        <v>45796</v>
      </c>
      <c r="L191" s="201">
        <v>265.18</v>
      </c>
      <c r="M191" s="289" t="s">
        <v>345</v>
      </c>
    </row>
    <row r="192" spans="1:13" hidden="1">
      <c r="A192" s="257" t="s">
        <v>13</v>
      </c>
      <c r="B192" s="194" t="s">
        <v>2118</v>
      </c>
      <c r="C192" s="188">
        <v>20250019087393</v>
      </c>
      <c r="D192" s="195">
        <v>45804</v>
      </c>
      <c r="E192" s="189">
        <v>45824</v>
      </c>
      <c r="F192" s="257" t="s">
        <v>16</v>
      </c>
      <c r="G192" s="272">
        <v>37.49</v>
      </c>
      <c r="H192" s="190" t="s">
        <v>442</v>
      </c>
      <c r="I192" s="194" t="s">
        <v>87</v>
      </c>
      <c r="J192" s="278" t="s">
        <v>150</v>
      </c>
      <c r="K192" s="195">
        <v>45824</v>
      </c>
      <c r="L192" s="201">
        <v>37.49</v>
      </c>
      <c r="M192" s="289" t="s">
        <v>345</v>
      </c>
    </row>
    <row r="193" spans="1:14" hidden="1">
      <c r="A193" s="257" t="s">
        <v>13</v>
      </c>
      <c r="B193" s="216" t="s">
        <v>2118</v>
      </c>
      <c r="C193" s="188" t="s">
        <v>443</v>
      </c>
      <c r="D193" s="203">
        <v>45804</v>
      </c>
      <c r="E193" s="189"/>
      <c r="F193" s="257" t="s">
        <v>16</v>
      </c>
      <c r="G193" s="272">
        <v>-82.19</v>
      </c>
      <c r="H193" s="222" t="s">
        <v>444</v>
      </c>
      <c r="I193" s="216" t="s">
        <v>87</v>
      </c>
      <c r="J193" s="278" t="s">
        <v>150</v>
      </c>
      <c r="K193" s="192"/>
      <c r="L193" s="285">
        <v>-82.19</v>
      </c>
      <c r="M193" s="268" t="s">
        <v>80</v>
      </c>
    </row>
    <row r="194" spans="1:14" hidden="1">
      <c r="A194" s="257" t="s">
        <v>13</v>
      </c>
      <c r="B194" s="187" t="s">
        <v>2118</v>
      </c>
      <c r="C194" s="188">
        <v>20250019108792</v>
      </c>
      <c r="D194" s="189">
        <v>45833</v>
      </c>
      <c r="E194" s="189">
        <v>45853</v>
      </c>
      <c r="F194" s="257" t="s">
        <v>16</v>
      </c>
      <c r="G194" s="272">
        <v>38.19</v>
      </c>
      <c r="H194" s="190" t="s">
        <v>446</v>
      </c>
      <c r="I194" s="187" t="s">
        <v>87</v>
      </c>
      <c r="J194" s="278" t="s">
        <v>150</v>
      </c>
      <c r="K194" s="189">
        <v>45853</v>
      </c>
      <c r="L194" s="272">
        <v>38.19</v>
      </c>
      <c r="M194" s="289" t="s">
        <v>345</v>
      </c>
    </row>
    <row r="195" spans="1:14" hidden="1">
      <c r="A195" s="261" t="s">
        <v>13</v>
      </c>
      <c r="B195" s="187" t="s">
        <v>2118</v>
      </c>
      <c r="C195" s="209">
        <v>20250019125088</v>
      </c>
      <c r="D195" s="189">
        <v>45864</v>
      </c>
      <c r="E195" s="210">
        <v>45887</v>
      </c>
      <c r="F195" s="268" t="s">
        <v>16</v>
      </c>
      <c r="G195" s="273">
        <v>145.81</v>
      </c>
      <c r="H195" s="190" t="s">
        <v>448</v>
      </c>
      <c r="I195" s="187" t="s">
        <v>436</v>
      </c>
      <c r="J195" s="279" t="s">
        <v>150</v>
      </c>
      <c r="K195" s="189">
        <v>45887</v>
      </c>
      <c r="L195" s="272">
        <v>145.81</v>
      </c>
      <c r="M195" s="194" t="s">
        <v>345</v>
      </c>
    </row>
    <row r="196" spans="1:14" hidden="1">
      <c r="A196" s="257" t="s">
        <v>13</v>
      </c>
      <c r="B196" s="187" t="s">
        <v>2118</v>
      </c>
      <c r="C196" s="188">
        <v>20250019145400</v>
      </c>
      <c r="D196" s="189">
        <v>45895</v>
      </c>
      <c r="E196" s="189">
        <v>45915</v>
      </c>
      <c r="F196" s="257" t="s">
        <v>49</v>
      </c>
      <c r="G196" s="272">
        <v>10.84</v>
      </c>
      <c r="H196" s="190" t="s">
        <v>450</v>
      </c>
      <c r="I196" s="187" t="s">
        <v>87</v>
      </c>
      <c r="J196" s="278" t="s">
        <v>150</v>
      </c>
      <c r="K196" s="195">
        <v>45915</v>
      </c>
      <c r="L196" s="193">
        <v>10.84</v>
      </c>
      <c r="M196" s="289" t="s">
        <v>345</v>
      </c>
    </row>
    <row r="197" spans="1:14" hidden="1">
      <c r="A197" s="196" t="s">
        <v>13</v>
      </c>
      <c r="B197" s="196" t="s">
        <v>4142</v>
      </c>
      <c r="C197" s="196" t="s">
        <v>4143</v>
      </c>
      <c r="D197" s="192"/>
      <c r="E197" s="192"/>
      <c r="F197" s="196" t="s">
        <v>16</v>
      </c>
      <c r="G197" s="201">
        <v>1354.5</v>
      </c>
      <c r="H197" s="196" t="s">
        <v>4144</v>
      </c>
      <c r="I197" s="196" t="s">
        <v>75</v>
      </c>
      <c r="J197" s="192">
        <v>46036</v>
      </c>
      <c r="K197" s="201">
        <v>1354.5</v>
      </c>
      <c r="L197" s="196" t="s">
        <v>19</v>
      </c>
      <c r="M197" s="289"/>
    </row>
    <row r="198" spans="1:14" hidden="1">
      <c r="A198" s="196" t="s">
        <v>13</v>
      </c>
      <c r="B198" s="196" t="s">
        <v>4142</v>
      </c>
      <c r="C198" s="196" t="s">
        <v>4143</v>
      </c>
      <c r="D198" s="192"/>
      <c r="E198" s="192"/>
      <c r="F198" s="196" t="s">
        <v>16</v>
      </c>
      <c r="G198" s="201">
        <v>1354.5</v>
      </c>
      <c r="H198" s="196" t="s">
        <v>4144</v>
      </c>
      <c r="I198" s="196" t="s">
        <v>75</v>
      </c>
      <c r="J198" s="192">
        <v>46036</v>
      </c>
      <c r="K198" s="201">
        <v>1354.5</v>
      </c>
      <c r="L198" s="196" t="s">
        <v>19</v>
      </c>
      <c r="M198" s="289"/>
    </row>
    <row r="199" spans="1:14" hidden="1">
      <c r="A199" s="196" t="s">
        <v>13</v>
      </c>
      <c r="B199" s="196" t="s">
        <v>4142</v>
      </c>
      <c r="C199" s="196" t="s">
        <v>4143</v>
      </c>
      <c r="D199" s="192"/>
      <c r="E199" s="192"/>
      <c r="F199" s="196"/>
      <c r="G199" s="201">
        <v>1354.5</v>
      </c>
      <c r="H199" s="196" t="s">
        <v>4144</v>
      </c>
      <c r="I199" s="196" t="s">
        <v>75</v>
      </c>
      <c r="J199" s="192">
        <v>46067</v>
      </c>
      <c r="K199" s="201"/>
      <c r="L199" s="196"/>
      <c r="M199" s="289"/>
    </row>
    <row r="200" spans="1:14" hidden="1">
      <c r="A200" s="196" t="s">
        <v>13</v>
      </c>
      <c r="B200" s="196" t="s">
        <v>4142</v>
      </c>
      <c r="C200" s="196" t="s">
        <v>4143</v>
      </c>
      <c r="D200" s="192"/>
      <c r="E200" s="192"/>
      <c r="F200" s="196"/>
      <c r="G200" s="201">
        <v>1354.5</v>
      </c>
      <c r="H200" s="196" t="s">
        <v>4144</v>
      </c>
      <c r="I200" s="196" t="s">
        <v>75</v>
      </c>
      <c r="J200" s="192">
        <v>46095</v>
      </c>
      <c r="K200" s="201"/>
      <c r="L200" s="196"/>
      <c r="M200" s="289"/>
    </row>
    <row r="201" spans="1:14" hidden="1">
      <c r="A201" s="196" t="s">
        <v>13</v>
      </c>
      <c r="B201" s="196" t="s">
        <v>4142</v>
      </c>
      <c r="C201" s="196" t="s">
        <v>4143</v>
      </c>
      <c r="D201" s="192"/>
      <c r="E201" s="192"/>
      <c r="F201" s="196"/>
      <c r="G201" s="201">
        <v>1354.5</v>
      </c>
      <c r="H201" s="196" t="s">
        <v>4144</v>
      </c>
      <c r="I201" s="196" t="s">
        <v>75</v>
      </c>
      <c r="J201" s="192">
        <v>46126</v>
      </c>
      <c r="K201" s="201"/>
      <c r="L201" s="196"/>
      <c r="M201" s="289"/>
    </row>
    <row r="202" spans="1:14" hidden="1">
      <c r="A202" s="196" t="s">
        <v>13</v>
      </c>
      <c r="B202" s="196" t="s">
        <v>4142</v>
      </c>
      <c r="C202" s="196" t="s">
        <v>4143</v>
      </c>
      <c r="D202" s="192"/>
      <c r="E202" s="192"/>
      <c r="F202" s="196"/>
      <c r="G202" s="201">
        <v>1354.5</v>
      </c>
      <c r="H202" s="196" t="s">
        <v>4144</v>
      </c>
      <c r="I202" s="196" t="s">
        <v>75</v>
      </c>
      <c r="J202" s="192">
        <v>46156</v>
      </c>
      <c r="K202" s="201"/>
      <c r="L202" s="196"/>
      <c r="M202" s="289"/>
    </row>
    <row r="203" spans="1:14" hidden="1">
      <c r="A203" s="257"/>
      <c r="B203" s="187" t="s">
        <v>4320</v>
      </c>
      <c r="C203" s="188" t="s">
        <v>1596</v>
      </c>
      <c r="D203" s="189">
        <v>46079</v>
      </c>
      <c r="E203" s="189">
        <v>46079</v>
      </c>
      <c r="F203" s="257"/>
      <c r="G203" s="272">
        <v>78.08</v>
      </c>
      <c r="H203" s="190"/>
      <c r="I203" s="187" t="s">
        <v>4321</v>
      </c>
      <c r="J203" s="278" t="s">
        <v>3314</v>
      </c>
      <c r="K203" s="193">
        <v>14.08</v>
      </c>
      <c r="L203" s="192">
        <v>46139</v>
      </c>
      <c r="M203" s="289"/>
      <c r="N203" s="56"/>
    </row>
    <row r="204" spans="1:14" hidden="1">
      <c r="A204" s="257" t="s">
        <v>13</v>
      </c>
      <c r="B204" s="187" t="s">
        <v>2119</v>
      </c>
      <c r="C204" s="188" t="s">
        <v>459</v>
      </c>
      <c r="D204" s="189">
        <v>45974</v>
      </c>
      <c r="E204" s="189">
        <v>45974</v>
      </c>
      <c r="F204" s="257" t="s">
        <v>49</v>
      </c>
      <c r="G204" s="272">
        <v>176.5</v>
      </c>
      <c r="H204" s="190"/>
      <c r="I204" s="187" t="s">
        <v>460</v>
      </c>
      <c r="J204" s="278" t="s">
        <v>18</v>
      </c>
      <c r="K204" s="192">
        <v>45944</v>
      </c>
      <c r="L204" s="193">
        <v>176.5</v>
      </c>
      <c r="M204" s="289" t="s">
        <v>19</v>
      </c>
    </row>
    <row r="205" spans="1:14" hidden="1">
      <c r="A205" s="257"/>
      <c r="B205" s="194" t="s">
        <v>2120</v>
      </c>
      <c r="C205" s="188" t="s">
        <v>462</v>
      </c>
      <c r="D205" s="195">
        <v>45994</v>
      </c>
      <c r="E205" s="189">
        <v>46181</v>
      </c>
      <c r="F205" s="257" t="s">
        <v>49</v>
      </c>
      <c r="G205" s="272">
        <v>35</v>
      </c>
      <c r="H205" s="196"/>
      <c r="I205" s="194" t="s">
        <v>463</v>
      </c>
      <c r="J205" s="278" t="s">
        <v>18</v>
      </c>
      <c r="K205" s="192">
        <v>46006</v>
      </c>
      <c r="L205" s="193">
        <v>35</v>
      </c>
      <c r="M205" s="289" t="s">
        <v>19</v>
      </c>
    </row>
    <row r="206" spans="1:14" hidden="1">
      <c r="A206" s="257"/>
      <c r="B206" s="194" t="s">
        <v>3367</v>
      </c>
      <c r="C206" s="188" t="s">
        <v>3368</v>
      </c>
      <c r="D206" s="195">
        <v>46027</v>
      </c>
      <c r="E206" s="189">
        <v>46027</v>
      </c>
      <c r="F206" s="257" t="s">
        <v>16</v>
      </c>
      <c r="G206" s="272">
        <v>29.4</v>
      </c>
      <c r="H206" s="196"/>
      <c r="I206" s="194" t="s">
        <v>3369</v>
      </c>
      <c r="J206" s="278" t="s">
        <v>18</v>
      </c>
      <c r="K206" s="192" t="s">
        <v>3370</v>
      </c>
      <c r="L206" s="193">
        <v>29.4</v>
      </c>
      <c r="M206" s="289" t="s">
        <v>19</v>
      </c>
    </row>
    <row r="207" spans="1:14" hidden="1">
      <c r="A207" s="196" t="s">
        <v>13</v>
      </c>
      <c r="B207" s="196" t="s">
        <v>4145</v>
      </c>
      <c r="C207" s="196" t="s">
        <v>4146</v>
      </c>
      <c r="D207" s="192">
        <v>46019</v>
      </c>
      <c r="E207" s="192">
        <v>46019</v>
      </c>
      <c r="F207" s="196" t="s">
        <v>16</v>
      </c>
      <c r="G207" s="201">
        <v>60.9</v>
      </c>
      <c r="H207" s="196" t="s">
        <v>4147</v>
      </c>
      <c r="I207" s="196" t="s">
        <v>18</v>
      </c>
      <c r="J207" s="192">
        <v>46376</v>
      </c>
      <c r="K207" s="201">
        <v>60.9</v>
      </c>
      <c r="L207" s="196" t="s">
        <v>19</v>
      </c>
      <c r="M207" s="289"/>
    </row>
    <row r="208" spans="1:14" hidden="1">
      <c r="A208" s="257" t="s">
        <v>13</v>
      </c>
      <c r="B208" s="187" t="s">
        <v>2121</v>
      </c>
      <c r="C208" s="188" t="s">
        <v>452</v>
      </c>
      <c r="D208" s="189">
        <v>45978</v>
      </c>
      <c r="E208" s="189">
        <v>45978</v>
      </c>
      <c r="F208" s="257"/>
      <c r="G208" s="272">
        <v>1098</v>
      </c>
      <c r="H208" s="190"/>
      <c r="I208" s="187" t="s">
        <v>453</v>
      </c>
      <c r="J208" s="278" t="s">
        <v>354</v>
      </c>
      <c r="K208" s="192"/>
      <c r="L208" s="193"/>
      <c r="M208" s="289"/>
    </row>
    <row r="209" spans="1:13" hidden="1">
      <c r="A209" s="257" t="s">
        <v>47</v>
      </c>
      <c r="B209" s="187" t="s">
        <v>2122</v>
      </c>
      <c r="C209" s="188">
        <v>84</v>
      </c>
      <c r="D209" s="189">
        <v>45870</v>
      </c>
      <c r="E209" s="189">
        <v>45870</v>
      </c>
      <c r="F209" s="257" t="s">
        <v>16</v>
      </c>
      <c r="G209" s="272">
        <v>124</v>
      </c>
      <c r="H209" s="190" t="s">
        <v>456</v>
      </c>
      <c r="I209" s="187" t="s">
        <v>457</v>
      </c>
      <c r="J209" s="278" t="s">
        <v>215</v>
      </c>
      <c r="K209" s="195"/>
      <c r="L209" s="193"/>
      <c r="M209" s="289"/>
    </row>
    <row r="210" spans="1:13" hidden="1">
      <c r="A210" s="257" t="s">
        <v>475</v>
      </c>
      <c r="B210" s="194" t="s">
        <v>2123</v>
      </c>
      <c r="C210" s="188">
        <v>3</v>
      </c>
      <c r="D210" s="195">
        <v>45685</v>
      </c>
      <c r="E210" s="189">
        <v>45685</v>
      </c>
      <c r="F210" s="257" t="s">
        <v>16</v>
      </c>
      <c r="G210" s="272">
        <v>4998</v>
      </c>
      <c r="H210" s="190" t="s">
        <v>477</v>
      </c>
      <c r="I210" s="194" t="s">
        <v>342</v>
      </c>
      <c r="J210" s="278" t="s">
        <v>66</v>
      </c>
      <c r="K210" s="195"/>
      <c r="L210" s="193"/>
      <c r="M210" s="289"/>
    </row>
    <row r="211" spans="1:13" hidden="1">
      <c r="A211" s="264" t="s">
        <v>464</v>
      </c>
      <c r="B211" s="216" t="s">
        <v>2124</v>
      </c>
      <c r="C211" s="188">
        <v>29</v>
      </c>
      <c r="D211" s="203">
        <v>45860</v>
      </c>
      <c r="E211" s="189">
        <v>45860</v>
      </c>
      <c r="F211" s="257" t="s">
        <v>16</v>
      </c>
      <c r="G211" s="272">
        <v>1389.44</v>
      </c>
      <c r="H211" s="222" t="s">
        <v>466</v>
      </c>
      <c r="I211" s="216" t="s">
        <v>467</v>
      </c>
      <c r="J211" s="278" t="s">
        <v>56</v>
      </c>
      <c r="K211" s="203">
        <v>45824</v>
      </c>
      <c r="L211" s="218">
        <v>1068.8</v>
      </c>
      <c r="M211" s="291" t="s">
        <v>198</v>
      </c>
    </row>
    <row r="212" spans="1:13" hidden="1">
      <c r="A212" s="257" t="s">
        <v>316</v>
      </c>
      <c r="B212" s="187" t="s">
        <v>2124</v>
      </c>
      <c r="C212" s="188">
        <v>46</v>
      </c>
      <c r="D212" s="189">
        <v>45939</v>
      </c>
      <c r="E212" s="189">
        <v>45939</v>
      </c>
      <c r="F212" s="257" t="s">
        <v>16</v>
      </c>
      <c r="G212" s="272">
        <v>3206.4</v>
      </c>
      <c r="H212" s="190" t="s">
        <v>469</v>
      </c>
      <c r="I212" s="187" t="s">
        <v>470</v>
      </c>
      <c r="J212" s="278" t="s">
        <v>56</v>
      </c>
      <c r="K212" s="195">
        <v>45945</v>
      </c>
      <c r="L212" s="272">
        <v>3206.4</v>
      </c>
      <c r="M212" s="289" t="s">
        <v>246</v>
      </c>
    </row>
    <row r="213" spans="1:13" hidden="1">
      <c r="A213" s="257" t="s">
        <v>316</v>
      </c>
      <c r="B213" s="187" t="s">
        <v>465</v>
      </c>
      <c r="C213" s="188" t="s">
        <v>396</v>
      </c>
      <c r="D213" s="189">
        <v>45939</v>
      </c>
      <c r="E213" s="189">
        <v>45939</v>
      </c>
      <c r="F213" s="257" t="s">
        <v>16</v>
      </c>
      <c r="G213" s="272">
        <v>1068.8</v>
      </c>
      <c r="H213" s="190" t="s">
        <v>471</v>
      </c>
      <c r="I213" s="187" t="s">
        <v>472</v>
      </c>
      <c r="J213" s="278" t="s">
        <v>66</v>
      </c>
      <c r="K213" s="192">
        <v>45826</v>
      </c>
      <c r="L213" s="193">
        <v>1068.8</v>
      </c>
      <c r="M213" s="289" t="s">
        <v>2832</v>
      </c>
    </row>
    <row r="214" spans="1:13" hidden="1">
      <c r="A214" s="257" t="s">
        <v>316</v>
      </c>
      <c r="B214" s="187" t="s">
        <v>465</v>
      </c>
      <c r="C214" s="188" t="s">
        <v>396</v>
      </c>
      <c r="D214" s="189">
        <v>45939</v>
      </c>
      <c r="E214" s="189">
        <v>45939</v>
      </c>
      <c r="F214" s="257"/>
      <c r="G214" s="272">
        <v>534.4</v>
      </c>
      <c r="H214" s="190" t="s">
        <v>471</v>
      </c>
      <c r="I214" s="187" t="s">
        <v>472</v>
      </c>
      <c r="J214" s="278" t="s">
        <v>66</v>
      </c>
      <c r="K214" s="192"/>
      <c r="L214" s="193"/>
      <c r="M214" s="289"/>
    </row>
    <row r="215" spans="1:13" hidden="1">
      <c r="A215" s="257" t="s">
        <v>316</v>
      </c>
      <c r="B215" s="187" t="s">
        <v>2124</v>
      </c>
      <c r="C215" s="188" t="s">
        <v>473</v>
      </c>
      <c r="D215" s="189">
        <v>45968</v>
      </c>
      <c r="E215" s="189">
        <v>45968</v>
      </c>
      <c r="F215" s="257"/>
      <c r="G215" s="272">
        <v>572.32000000000005</v>
      </c>
      <c r="H215" s="190"/>
      <c r="I215" s="187" t="s">
        <v>474</v>
      </c>
      <c r="J215" s="278" t="s">
        <v>83</v>
      </c>
      <c r="K215" s="192"/>
      <c r="L215" s="193">
        <v>572.32000000000005</v>
      </c>
      <c r="M215" s="289"/>
    </row>
    <row r="216" spans="1:13" hidden="1">
      <c r="A216" s="257"/>
      <c r="B216" s="187" t="s">
        <v>465</v>
      </c>
      <c r="C216" s="188" t="s">
        <v>3371</v>
      </c>
      <c r="D216" s="189">
        <v>46019</v>
      </c>
      <c r="E216" s="189">
        <v>46019</v>
      </c>
      <c r="F216" s="257"/>
      <c r="G216" s="272">
        <v>5344</v>
      </c>
      <c r="H216" s="190"/>
      <c r="I216" s="187" t="s">
        <v>3372</v>
      </c>
      <c r="J216" s="278" t="s">
        <v>83</v>
      </c>
      <c r="K216" s="192"/>
      <c r="L216" s="193"/>
      <c r="M216" s="289"/>
    </row>
    <row r="217" spans="1:13" hidden="1">
      <c r="B217" s="187" t="s">
        <v>465</v>
      </c>
      <c r="C217" s="188" t="s">
        <v>3373</v>
      </c>
      <c r="D217" s="189">
        <v>46019</v>
      </c>
      <c r="E217" s="189">
        <v>46019</v>
      </c>
      <c r="F217" s="257"/>
      <c r="G217" s="272">
        <v>2137.6</v>
      </c>
      <c r="H217" s="190"/>
      <c r="I217" s="187" t="s">
        <v>3374</v>
      </c>
      <c r="J217" s="278" t="s">
        <v>83</v>
      </c>
      <c r="K217" s="192"/>
      <c r="L217" s="322"/>
      <c r="M217" s="289"/>
    </row>
    <row r="218" spans="1:13" hidden="1">
      <c r="A218" s="257" t="s">
        <v>475</v>
      </c>
      <c r="B218" s="224" t="s">
        <v>2126</v>
      </c>
      <c r="C218" s="188">
        <v>7</v>
      </c>
      <c r="D218" s="225">
        <v>45705</v>
      </c>
      <c r="E218" s="189">
        <v>45810</v>
      </c>
      <c r="F218" s="257"/>
      <c r="G218" s="272">
        <v>3500</v>
      </c>
      <c r="H218" s="226" t="s">
        <v>480</v>
      </c>
      <c r="I218" s="216" t="s">
        <v>481</v>
      </c>
      <c r="J218" s="278" t="s">
        <v>56</v>
      </c>
      <c r="K218" s="225"/>
      <c r="L218" s="227"/>
      <c r="M218" s="292"/>
    </row>
    <row r="219" spans="1:13" hidden="1">
      <c r="A219" s="257" t="s">
        <v>475</v>
      </c>
      <c r="B219" s="224" t="s">
        <v>2126</v>
      </c>
      <c r="C219" s="188">
        <v>43</v>
      </c>
      <c r="D219" s="225">
        <v>45798</v>
      </c>
      <c r="E219" s="189">
        <v>45810</v>
      </c>
      <c r="F219" s="257"/>
      <c r="G219" s="272">
        <f>8700-4000-4100</f>
        <v>600</v>
      </c>
      <c r="H219" s="226" t="s">
        <v>483</v>
      </c>
      <c r="I219" s="216" t="s">
        <v>484</v>
      </c>
      <c r="J219" s="278" t="s">
        <v>56</v>
      </c>
      <c r="K219" s="225">
        <v>45910</v>
      </c>
      <c r="L219" s="227" t="s">
        <v>485</v>
      </c>
      <c r="M219" s="292" t="s">
        <v>71</v>
      </c>
    </row>
    <row r="220" spans="1:13" hidden="1">
      <c r="A220" s="257" t="s">
        <v>475</v>
      </c>
      <c r="B220" s="224" t="s">
        <v>2126</v>
      </c>
      <c r="C220" s="188">
        <v>43</v>
      </c>
      <c r="D220" s="225">
        <v>45798</v>
      </c>
      <c r="E220" s="189">
        <v>45810</v>
      </c>
      <c r="F220" s="257" t="s">
        <v>16</v>
      </c>
      <c r="G220" s="272">
        <f>8700-G219</f>
        <v>8100</v>
      </c>
      <c r="H220" s="226" t="s">
        <v>483</v>
      </c>
      <c r="I220" s="216" t="s">
        <v>484</v>
      </c>
      <c r="J220" s="278" t="s">
        <v>56</v>
      </c>
      <c r="K220" s="225">
        <v>45910</v>
      </c>
      <c r="L220" s="227" t="s">
        <v>2127</v>
      </c>
      <c r="M220" s="292" t="s">
        <v>71</v>
      </c>
    </row>
    <row r="221" spans="1:13" hidden="1">
      <c r="A221" s="257" t="s">
        <v>316</v>
      </c>
      <c r="B221" s="194" t="s">
        <v>2128</v>
      </c>
      <c r="C221" s="188">
        <v>111</v>
      </c>
      <c r="D221" s="195">
        <v>45775</v>
      </c>
      <c r="E221" s="189">
        <v>45848</v>
      </c>
      <c r="F221" s="257" t="s">
        <v>16</v>
      </c>
      <c r="G221" s="272">
        <v>1058</v>
      </c>
      <c r="H221" s="190" t="s">
        <v>489</v>
      </c>
      <c r="I221" s="194" t="s">
        <v>490</v>
      </c>
      <c r="J221" s="278" t="s">
        <v>491</v>
      </c>
      <c r="K221" s="195">
        <v>45880</v>
      </c>
      <c r="L221" s="193">
        <v>1058</v>
      </c>
      <c r="M221" s="289" t="s">
        <v>19</v>
      </c>
    </row>
    <row r="222" spans="1:13" hidden="1">
      <c r="A222" s="260" t="s">
        <v>492</v>
      </c>
      <c r="B222" s="194" t="s">
        <v>2128</v>
      </c>
      <c r="C222" s="188">
        <v>111</v>
      </c>
      <c r="D222" s="195">
        <v>45775</v>
      </c>
      <c r="E222" s="189">
        <v>45879</v>
      </c>
      <c r="F222" s="257" t="s">
        <v>16</v>
      </c>
      <c r="G222" s="272">
        <v>1058</v>
      </c>
      <c r="H222" s="190" t="s">
        <v>489</v>
      </c>
      <c r="I222" s="194" t="s">
        <v>490</v>
      </c>
      <c r="J222" s="278" t="s">
        <v>491</v>
      </c>
      <c r="K222" s="195">
        <v>45910</v>
      </c>
      <c r="L222" s="193">
        <v>1058</v>
      </c>
      <c r="M222" s="289" t="s">
        <v>19</v>
      </c>
    </row>
    <row r="223" spans="1:13" hidden="1">
      <c r="A223" s="257" t="s">
        <v>493</v>
      </c>
      <c r="B223" s="194" t="s">
        <v>2129</v>
      </c>
      <c r="C223" s="188">
        <v>11</v>
      </c>
      <c r="D223" s="195">
        <v>45698</v>
      </c>
      <c r="E223" s="189"/>
      <c r="F223" s="257" t="s">
        <v>16</v>
      </c>
      <c r="G223" s="272">
        <v>7139.52</v>
      </c>
      <c r="H223" s="190" t="s">
        <v>496</v>
      </c>
      <c r="I223" s="194" t="s">
        <v>312</v>
      </c>
      <c r="J223" s="278" t="s">
        <v>56</v>
      </c>
      <c r="K223" s="195"/>
      <c r="L223" s="193"/>
      <c r="M223" s="289"/>
    </row>
    <row r="224" spans="1:13" hidden="1">
      <c r="A224" s="257" t="s">
        <v>497</v>
      </c>
      <c r="B224" s="194" t="s">
        <v>2129</v>
      </c>
      <c r="C224" s="188">
        <v>43</v>
      </c>
      <c r="D224" s="195">
        <v>45897</v>
      </c>
      <c r="E224" s="189"/>
      <c r="F224" s="257" t="s">
        <v>16</v>
      </c>
      <c r="G224" s="272">
        <v>3000</v>
      </c>
      <c r="H224" s="190" t="s">
        <v>498</v>
      </c>
      <c r="I224" s="194" t="s">
        <v>499</v>
      </c>
      <c r="J224" s="278"/>
      <c r="K224" s="195"/>
      <c r="L224" s="193"/>
      <c r="M224" s="289"/>
    </row>
    <row r="225" spans="1:13" hidden="1">
      <c r="A225" s="257"/>
      <c r="B225" s="194" t="s">
        <v>2129</v>
      </c>
      <c r="C225" s="188" t="s">
        <v>4097</v>
      </c>
      <c r="D225" s="195"/>
      <c r="E225" s="189"/>
      <c r="F225" s="257" t="s">
        <v>16</v>
      </c>
      <c r="G225" s="272">
        <v>900</v>
      </c>
      <c r="H225" s="249"/>
      <c r="I225" s="194"/>
      <c r="J225" s="278"/>
      <c r="K225" s="195"/>
      <c r="L225" s="193"/>
      <c r="M225" s="289"/>
    </row>
    <row r="226" spans="1:13" hidden="1">
      <c r="A226" s="257"/>
      <c r="B226" s="194" t="s">
        <v>2129</v>
      </c>
      <c r="C226" s="188" t="s">
        <v>4097</v>
      </c>
      <c r="D226" s="195"/>
      <c r="E226" s="189"/>
      <c r="F226" s="257"/>
      <c r="G226" s="272">
        <f>2500-G225</f>
        <v>1600</v>
      </c>
      <c r="H226" s="194" t="s">
        <v>499</v>
      </c>
      <c r="I226" s="276" t="s">
        <v>2726</v>
      </c>
      <c r="J226" s="195"/>
      <c r="K226" s="193"/>
      <c r="L226" s="194"/>
      <c r="M226" s="289"/>
    </row>
    <row r="227" spans="1:13" hidden="1">
      <c r="A227" s="257" t="s">
        <v>500</v>
      </c>
      <c r="B227" s="216" t="s">
        <v>2129</v>
      </c>
      <c r="C227" s="188" t="s">
        <v>501</v>
      </c>
      <c r="D227" s="203">
        <v>45910</v>
      </c>
      <c r="E227" s="189"/>
      <c r="F227" s="257" t="s">
        <v>16</v>
      </c>
      <c r="G227" s="272">
        <v>-3000</v>
      </c>
      <c r="H227" s="222" t="s">
        <v>502</v>
      </c>
      <c r="I227" s="216" t="s">
        <v>503</v>
      </c>
      <c r="J227" s="278"/>
      <c r="K227" s="195"/>
      <c r="L227" s="193"/>
      <c r="M227" s="289"/>
    </row>
    <row r="228" spans="1:13" hidden="1">
      <c r="A228" s="257" t="s">
        <v>13</v>
      </c>
      <c r="B228" s="194" t="s">
        <v>2130</v>
      </c>
      <c r="C228" s="188">
        <v>6001212656</v>
      </c>
      <c r="D228" s="195">
        <v>45835</v>
      </c>
      <c r="E228" s="189">
        <v>45869</v>
      </c>
      <c r="F228" s="257" t="s">
        <v>16</v>
      </c>
      <c r="G228" s="272">
        <v>36.659999999999997</v>
      </c>
      <c r="H228" s="190" t="s">
        <v>506</v>
      </c>
      <c r="I228" s="194" t="s">
        <v>279</v>
      </c>
      <c r="J228" s="278" t="s">
        <v>150</v>
      </c>
      <c r="K228" s="192">
        <v>45869</v>
      </c>
      <c r="L228" s="193">
        <v>36.659999999999997</v>
      </c>
      <c r="M228" s="289" t="s">
        <v>19</v>
      </c>
    </row>
    <row r="229" spans="1:13" hidden="1">
      <c r="A229" s="257" t="s">
        <v>13</v>
      </c>
      <c r="B229" s="194" t="s">
        <v>2130</v>
      </c>
      <c r="C229" s="188">
        <v>6001362155</v>
      </c>
      <c r="D229" s="195">
        <v>45929</v>
      </c>
      <c r="E229" s="189">
        <v>45961</v>
      </c>
      <c r="F229" s="257" t="s">
        <v>16</v>
      </c>
      <c r="G229" s="272">
        <v>36.659999999999997</v>
      </c>
      <c r="H229" s="190" t="s">
        <v>508</v>
      </c>
      <c r="I229" s="194" t="s">
        <v>279</v>
      </c>
      <c r="J229" s="278" t="s">
        <v>150</v>
      </c>
      <c r="K229" s="207">
        <v>45961</v>
      </c>
      <c r="L229" s="193">
        <v>36.659999999999997</v>
      </c>
      <c r="M229" s="289" t="s">
        <v>509</v>
      </c>
    </row>
    <row r="230" spans="1:13" hidden="1">
      <c r="A230" s="257" t="s">
        <v>510</v>
      </c>
      <c r="B230" s="187" t="s">
        <v>2131</v>
      </c>
      <c r="C230" s="188" t="s">
        <v>511</v>
      </c>
      <c r="D230" s="189">
        <v>45988</v>
      </c>
      <c r="E230" s="189">
        <v>46022</v>
      </c>
      <c r="F230" s="257" t="s">
        <v>16</v>
      </c>
      <c r="G230" s="272">
        <v>111.58</v>
      </c>
      <c r="H230" s="190"/>
      <c r="I230" s="187" t="s">
        <v>512</v>
      </c>
      <c r="J230" s="278" t="s">
        <v>150</v>
      </c>
      <c r="K230" s="192">
        <v>46022</v>
      </c>
      <c r="L230" s="193">
        <v>111.58</v>
      </c>
      <c r="M230" s="289" t="s">
        <v>509</v>
      </c>
    </row>
    <row r="231" spans="1:13" hidden="1">
      <c r="A231" s="257" t="s">
        <v>316</v>
      </c>
      <c r="B231" s="194" t="s">
        <v>2132</v>
      </c>
      <c r="C231" s="188">
        <v>147</v>
      </c>
      <c r="D231" s="195">
        <v>45675</v>
      </c>
      <c r="E231" s="189">
        <v>45675</v>
      </c>
      <c r="F231" s="257" t="s">
        <v>16</v>
      </c>
      <c r="G231" s="272">
        <v>26</v>
      </c>
      <c r="H231" s="190" t="s">
        <v>515</v>
      </c>
      <c r="I231" s="194" t="s">
        <v>516</v>
      </c>
      <c r="J231" s="278"/>
      <c r="K231" s="192"/>
      <c r="L231" s="193"/>
      <c r="M231" s="289"/>
    </row>
    <row r="232" spans="1:13" hidden="1">
      <c r="A232" s="261" t="s">
        <v>316</v>
      </c>
      <c r="B232" s="194" t="s">
        <v>2132</v>
      </c>
      <c r="C232" s="188">
        <v>694</v>
      </c>
      <c r="D232" s="195">
        <v>45734</v>
      </c>
      <c r="F232" s="268" t="s">
        <v>16</v>
      </c>
      <c r="G232" s="273">
        <v>26</v>
      </c>
      <c r="H232" s="190" t="s">
        <v>518</v>
      </c>
      <c r="I232" s="289" t="s">
        <v>519</v>
      </c>
      <c r="J232" s="300"/>
      <c r="K232" s="192"/>
      <c r="M232" s="289"/>
    </row>
    <row r="233" spans="1:13" hidden="1">
      <c r="A233" s="257" t="s">
        <v>316</v>
      </c>
      <c r="B233" s="194" t="s">
        <v>2132</v>
      </c>
      <c r="C233" s="188">
        <v>770</v>
      </c>
      <c r="D233" s="195">
        <v>45738</v>
      </c>
      <c r="E233" s="189"/>
      <c r="F233" s="257" t="s">
        <v>16</v>
      </c>
      <c r="G233" s="272">
        <v>39</v>
      </c>
      <c r="H233" s="190" t="s">
        <v>521</v>
      </c>
      <c r="I233" s="194" t="s">
        <v>42</v>
      </c>
      <c r="J233" s="278"/>
      <c r="K233" s="192"/>
      <c r="L233" s="193"/>
      <c r="M233" s="289"/>
    </row>
    <row r="234" spans="1:13" hidden="1">
      <c r="A234" s="257" t="s">
        <v>316</v>
      </c>
      <c r="B234" s="194" t="s">
        <v>2132</v>
      </c>
      <c r="C234" s="188">
        <v>822</v>
      </c>
      <c r="D234" s="195">
        <v>45745</v>
      </c>
      <c r="E234" s="189"/>
      <c r="F234" s="257" t="s">
        <v>16</v>
      </c>
      <c r="G234" s="272">
        <v>26</v>
      </c>
      <c r="H234" s="190" t="s">
        <v>523</v>
      </c>
      <c r="I234" s="194" t="s">
        <v>42</v>
      </c>
      <c r="J234" s="278"/>
      <c r="K234" s="192"/>
      <c r="L234" s="193"/>
      <c r="M234" s="289"/>
    </row>
    <row r="235" spans="1:13" hidden="1">
      <c r="A235" s="257" t="s">
        <v>316</v>
      </c>
      <c r="B235" s="194" t="s">
        <v>2132</v>
      </c>
      <c r="C235" s="188">
        <v>891</v>
      </c>
      <c r="D235" s="195">
        <v>45752</v>
      </c>
      <c r="E235" s="189"/>
      <c r="F235" s="257" t="s">
        <v>16</v>
      </c>
      <c r="G235" s="272">
        <v>26</v>
      </c>
      <c r="H235" s="190" t="s">
        <v>525</v>
      </c>
      <c r="I235" s="194" t="s">
        <v>42</v>
      </c>
      <c r="J235" s="278"/>
      <c r="K235" s="192"/>
      <c r="L235" s="193"/>
      <c r="M235" s="289"/>
    </row>
    <row r="236" spans="1:13" hidden="1">
      <c r="A236" s="257" t="s">
        <v>316</v>
      </c>
      <c r="B236" s="194" t="s">
        <v>2132</v>
      </c>
      <c r="C236" s="188">
        <v>926</v>
      </c>
      <c r="D236" s="195">
        <v>45757</v>
      </c>
      <c r="E236" s="189"/>
      <c r="F236" s="257" t="s">
        <v>16</v>
      </c>
      <c r="G236" s="272">
        <v>26</v>
      </c>
      <c r="H236" s="190" t="s">
        <v>527</v>
      </c>
      <c r="I236" s="194" t="s">
        <v>42</v>
      </c>
      <c r="J236" s="278"/>
      <c r="K236" s="192"/>
      <c r="L236" s="193"/>
      <c r="M236" s="289"/>
    </row>
    <row r="237" spans="1:13" hidden="1">
      <c r="A237" s="257" t="s">
        <v>316</v>
      </c>
      <c r="B237" s="194" t="s">
        <v>2132</v>
      </c>
      <c r="C237" s="188">
        <v>936</v>
      </c>
      <c r="D237" s="195">
        <v>45758</v>
      </c>
      <c r="E237" s="189"/>
      <c r="F237" s="257" t="s">
        <v>16</v>
      </c>
      <c r="G237" s="272">
        <v>52</v>
      </c>
      <c r="H237" s="190" t="s">
        <v>529</v>
      </c>
      <c r="I237" s="194" t="s">
        <v>42</v>
      </c>
      <c r="J237" s="278"/>
      <c r="K237" s="192"/>
      <c r="L237" s="193"/>
      <c r="M237" s="289"/>
    </row>
    <row r="238" spans="1:13" hidden="1">
      <c r="A238" s="257" t="s">
        <v>316</v>
      </c>
      <c r="B238" s="194" t="s">
        <v>2132</v>
      </c>
      <c r="C238" s="188">
        <v>948</v>
      </c>
      <c r="D238" s="195">
        <v>45762</v>
      </c>
      <c r="E238" s="189"/>
      <c r="F238" s="257" t="s">
        <v>16</v>
      </c>
      <c r="G238" s="272">
        <v>52</v>
      </c>
      <c r="H238" s="190" t="s">
        <v>531</v>
      </c>
      <c r="I238" s="194" t="s">
        <v>457</v>
      </c>
      <c r="J238" s="278"/>
      <c r="K238" s="192"/>
      <c r="L238" s="193"/>
      <c r="M238" s="289"/>
    </row>
    <row r="239" spans="1:13" hidden="1">
      <c r="A239" s="257" t="s">
        <v>316</v>
      </c>
      <c r="B239" s="194" t="s">
        <v>2132</v>
      </c>
      <c r="C239" s="188">
        <v>960</v>
      </c>
      <c r="D239" s="195">
        <v>45763</v>
      </c>
      <c r="E239" s="189"/>
      <c r="F239" s="257" t="s">
        <v>16</v>
      </c>
      <c r="G239" s="272">
        <v>52</v>
      </c>
      <c r="H239" s="190" t="s">
        <v>533</v>
      </c>
      <c r="I239" s="194" t="s">
        <v>457</v>
      </c>
      <c r="J239" s="278"/>
      <c r="K239" s="192"/>
      <c r="L239" s="193"/>
      <c r="M239" s="289"/>
    </row>
    <row r="240" spans="1:13" hidden="1">
      <c r="A240" s="257" t="s">
        <v>316</v>
      </c>
      <c r="B240" s="194" t="s">
        <v>2132</v>
      </c>
      <c r="C240" s="188">
        <v>974</v>
      </c>
      <c r="D240" s="195">
        <v>45764</v>
      </c>
      <c r="E240" s="189"/>
      <c r="F240" s="257" t="s">
        <v>16</v>
      </c>
      <c r="G240" s="272">
        <v>63</v>
      </c>
      <c r="H240" s="190" t="s">
        <v>535</v>
      </c>
      <c r="I240" s="194" t="s">
        <v>457</v>
      </c>
      <c r="J240" s="278"/>
      <c r="K240" s="192"/>
      <c r="L240" s="193"/>
      <c r="M240" s="289"/>
    </row>
    <row r="241" spans="1:14" hidden="1">
      <c r="A241" s="257" t="s">
        <v>316</v>
      </c>
      <c r="B241" s="194" t="s">
        <v>2132</v>
      </c>
      <c r="C241" s="188">
        <v>987</v>
      </c>
      <c r="D241" s="195">
        <v>45765</v>
      </c>
      <c r="E241" s="189"/>
      <c r="F241" s="257" t="s">
        <v>16</v>
      </c>
      <c r="G241" s="272">
        <v>52</v>
      </c>
      <c r="H241" s="190" t="s">
        <v>537</v>
      </c>
      <c r="I241" s="194" t="s">
        <v>457</v>
      </c>
      <c r="J241" s="278"/>
      <c r="K241" s="192"/>
      <c r="L241" s="193"/>
      <c r="M241" s="289"/>
    </row>
    <row r="242" spans="1:14" hidden="1">
      <c r="A242" s="257" t="s">
        <v>316</v>
      </c>
      <c r="B242" s="194" t="s">
        <v>2132</v>
      </c>
      <c r="C242" s="188">
        <v>1105</v>
      </c>
      <c r="D242" s="195">
        <v>45784</v>
      </c>
      <c r="E242" s="189"/>
      <c r="F242" s="257" t="s">
        <v>16</v>
      </c>
      <c r="G242" s="272">
        <v>26</v>
      </c>
      <c r="H242" s="190" t="s">
        <v>539</v>
      </c>
      <c r="I242" s="194" t="s">
        <v>457</v>
      </c>
      <c r="J242" s="278"/>
      <c r="K242" s="192"/>
      <c r="L242" s="193"/>
      <c r="M242" s="289"/>
    </row>
    <row r="243" spans="1:14" hidden="1">
      <c r="A243" s="257" t="s">
        <v>316</v>
      </c>
      <c r="B243" s="194" t="s">
        <v>2132</v>
      </c>
      <c r="C243" s="188">
        <v>1115</v>
      </c>
      <c r="D243" s="195">
        <v>45785</v>
      </c>
      <c r="E243" s="189"/>
      <c r="F243" s="257" t="s">
        <v>16</v>
      </c>
      <c r="G243" s="272">
        <v>26</v>
      </c>
      <c r="H243" s="190" t="s">
        <v>541</v>
      </c>
      <c r="I243" s="194" t="s">
        <v>457</v>
      </c>
      <c r="J243" s="278"/>
      <c r="K243" s="192"/>
      <c r="L243" s="193"/>
      <c r="M243" s="289"/>
    </row>
    <row r="244" spans="1:14" hidden="1">
      <c r="A244" s="257" t="s">
        <v>316</v>
      </c>
      <c r="B244" s="194" t="s">
        <v>2132</v>
      </c>
      <c r="C244" s="188">
        <v>1164</v>
      </c>
      <c r="D244" s="195">
        <v>45790</v>
      </c>
      <c r="E244" s="189"/>
      <c r="F244" s="257" t="s">
        <v>16</v>
      </c>
      <c r="G244" s="272">
        <v>39</v>
      </c>
      <c r="H244" s="190" t="s">
        <v>543</v>
      </c>
      <c r="I244" s="194" t="s">
        <v>42</v>
      </c>
      <c r="J244" s="278"/>
      <c r="K244" s="192"/>
      <c r="L244" s="193"/>
      <c r="M244" s="289"/>
    </row>
    <row r="245" spans="1:14" hidden="1">
      <c r="A245" s="257" t="s">
        <v>316</v>
      </c>
      <c r="B245" s="194" t="s">
        <v>2132</v>
      </c>
      <c r="C245" s="188">
        <v>1180</v>
      </c>
      <c r="D245" s="195">
        <v>45791</v>
      </c>
      <c r="E245" s="189"/>
      <c r="F245" s="257" t="s">
        <v>16</v>
      </c>
      <c r="G245" s="272">
        <v>39</v>
      </c>
      <c r="H245" s="190" t="s">
        <v>545</v>
      </c>
      <c r="I245" s="194" t="s">
        <v>42</v>
      </c>
      <c r="J245" s="278"/>
      <c r="K245" s="192"/>
      <c r="L245" s="193"/>
      <c r="M245" s="289"/>
    </row>
    <row r="246" spans="1:14" hidden="1">
      <c r="A246" s="257" t="s">
        <v>316</v>
      </c>
      <c r="B246" s="194" t="s">
        <v>2132</v>
      </c>
      <c r="C246" s="188">
        <v>1365</v>
      </c>
      <c r="D246" s="195">
        <v>45808</v>
      </c>
      <c r="E246" s="189"/>
      <c r="F246" s="257" t="s">
        <v>16</v>
      </c>
      <c r="G246" s="272">
        <v>13</v>
      </c>
      <c r="H246" s="190" t="s">
        <v>547</v>
      </c>
      <c r="I246" s="194" t="s">
        <v>42</v>
      </c>
      <c r="J246" s="278"/>
      <c r="K246" s="192"/>
      <c r="L246" s="193"/>
      <c r="M246" s="289"/>
      <c r="N246" s="60"/>
    </row>
    <row r="247" spans="1:14" hidden="1">
      <c r="A247" s="257" t="s">
        <v>316</v>
      </c>
      <c r="B247" s="194" t="s">
        <v>2132</v>
      </c>
      <c r="C247" s="188">
        <v>1653</v>
      </c>
      <c r="D247" s="195">
        <v>45839</v>
      </c>
      <c r="E247" s="189"/>
      <c r="F247" s="257" t="s">
        <v>16</v>
      </c>
      <c r="G247" s="272">
        <v>78</v>
      </c>
      <c r="H247" s="190" t="s">
        <v>549</v>
      </c>
      <c r="I247" s="194" t="s">
        <v>42</v>
      </c>
      <c r="J247" s="278"/>
      <c r="K247" s="192"/>
      <c r="L247" s="193"/>
      <c r="M247" s="289"/>
    </row>
    <row r="248" spans="1:14" hidden="1">
      <c r="A248" s="257" t="s">
        <v>316</v>
      </c>
      <c r="B248" s="194" t="s">
        <v>2132</v>
      </c>
      <c r="C248" s="188">
        <v>1647</v>
      </c>
      <c r="D248" s="195">
        <v>45839</v>
      </c>
      <c r="E248" s="189"/>
      <c r="F248" s="257" t="s">
        <v>16</v>
      </c>
      <c r="G248" s="272">
        <v>78</v>
      </c>
      <c r="H248" s="190" t="s">
        <v>551</v>
      </c>
      <c r="I248" s="194" t="s">
        <v>42</v>
      </c>
      <c r="J248" s="278"/>
      <c r="K248" s="192"/>
      <c r="L248" s="193"/>
      <c r="M248" s="289"/>
      <c r="N248" s="60"/>
    </row>
    <row r="249" spans="1:14" hidden="1">
      <c r="A249" s="257" t="s">
        <v>316</v>
      </c>
      <c r="B249" s="216" t="s">
        <v>2132</v>
      </c>
      <c r="C249" s="188" t="s">
        <v>552</v>
      </c>
      <c r="D249" s="203">
        <v>45839</v>
      </c>
      <c r="E249" s="189"/>
      <c r="F249" s="257" t="s">
        <v>16</v>
      </c>
      <c r="G249" s="272">
        <v>-78</v>
      </c>
      <c r="H249" s="222" t="s">
        <v>553</v>
      </c>
      <c r="I249" s="216" t="s">
        <v>554</v>
      </c>
      <c r="J249" s="278"/>
      <c r="K249" s="192"/>
      <c r="L249" s="193"/>
      <c r="M249" s="289"/>
      <c r="N249" s="60"/>
    </row>
    <row r="250" spans="1:14" hidden="1">
      <c r="A250" s="257" t="s">
        <v>316</v>
      </c>
      <c r="B250" s="187" t="s">
        <v>2132</v>
      </c>
      <c r="C250" s="188">
        <v>2180</v>
      </c>
      <c r="D250" s="189">
        <v>45919</v>
      </c>
      <c r="E250" s="189"/>
      <c r="F250" s="257" t="s">
        <v>16</v>
      </c>
      <c r="G250" s="272">
        <v>26</v>
      </c>
      <c r="H250" s="190" t="s">
        <v>556</v>
      </c>
      <c r="I250" s="187" t="s">
        <v>457</v>
      </c>
      <c r="J250" s="278"/>
      <c r="K250" s="192"/>
      <c r="L250" s="193"/>
      <c r="M250" s="289"/>
    </row>
    <row r="251" spans="1:14" hidden="1">
      <c r="A251" s="257"/>
      <c r="B251" s="194" t="s">
        <v>2133</v>
      </c>
      <c r="C251" s="188" t="s">
        <v>2067</v>
      </c>
      <c r="D251" s="195"/>
      <c r="E251" s="189"/>
      <c r="F251" s="257"/>
      <c r="G251" s="272">
        <f>24109.85-7000-2000-2000</f>
        <v>13109.849999999999</v>
      </c>
      <c r="H251" s="211"/>
      <c r="I251" s="194"/>
      <c r="J251" s="278"/>
      <c r="K251" s="192"/>
      <c r="L251" s="193"/>
      <c r="M251" s="289"/>
    </row>
    <row r="252" spans="1:14" hidden="1">
      <c r="A252" s="260" t="s">
        <v>557</v>
      </c>
      <c r="B252" s="187" t="s">
        <v>2134</v>
      </c>
      <c r="C252" s="188"/>
      <c r="D252" s="189"/>
      <c r="E252" s="189"/>
      <c r="F252" s="257" t="s">
        <v>49</v>
      </c>
      <c r="G252" s="272">
        <v>2000</v>
      </c>
      <c r="H252" s="190"/>
      <c r="I252" s="187"/>
      <c r="J252" s="278" t="s">
        <v>83</v>
      </c>
      <c r="K252" s="192">
        <v>45957</v>
      </c>
      <c r="L252" s="193">
        <v>2000</v>
      </c>
      <c r="M252" s="289" t="s">
        <v>246</v>
      </c>
    </row>
    <row r="253" spans="1:14" hidden="1">
      <c r="A253" s="196" t="s">
        <v>557</v>
      </c>
      <c r="B253" s="196" t="s">
        <v>558</v>
      </c>
      <c r="C253" s="192" t="s">
        <v>4151</v>
      </c>
      <c r="D253" s="192"/>
      <c r="E253" s="192">
        <v>45957</v>
      </c>
      <c r="F253" s="196" t="s">
        <v>16</v>
      </c>
      <c r="G253" s="201">
        <v>2000</v>
      </c>
      <c r="H253" s="196" t="s">
        <v>4152</v>
      </c>
      <c r="I253" s="196" t="s">
        <v>83</v>
      </c>
      <c r="J253" s="192">
        <v>45957</v>
      </c>
      <c r="K253" s="201">
        <v>2000</v>
      </c>
      <c r="L253" s="196" t="s">
        <v>246</v>
      </c>
      <c r="M253" s="289"/>
    </row>
    <row r="254" spans="1:14" hidden="1">
      <c r="A254" s="196" t="s">
        <v>557</v>
      </c>
      <c r="B254" s="196" t="s">
        <v>558</v>
      </c>
      <c r="C254" s="192" t="s">
        <v>4151</v>
      </c>
      <c r="D254" s="192"/>
      <c r="E254" s="192">
        <v>46041</v>
      </c>
      <c r="F254" s="196" t="s">
        <v>16</v>
      </c>
      <c r="G254" s="201">
        <v>2000</v>
      </c>
      <c r="H254" s="196" t="s">
        <v>4152</v>
      </c>
      <c r="I254" s="196" t="s">
        <v>83</v>
      </c>
      <c r="J254" s="192">
        <v>46041</v>
      </c>
      <c r="K254" s="201">
        <v>2000</v>
      </c>
      <c r="L254" s="196" t="s">
        <v>19</v>
      </c>
      <c r="M254" s="289"/>
    </row>
    <row r="255" spans="1:14" hidden="1">
      <c r="A255" s="257" t="s">
        <v>316</v>
      </c>
      <c r="B255" s="194" t="s">
        <v>2135</v>
      </c>
      <c r="C255" s="188">
        <v>17</v>
      </c>
      <c r="D255" s="195">
        <v>45688</v>
      </c>
      <c r="E255" s="189">
        <v>45688</v>
      </c>
      <c r="F255" s="257" t="s">
        <v>16</v>
      </c>
      <c r="G255" s="272">
        <v>5000</v>
      </c>
      <c r="H255" s="190" t="s">
        <v>561</v>
      </c>
      <c r="I255" s="194" t="s">
        <v>312</v>
      </c>
      <c r="J255" s="278" t="s">
        <v>56</v>
      </c>
      <c r="K255" s="192">
        <v>45712</v>
      </c>
      <c r="L255" s="193">
        <v>5000</v>
      </c>
      <c r="M255" s="289" t="s">
        <v>111</v>
      </c>
    </row>
    <row r="256" spans="1:14" hidden="1">
      <c r="A256" s="257" t="s">
        <v>316</v>
      </c>
      <c r="B256" s="194" t="s">
        <v>2135</v>
      </c>
      <c r="C256" s="188">
        <v>17</v>
      </c>
      <c r="D256" s="195">
        <v>45688</v>
      </c>
      <c r="E256" s="189">
        <v>45688</v>
      </c>
      <c r="F256" s="257" t="s">
        <v>16</v>
      </c>
      <c r="G256" s="272">
        <f>9000-G255</f>
        <v>4000</v>
      </c>
      <c r="H256" s="190" t="s">
        <v>561</v>
      </c>
      <c r="I256" s="194" t="s">
        <v>312</v>
      </c>
      <c r="J256" s="278" t="s">
        <v>56</v>
      </c>
      <c r="K256" s="192">
        <v>45791</v>
      </c>
      <c r="L256" s="193">
        <v>4000</v>
      </c>
      <c r="M256" s="289" t="s">
        <v>345</v>
      </c>
    </row>
    <row r="257" spans="1:14" hidden="1">
      <c r="A257" s="257" t="s">
        <v>316</v>
      </c>
      <c r="B257" s="194" t="s">
        <v>2136</v>
      </c>
      <c r="C257" s="188" t="s">
        <v>563</v>
      </c>
      <c r="D257" s="195">
        <v>45687</v>
      </c>
      <c r="E257" s="189">
        <v>45687</v>
      </c>
      <c r="F257" s="257" t="s">
        <v>16</v>
      </c>
      <c r="G257" s="272">
        <v>2.8</v>
      </c>
      <c r="H257" s="190" t="s">
        <v>564</v>
      </c>
      <c r="I257" s="194" t="s">
        <v>565</v>
      </c>
      <c r="J257" s="278" t="s">
        <v>150</v>
      </c>
      <c r="K257" s="195">
        <v>45687</v>
      </c>
      <c r="L257" s="193">
        <v>2.8</v>
      </c>
      <c r="M257" s="289" t="s">
        <v>151</v>
      </c>
    </row>
    <row r="258" spans="1:14" hidden="1">
      <c r="A258" s="257">
        <v>2024</v>
      </c>
      <c r="B258" s="194" t="s">
        <v>2137</v>
      </c>
      <c r="C258" s="188" t="s">
        <v>568</v>
      </c>
      <c r="D258" s="195">
        <v>45637</v>
      </c>
      <c r="E258" s="189">
        <v>45657</v>
      </c>
      <c r="F258" s="257" t="s">
        <v>16</v>
      </c>
      <c r="G258" s="272">
        <v>272.72000000000003</v>
      </c>
      <c r="H258" s="200" t="s">
        <v>569</v>
      </c>
      <c r="I258" s="194" t="s">
        <v>312</v>
      </c>
      <c r="J258" s="278" t="s">
        <v>570</v>
      </c>
      <c r="K258" s="192"/>
      <c r="L258" s="193"/>
      <c r="M258" s="289" t="s">
        <v>571</v>
      </c>
      <c r="N258" s="11"/>
    </row>
    <row r="259" spans="1:14" hidden="1">
      <c r="A259" s="257" t="s">
        <v>2138</v>
      </c>
      <c r="B259" s="194" t="s">
        <v>2137</v>
      </c>
      <c r="C259" s="188" t="s">
        <v>572</v>
      </c>
      <c r="D259" s="195">
        <v>45670</v>
      </c>
      <c r="E259" s="189">
        <v>45691</v>
      </c>
      <c r="F259" s="257" t="s">
        <v>16</v>
      </c>
      <c r="G259" s="272">
        <v>301.44</v>
      </c>
      <c r="H259" s="190" t="s">
        <v>573</v>
      </c>
      <c r="I259" s="194" t="s">
        <v>342</v>
      </c>
      <c r="J259" s="278" t="s">
        <v>570</v>
      </c>
      <c r="K259" s="192"/>
      <c r="L259" s="193"/>
      <c r="M259" s="289" t="s">
        <v>571</v>
      </c>
    </row>
    <row r="260" spans="1:14" hidden="1">
      <c r="A260" s="257" t="s">
        <v>2138</v>
      </c>
      <c r="B260" s="194" t="s">
        <v>2137</v>
      </c>
      <c r="C260" s="188" t="s">
        <v>574</v>
      </c>
      <c r="D260" s="195">
        <v>45698</v>
      </c>
      <c r="E260" s="189">
        <v>45719</v>
      </c>
      <c r="F260" s="257" t="s">
        <v>16</v>
      </c>
      <c r="G260" s="272">
        <v>32.04</v>
      </c>
      <c r="H260" s="190" t="s">
        <v>575</v>
      </c>
      <c r="I260" s="194" t="s">
        <v>312</v>
      </c>
      <c r="J260" s="278" t="s">
        <v>570</v>
      </c>
      <c r="K260" s="192"/>
      <c r="L260" s="193"/>
      <c r="M260" s="289" t="s">
        <v>571</v>
      </c>
    </row>
    <row r="261" spans="1:14" hidden="1">
      <c r="A261" s="260" t="s">
        <v>576</v>
      </c>
      <c r="B261" s="194" t="s">
        <v>2137</v>
      </c>
      <c r="C261" s="188" t="s">
        <v>2139</v>
      </c>
      <c r="D261" s="195"/>
      <c r="E261" s="189"/>
      <c r="F261" s="257" t="s">
        <v>49</v>
      </c>
      <c r="G261" s="272">
        <v>400</v>
      </c>
      <c r="H261" s="190"/>
      <c r="I261" s="194" t="s">
        <v>577</v>
      </c>
      <c r="J261" s="278" t="s">
        <v>83</v>
      </c>
      <c r="K261" s="192">
        <v>45957</v>
      </c>
      <c r="L261" s="193">
        <v>400</v>
      </c>
      <c r="M261" s="289" t="s">
        <v>246</v>
      </c>
    </row>
    <row r="262" spans="1:14" hidden="1">
      <c r="A262" s="257" t="s">
        <v>90</v>
      </c>
      <c r="B262" s="194" t="s">
        <v>2140</v>
      </c>
      <c r="C262" s="188" t="s">
        <v>578</v>
      </c>
      <c r="D262" s="195">
        <v>46001</v>
      </c>
      <c r="E262" s="189">
        <v>46021</v>
      </c>
      <c r="F262" s="257" t="s">
        <v>16</v>
      </c>
      <c r="G262" s="272">
        <v>48.78</v>
      </c>
      <c r="H262" s="196"/>
      <c r="I262" s="194" t="s">
        <v>579</v>
      </c>
      <c r="J262" s="278" t="s">
        <v>4250</v>
      </c>
      <c r="K262" s="192">
        <v>46051</v>
      </c>
      <c r="L262" s="193">
        <v>48.78</v>
      </c>
      <c r="M262" s="289"/>
    </row>
    <row r="263" spans="1:14" hidden="1">
      <c r="A263" s="257"/>
      <c r="B263" s="194" t="s">
        <v>2141</v>
      </c>
      <c r="C263" s="188" t="s">
        <v>741</v>
      </c>
      <c r="D263" s="195">
        <v>45748</v>
      </c>
      <c r="E263" s="189"/>
      <c r="F263" s="257" t="s">
        <v>16</v>
      </c>
      <c r="G263" s="272">
        <v>77</v>
      </c>
      <c r="H263" s="200" t="s">
        <v>742</v>
      </c>
      <c r="I263" s="194"/>
      <c r="J263" s="278" t="s">
        <v>150</v>
      </c>
      <c r="K263" s="192">
        <v>45776</v>
      </c>
      <c r="L263" s="193"/>
      <c r="M263" s="289"/>
    </row>
    <row r="264" spans="1:14" hidden="1">
      <c r="A264" s="257"/>
      <c r="B264" s="194" t="s">
        <v>2141</v>
      </c>
      <c r="C264" s="188" t="s">
        <v>743</v>
      </c>
      <c r="D264" s="195">
        <v>45870</v>
      </c>
      <c r="E264" s="189"/>
      <c r="F264" s="257" t="s">
        <v>16</v>
      </c>
      <c r="G264" s="272">
        <v>77</v>
      </c>
      <c r="H264" s="200" t="s">
        <v>744</v>
      </c>
      <c r="I264" s="194"/>
      <c r="J264" s="278" t="s">
        <v>150</v>
      </c>
      <c r="K264" s="192"/>
      <c r="L264" s="193"/>
      <c r="M264" s="289"/>
    </row>
    <row r="265" spans="1:14" hidden="1">
      <c r="A265" s="257" t="s">
        <v>745</v>
      </c>
      <c r="B265" s="194" t="s">
        <v>2141</v>
      </c>
      <c r="C265" s="188" t="s">
        <v>746</v>
      </c>
      <c r="D265" s="195">
        <v>45992</v>
      </c>
      <c r="E265" s="189">
        <v>46022</v>
      </c>
      <c r="F265" s="257" t="s">
        <v>16</v>
      </c>
      <c r="G265" s="272">
        <v>81</v>
      </c>
      <c r="H265" s="196"/>
      <c r="I265" s="194" t="s">
        <v>747</v>
      </c>
      <c r="J265" s="278" t="s">
        <v>150</v>
      </c>
      <c r="K265" s="192">
        <v>46022</v>
      </c>
      <c r="L265" s="193">
        <v>81</v>
      </c>
      <c r="M265" s="289" t="s">
        <v>71</v>
      </c>
    </row>
    <row r="266" spans="1:14" hidden="1">
      <c r="A266" s="257" t="s">
        <v>745</v>
      </c>
      <c r="B266" s="194" t="s">
        <v>740</v>
      </c>
      <c r="C266" s="188" t="s">
        <v>746</v>
      </c>
      <c r="D266" s="195">
        <v>45992</v>
      </c>
      <c r="E266" s="189">
        <v>46022</v>
      </c>
      <c r="F266" s="257" t="s">
        <v>16</v>
      </c>
      <c r="G266" s="272">
        <v>81</v>
      </c>
      <c r="H266" s="200"/>
      <c r="I266" s="194" t="s">
        <v>747</v>
      </c>
      <c r="J266" s="278" t="s">
        <v>150</v>
      </c>
      <c r="K266" s="192">
        <v>46022</v>
      </c>
      <c r="L266" s="193">
        <v>81</v>
      </c>
      <c r="M266" s="289" t="s">
        <v>100</v>
      </c>
      <c r="N266" s="178"/>
    </row>
    <row r="267" spans="1:14" hidden="1">
      <c r="A267" s="257"/>
      <c r="B267" s="194" t="s">
        <v>2142</v>
      </c>
      <c r="C267" s="188">
        <v>20</v>
      </c>
      <c r="D267" s="195">
        <v>45688</v>
      </c>
      <c r="E267" s="189">
        <v>45726</v>
      </c>
      <c r="F267" s="257" t="s">
        <v>16</v>
      </c>
      <c r="G267" s="272">
        <v>638.42999999999995</v>
      </c>
      <c r="H267" s="190" t="s">
        <v>582</v>
      </c>
      <c r="I267" s="194" t="s">
        <v>312</v>
      </c>
      <c r="J267" s="278" t="s">
        <v>66</v>
      </c>
      <c r="K267" s="192">
        <v>45730</v>
      </c>
      <c r="L267" s="193">
        <v>638.42999999999995</v>
      </c>
      <c r="M267" s="289" t="s">
        <v>111</v>
      </c>
    </row>
    <row r="268" spans="1:14" hidden="1">
      <c r="A268" s="257"/>
      <c r="B268" s="194" t="s">
        <v>2142</v>
      </c>
      <c r="C268" s="188">
        <v>106</v>
      </c>
      <c r="D268" s="195">
        <v>45716</v>
      </c>
      <c r="E268" s="189">
        <v>45757</v>
      </c>
      <c r="F268" s="257" t="s">
        <v>16</v>
      </c>
      <c r="G268" s="272">
        <v>489.71</v>
      </c>
      <c r="H268" s="190" t="s">
        <v>584</v>
      </c>
      <c r="I268" s="194" t="s">
        <v>436</v>
      </c>
      <c r="J268" s="278" t="s">
        <v>110</v>
      </c>
      <c r="K268" s="192">
        <v>45757</v>
      </c>
      <c r="L268" s="193">
        <f>G268</f>
        <v>489.71</v>
      </c>
      <c r="M268" s="289"/>
    </row>
    <row r="269" spans="1:14" hidden="1">
      <c r="A269" s="257"/>
      <c r="B269" s="194" t="s">
        <v>2142</v>
      </c>
      <c r="C269" s="188">
        <v>173</v>
      </c>
      <c r="D269" s="195">
        <v>45747</v>
      </c>
      <c r="E269" s="189"/>
      <c r="F269" s="257"/>
      <c r="G269" s="272">
        <v>573.77</v>
      </c>
      <c r="H269" s="190"/>
      <c r="I269" s="194"/>
      <c r="J269" s="278"/>
      <c r="K269" s="192"/>
      <c r="L269" s="193"/>
      <c r="M269" s="289"/>
    </row>
    <row r="270" spans="1:14" hidden="1">
      <c r="A270" s="257"/>
      <c r="B270" s="194" t="s">
        <v>2142</v>
      </c>
      <c r="C270" s="188">
        <v>287</v>
      </c>
      <c r="D270" s="195">
        <v>45808</v>
      </c>
      <c r="E270" s="189">
        <v>45848</v>
      </c>
      <c r="F270" s="257" t="s">
        <v>16</v>
      </c>
      <c r="G270" s="272">
        <v>1349.69</v>
      </c>
      <c r="H270" s="190" t="s">
        <v>587</v>
      </c>
      <c r="I270" s="194" t="s">
        <v>588</v>
      </c>
      <c r="J270" s="278" t="s">
        <v>110</v>
      </c>
      <c r="K270" s="192"/>
      <c r="L270" s="193"/>
      <c r="M270" s="289"/>
    </row>
    <row r="271" spans="1:14" hidden="1">
      <c r="A271" s="257"/>
      <c r="B271" s="194" t="s">
        <v>2142</v>
      </c>
      <c r="C271" s="188">
        <v>465</v>
      </c>
      <c r="D271" s="195">
        <v>45869</v>
      </c>
      <c r="E271" s="189">
        <v>45910</v>
      </c>
      <c r="F271" s="257" t="s">
        <v>16</v>
      </c>
      <c r="G271" s="272">
        <v>716.02</v>
      </c>
      <c r="H271" s="190" t="s">
        <v>591</v>
      </c>
      <c r="I271" s="194" t="s">
        <v>592</v>
      </c>
      <c r="J271" s="278" t="s">
        <v>110</v>
      </c>
      <c r="K271" s="192"/>
      <c r="L271" s="193"/>
      <c r="M271" s="289"/>
    </row>
    <row r="272" spans="1:14" hidden="1">
      <c r="A272" s="257"/>
      <c r="B272" s="194" t="s">
        <v>2143</v>
      </c>
      <c r="C272" s="188" t="s">
        <v>594</v>
      </c>
      <c r="D272" s="195">
        <v>45638</v>
      </c>
      <c r="E272" s="189">
        <v>45698</v>
      </c>
      <c r="F272" s="257" t="s">
        <v>16</v>
      </c>
      <c r="G272" s="272">
        <v>158.6</v>
      </c>
      <c r="H272" s="93" t="s">
        <v>595</v>
      </c>
      <c r="I272" s="289" t="s">
        <v>596</v>
      </c>
      <c r="J272" s="279" t="s">
        <v>597</v>
      </c>
      <c r="K272" s="192"/>
      <c r="L272" s="193"/>
      <c r="M272" s="289"/>
    </row>
    <row r="273" spans="1:13" hidden="1">
      <c r="A273" s="257"/>
      <c r="B273" s="194" t="s">
        <v>2143</v>
      </c>
      <c r="C273" s="188" t="s">
        <v>598</v>
      </c>
      <c r="D273" s="195">
        <v>45643</v>
      </c>
      <c r="E273" s="189">
        <v>45703</v>
      </c>
      <c r="F273" s="257" t="s">
        <v>16</v>
      </c>
      <c r="G273" s="272">
        <v>158.6</v>
      </c>
      <c r="H273" s="93" t="s">
        <v>599</v>
      </c>
      <c r="I273" s="194" t="s">
        <v>312</v>
      </c>
      <c r="J273" s="278" t="s">
        <v>56</v>
      </c>
      <c r="K273" s="192"/>
      <c r="L273" s="193"/>
      <c r="M273" s="289"/>
    </row>
    <row r="274" spans="1:13" hidden="1">
      <c r="A274" s="257"/>
      <c r="B274" s="194" t="s">
        <v>2143</v>
      </c>
      <c r="C274" s="188">
        <v>196</v>
      </c>
      <c r="D274" s="195">
        <v>45666</v>
      </c>
      <c r="E274" s="189">
        <v>45747</v>
      </c>
      <c r="F274" s="257" t="s">
        <v>16</v>
      </c>
      <c r="G274" s="272">
        <v>158.6</v>
      </c>
      <c r="H274" s="190" t="s">
        <v>601</v>
      </c>
      <c r="I274" s="194" t="s">
        <v>87</v>
      </c>
      <c r="J274" s="278" t="s">
        <v>56</v>
      </c>
      <c r="K274" s="192"/>
      <c r="L274" s="193"/>
      <c r="M274" s="289"/>
    </row>
    <row r="275" spans="1:13" hidden="1">
      <c r="A275" s="257"/>
      <c r="B275" s="194" t="s">
        <v>2143</v>
      </c>
      <c r="C275" s="188">
        <v>293</v>
      </c>
      <c r="D275" s="195">
        <v>45671</v>
      </c>
      <c r="E275" s="189">
        <v>45747</v>
      </c>
      <c r="F275" s="257" t="s">
        <v>16</v>
      </c>
      <c r="G275" s="272">
        <v>158.6</v>
      </c>
      <c r="H275" s="190" t="s">
        <v>603</v>
      </c>
      <c r="I275" s="194" t="s">
        <v>312</v>
      </c>
      <c r="J275" s="278" t="s">
        <v>56</v>
      </c>
      <c r="K275" s="192"/>
      <c r="L275" s="193"/>
      <c r="M275" s="289"/>
    </row>
    <row r="276" spans="1:13" hidden="1">
      <c r="A276" s="257"/>
      <c r="B276" s="194" t="s">
        <v>2143</v>
      </c>
      <c r="C276" s="188">
        <v>810</v>
      </c>
      <c r="D276" s="195">
        <v>45694</v>
      </c>
      <c r="E276" s="189"/>
      <c r="F276" s="257" t="s">
        <v>16</v>
      </c>
      <c r="G276" s="272">
        <v>158.6</v>
      </c>
      <c r="H276" s="190" t="s">
        <v>605</v>
      </c>
      <c r="I276" s="194" t="s">
        <v>87</v>
      </c>
      <c r="J276" s="278" t="s">
        <v>56</v>
      </c>
      <c r="K276" s="192"/>
      <c r="L276" s="193"/>
      <c r="M276" s="289"/>
    </row>
    <row r="277" spans="1:13" hidden="1">
      <c r="A277" s="257"/>
      <c r="B277" s="194" t="s">
        <v>2143</v>
      </c>
      <c r="C277" s="188">
        <v>905</v>
      </c>
      <c r="D277" s="195">
        <v>45699</v>
      </c>
      <c r="E277" s="189"/>
      <c r="F277" s="257" t="s">
        <v>16</v>
      </c>
      <c r="G277" s="272">
        <v>158.6</v>
      </c>
      <c r="H277" s="190" t="s">
        <v>607</v>
      </c>
      <c r="I277" s="194" t="s">
        <v>608</v>
      </c>
      <c r="J277" s="278" t="s">
        <v>56</v>
      </c>
      <c r="K277" s="192"/>
      <c r="L277" s="193"/>
      <c r="M277" s="289"/>
    </row>
    <row r="278" spans="1:13" hidden="1">
      <c r="A278" s="257"/>
      <c r="B278" s="194" t="s">
        <v>2143</v>
      </c>
      <c r="C278" s="188">
        <v>1426</v>
      </c>
      <c r="D278" s="195">
        <v>45722</v>
      </c>
      <c r="E278" s="189"/>
      <c r="F278" s="257" t="s">
        <v>16</v>
      </c>
      <c r="G278" s="272">
        <v>158.6</v>
      </c>
      <c r="H278" s="190" t="s">
        <v>610</v>
      </c>
      <c r="I278" s="194" t="s">
        <v>87</v>
      </c>
      <c r="J278" s="278" t="s">
        <v>66</v>
      </c>
      <c r="K278" s="192"/>
      <c r="L278" s="193"/>
      <c r="M278" s="289"/>
    </row>
    <row r="279" spans="1:13" hidden="1">
      <c r="A279" s="257"/>
      <c r="B279" s="194" t="s">
        <v>2143</v>
      </c>
      <c r="C279" s="188">
        <v>2078</v>
      </c>
      <c r="D279" s="195">
        <v>45750</v>
      </c>
      <c r="E279" s="189"/>
      <c r="F279" s="257" t="s">
        <v>16</v>
      </c>
      <c r="G279" s="272">
        <v>158.6</v>
      </c>
      <c r="H279" s="190" t="s">
        <v>612</v>
      </c>
      <c r="I279" s="194" t="s">
        <v>87</v>
      </c>
      <c r="J279" s="278" t="s">
        <v>56</v>
      </c>
      <c r="K279" s="192">
        <v>45971</v>
      </c>
      <c r="L279" s="193">
        <v>634.4</v>
      </c>
      <c r="M279" s="194" t="s">
        <v>71</v>
      </c>
    </row>
    <row r="280" spans="1:13" hidden="1">
      <c r="A280" s="257"/>
      <c r="B280" s="194" t="s">
        <v>2143</v>
      </c>
      <c r="C280" s="188">
        <v>2723</v>
      </c>
      <c r="D280" s="195">
        <v>45778</v>
      </c>
      <c r="E280" s="189"/>
      <c r="F280" s="257" t="s">
        <v>16</v>
      </c>
      <c r="G280" s="272">
        <v>158.6</v>
      </c>
      <c r="H280" s="190" t="s">
        <v>615</v>
      </c>
      <c r="I280" s="194" t="s">
        <v>87</v>
      </c>
      <c r="J280" s="278" t="s">
        <v>56</v>
      </c>
      <c r="K280" s="192">
        <v>45971</v>
      </c>
      <c r="L280" s="193">
        <v>634.4</v>
      </c>
      <c r="M280" s="194" t="s">
        <v>71</v>
      </c>
    </row>
    <row r="281" spans="1:13" hidden="1">
      <c r="A281" s="257"/>
      <c r="B281" s="194" t="s">
        <v>2143</v>
      </c>
      <c r="C281" s="188">
        <v>3394</v>
      </c>
      <c r="D281" s="195">
        <v>45806</v>
      </c>
      <c r="E281" s="189"/>
      <c r="F281" s="257" t="s">
        <v>16</v>
      </c>
      <c r="G281" s="272">
        <v>158.6</v>
      </c>
      <c r="H281" s="190" t="s">
        <v>617</v>
      </c>
      <c r="I281" s="194" t="s">
        <v>87</v>
      </c>
      <c r="J281" s="278" t="s">
        <v>56</v>
      </c>
      <c r="K281" s="192">
        <v>45971</v>
      </c>
      <c r="L281" s="193">
        <v>634.4</v>
      </c>
      <c r="M281" s="194" t="s">
        <v>71</v>
      </c>
    </row>
    <row r="282" spans="1:13" hidden="1">
      <c r="A282" s="257"/>
      <c r="B282" s="194" t="s">
        <v>2143</v>
      </c>
      <c r="C282" s="188">
        <v>4108</v>
      </c>
      <c r="D282" s="195">
        <v>45834</v>
      </c>
      <c r="E282" s="189"/>
      <c r="F282" s="257" t="s">
        <v>16</v>
      </c>
      <c r="G282" s="272">
        <v>158.6</v>
      </c>
      <c r="H282" s="190" t="s">
        <v>446</v>
      </c>
      <c r="I282" s="194" t="s">
        <v>436</v>
      </c>
      <c r="J282" s="278" t="s">
        <v>56</v>
      </c>
      <c r="K282" s="192">
        <v>45971</v>
      </c>
      <c r="L282" s="193">
        <v>634.4</v>
      </c>
      <c r="M282" s="194" t="s">
        <v>71</v>
      </c>
    </row>
    <row r="283" spans="1:13" hidden="1">
      <c r="A283" s="257"/>
      <c r="B283" s="194" t="s">
        <v>4091</v>
      </c>
      <c r="C283" s="188" t="s">
        <v>4092</v>
      </c>
      <c r="D283" s="195">
        <v>46022</v>
      </c>
      <c r="E283" s="189">
        <v>46022</v>
      </c>
      <c r="F283" s="257"/>
      <c r="G283" s="272">
        <v>7200</v>
      </c>
      <c r="H283" s="196"/>
      <c r="I283" s="303" t="s">
        <v>4093</v>
      </c>
      <c r="J283" s="278" t="s">
        <v>3314</v>
      </c>
      <c r="K283" s="195"/>
      <c r="L283" s="192">
        <v>46082</v>
      </c>
      <c r="M283" s="194"/>
    </row>
    <row r="284" spans="1:13" hidden="1">
      <c r="A284" s="257"/>
      <c r="B284" s="194" t="s">
        <v>2144</v>
      </c>
      <c r="C284" s="188" t="s">
        <v>620</v>
      </c>
      <c r="D284" s="195"/>
      <c r="E284" s="189"/>
      <c r="F284" s="257" t="s">
        <v>16</v>
      </c>
      <c r="G284" s="272">
        <f>6400</f>
        <v>6400</v>
      </c>
      <c r="H284" s="196"/>
      <c r="I284" s="234" t="s">
        <v>621</v>
      </c>
      <c r="J284" s="278" t="s">
        <v>622</v>
      </c>
      <c r="K284" s="192"/>
      <c r="L284" s="193"/>
      <c r="M284" s="194"/>
    </row>
    <row r="285" spans="1:13" hidden="1">
      <c r="A285" s="257"/>
      <c r="B285" s="194" t="s">
        <v>2144</v>
      </c>
      <c r="C285" s="188"/>
      <c r="D285" s="195"/>
      <c r="E285" s="189">
        <v>45713</v>
      </c>
      <c r="F285" s="257" t="s">
        <v>16</v>
      </c>
      <c r="G285" s="272">
        <v>2757.9</v>
      </c>
      <c r="H285" s="190" t="s">
        <v>623</v>
      </c>
      <c r="I285" s="194"/>
      <c r="J285" s="278" t="s">
        <v>56</v>
      </c>
      <c r="K285" s="192">
        <v>45826</v>
      </c>
      <c r="L285" s="193">
        <f>4000</f>
        <v>4000</v>
      </c>
      <c r="M285" s="194" t="s">
        <v>345</v>
      </c>
    </row>
    <row r="286" spans="1:13" hidden="1">
      <c r="A286" s="257"/>
      <c r="B286" s="194" t="s">
        <v>2144</v>
      </c>
      <c r="C286" s="188"/>
      <c r="D286" s="195"/>
      <c r="E286" s="189">
        <v>45736</v>
      </c>
      <c r="F286" s="257" t="s">
        <v>16</v>
      </c>
      <c r="G286" s="272">
        <v>1985.2</v>
      </c>
      <c r="H286" s="190"/>
      <c r="I286" s="194"/>
      <c r="J286" s="278" t="s">
        <v>56</v>
      </c>
      <c r="K286" s="192">
        <v>45826</v>
      </c>
      <c r="L286" s="193">
        <f>4000</f>
        <v>4000</v>
      </c>
      <c r="M286" s="194" t="s">
        <v>345</v>
      </c>
    </row>
    <row r="287" spans="1:13" hidden="1">
      <c r="A287" s="257"/>
      <c r="B287" s="194" t="s">
        <v>2144</v>
      </c>
      <c r="C287" s="188"/>
      <c r="D287" s="195"/>
      <c r="E287" s="189">
        <v>45769</v>
      </c>
      <c r="F287" s="257" t="s">
        <v>16</v>
      </c>
      <c r="G287" s="272">
        <f>2071.29-G288</f>
        <v>2014.8000000000002</v>
      </c>
      <c r="H287" s="190"/>
      <c r="I287" s="194"/>
      <c r="J287" s="278" t="s">
        <v>66</v>
      </c>
      <c r="K287" s="192">
        <v>45826</v>
      </c>
      <c r="L287" s="193">
        <v>2175.13</v>
      </c>
      <c r="M287" s="194" t="s">
        <v>111</v>
      </c>
    </row>
    <row r="288" spans="1:13" hidden="1">
      <c r="A288" s="257"/>
      <c r="B288" s="194" t="s">
        <v>2144</v>
      </c>
      <c r="C288" s="188"/>
      <c r="D288" s="195"/>
      <c r="E288" s="189">
        <v>45769</v>
      </c>
      <c r="F288" s="257" t="s">
        <v>16</v>
      </c>
      <c r="G288" s="272">
        <f>2071.29+G286-L286</f>
        <v>56.489999999999782</v>
      </c>
      <c r="H288" s="190"/>
      <c r="I288" s="194"/>
      <c r="J288" s="278" t="s">
        <v>66</v>
      </c>
      <c r="K288" s="192">
        <v>45826</v>
      </c>
      <c r="L288" s="193">
        <v>2175.13</v>
      </c>
      <c r="M288" s="194" t="s">
        <v>111</v>
      </c>
    </row>
    <row r="289" spans="1:13" hidden="1">
      <c r="A289" s="257"/>
      <c r="B289" s="194" t="s">
        <v>2144</v>
      </c>
      <c r="C289" s="188"/>
      <c r="D289" s="195"/>
      <c r="E289" s="189">
        <v>45797</v>
      </c>
      <c r="F289" s="257" t="s">
        <v>16</v>
      </c>
      <c r="G289" s="272">
        <f>2135.21-(2135.21-(L288-G288))</f>
        <v>2118.6400000000003</v>
      </c>
      <c r="H289" s="190"/>
      <c r="I289" s="194"/>
      <c r="J289" s="278" t="s">
        <v>56</v>
      </c>
      <c r="K289" s="192"/>
      <c r="L289" s="193"/>
      <c r="M289" s="194"/>
    </row>
    <row r="290" spans="1:13" hidden="1">
      <c r="A290" s="257"/>
      <c r="B290" s="194" t="s">
        <v>2144</v>
      </c>
      <c r="C290" s="188"/>
      <c r="D290" s="195"/>
      <c r="E290" s="189">
        <v>45797</v>
      </c>
      <c r="F290" s="257" t="s">
        <v>16</v>
      </c>
      <c r="G290" s="272">
        <v>2433.0100000000002</v>
      </c>
      <c r="H290" s="190"/>
      <c r="I290" s="194"/>
      <c r="J290" s="278" t="s">
        <v>56</v>
      </c>
      <c r="K290" s="192"/>
      <c r="L290" s="193"/>
      <c r="M290" s="194"/>
    </row>
    <row r="291" spans="1:13" hidden="1">
      <c r="A291" s="257"/>
      <c r="B291" s="194" t="s">
        <v>2144</v>
      </c>
      <c r="C291" s="188"/>
      <c r="D291" s="195"/>
      <c r="E291" s="189">
        <v>45859</v>
      </c>
      <c r="F291" s="257" t="s">
        <v>16</v>
      </c>
      <c r="G291" s="272">
        <v>2219.64</v>
      </c>
      <c r="H291" s="190"/>
      <c r="I291" s="194"/>
      <c r="J291" s="278" t="s">
        <v>56</v>
      </c>
      <c r="K291" s="258"/>
      <c r="L291" s="193"/>
      <c r="M291" s="194" t="s">
        <v>639</v>
      </c>
    </row>
    <row r="292" spans="1:13" hidden="1">
      <c r="A292" s="257"/>
      <c r="B292" s="194" t="s">
        <v>2144</v>
      </c>
      <c r="C292" s="188"/>
      <c r="D292" s="195"/>
      <c r="E292" s="189"/>
      <c r="F292" s="257" t="s">
        <v>16</v>
      </c>
      <c r="G292" s="272">
        <v>2458.96</v>
      </c>
      <c r="H292" s="190"/>
      <c r="I292" s="194"/>
      <c r="J292" s="278" t="s">
        <v>56</v>
      </c>
      <c r="K292" s="258"/>
      <c r="L292" s="193">
        <v>2458.96</v>
      </c>
      <c r="M292" s="194">
        <v>45945</v>
      </c>
    </row>
    <row r="293" spans="1:13" hidden="1">
      <c r="A293" s="257"/>
      <c r="B293" s="194" t="s">
        <v>2144</v>
      </c>
      <c r="C293" s="188"/>
      <c r="D293" s="195"/>
      <c r="E293" s="189"/>
      <c r="F293" s="257" t="s">
        <v>16</v>
      </c>
      <c r="G293" s="272">
        <v>1140</v>
      </c>
      <c r="H293" s="196"/>
      <c r="I293" s="194" t="s">
        <v>2145</v>
      </c>
      <c r="J293" s="278" t="s">
        <v>622</v>
      </c>
      <c r="K293" s="258"/>
      <c r="L293" s="228"/>
      <c r="M293" s="192" t="s">
        <v>2146</v>
      </c>
    </row>
    <row r="294" spans="1:13" hidden="1">
      <c r="A294" s="257"/>
      <c r="B294" s="194" t="s">
        <v>2144</v>
      </c>
      <c r="C294" s="188"/>
      <c r="D294" s="195"/>
      <c r="E294" s="189"/>
      <c r="F294" s="257" t="s">
        <v>16</v>
      </c>
      <c r="G294" s="272">
        <v>1140</v>
      </c>
      <c r="H294" s="186" t="s">
        <v>622</v>
      </c>
      <c r="I294" s="194" t="s">
        <v>2147</v>
      </c>
      <c r="J294" s="278" t="s">
        <v>622</v>
      </c>
      <c r="K294" s="258"/>
      <c r="L294" s="228"/>
      <c r="M294" s="192">
        <v>46022</v>
      </c>
    </row>
    <row r="295" spans="1:13" hidden="1">
      <c r="A295" s="257"/>
      <c r="B295" s="194" t="s">
        <v>2144</v>
      </c>
      <c r="C295" s="188"/>
      <c r="D295" s="195"/>
      <c r="E295" s="189"/>
      <c r="F295" s="257" t="s">
        <v>16</v>
      </c>
      <c r="G295" s="272">
        <v>1140</v>
      </c>
      <c r="H295" s="196"/>
      <c r="I295" s="194" t="s">
        <v>2148</v>
      </c>
      <c r="J295" s="278" t="s">
        <v>622</v>
      </c>
      <c r="K295" s="258"/>
      <c r="L295" s="228"/>
      <c r="M295" s="192">
        <v>45687</v>
      </c>
    </row>
    <row r="296" spans="1:13" hidden="1">
      <c r="A296" s="257"/>
      <c r="B296" s="194" t="s">
        <v>2144</v>
      </c>
      <c r="C296" s="188"/>
      <c r="D296" s="195"/>
      <c r="E296" s="189"/>
      <c r="F296" s="257" t="s">
        <v>16</v>
      </c>
      <c r="G296" s="272">
        <v>1140</v>
      </c>
      <c r="H296" s="196"/>
      <c r="I296" s="194" t="s">
        <v>2149</v>
      </c>
      <c r="J296" s="278" t="s">
        <v>622</v>
      </c>
      <c r="K296" s="258"/>
      <c r="L296" s="228"/>
      <c r="M296" s="192">
        <v>45716</v>
      </c>
    </row>
    <row r="297" spans="1:13" hidden="1">
      <c r="A297" s="257"/>
      <c r="B297" s="194" t="s">
        <v>2144</v>
      </c>
      <c r="C297" s="188"/>
      <c r="D297" s="195"/>
      <c r="E297" s="189"/>
      <c r="F297" s="257"/>
      <c r="G297" s="272">
        <v>1140</v>
      </c>
      <c r="H297" s="190"/>
      <c r="I297" s="194" t="s">
        <v>2150</v>
      </c>
      <c r="J297" s="278" t="s">
        <v>622</v>
      </c>
      <c r="K297" s="258"/>
      <c r="L297" s="193"/>
      <c r="M297" s="192">
        <v>45746</v>
      </c>
    </row>
    <row r="298" spans="1:13" hidden="1">
      <c r="A298" s="257"/>
      <c r="B298" s="194" t="s">
        <v>2144</v>
      </c>
      <c r="C298" s="188" t="s">
        <v>624</v>
      </c>
      <c r="D298" s="189"/>
      <c r="E298" s="189">
        <v>45981</v>
      </c>
      <c r="F298" s="257" t="s">
        <v>49</v>
      </c>
      <c r="G298" s="272">
        <v>1423.22</v>
      </c>
      <c r="H298" s="190"/>
      <c r="I298" s="187" t="s">
        <v>625</v>
      </c>
      <c r="J298" s="278" t="s">
        <v>83</v>
      </c>
      <c r="K298" s="258"/>
      <c r="L298" s="193">
        <v>1423</v>
      </c>
      <c r="M298" s="194">
        <v>45978</v>
      </c>
    </row>
    <row r="299" spans="1:13" hidden="1">
      <c r="A299" s="257" t="s">
        <v>316</v>
      </c>
      <c r="B299" s="194" t="s">
        <v>2144</v>
      </c>
      <c r="C299" s="188" t="s">
        <v>3377</v>
      </c>
      <c r="D299" s="189">
        <v>46013</v>
      </c>
      <c r="E299" s="189">
        <v>45962</v>
      </c>
      <c r="F299" s="257" t="s">
        <v>16</v>
      </c>
      <c r="G299" s="272">
        <v>1218.4000000000001</v>
      </c>
      <c r="H299" s="190"/>
      <c r="I299" s="187" t="s">
        <v>3378</v>
      </c>
      <c r="J299" s="278"/>
      <c r="K299" s="258"/>
      <c r="L299" s="193"/>
      <c r="M299" s="194"/>
    </row>
    <row r="300" spans="1:13" hidden="1">
      <c r="A300" s="257" t="s">
        <v>90</v>
      </c>
      <c r="B300" s="194" t="s">
        <v>2144</v>
      </c>
      <c r="C300" s="188" t="s">
        <v>632</v>
      </c>
      <c r="D300" s="195"/>
      <c r="E300" s="189"/>
      <c r="F300" s="257" t="s">
        <v>16</v>
      </c>
      <c r="G300" s="272">
        <v>1644.89</v>
      </c>
      <c r="H300" s="196"/>
      <c r="I300" s="194" t="s">
        <v>633</v>
      </c>
      <c r="J300" s="278"/>
      <c r="K300" s="258"/>
      <c r="L300" s="193"/>
      <c r="M300" s="194"/>
    </row>
    <row r="301" spans="1:13" hidden="1">
      <c r="A301" s="196" t="s">
        <v>13</v>
      </c>
      <c r="B301" s="196" t="s">
        <v>619</v>
      </c>
      <c r="C301" s="196" t="s">
        <v>4155</v>
      </c>
      <c r="D301" s="192">
        <v>45677</v>
      </c>
      <c r="E301" s="192">
        <v>45677</v>
      </c>
      <c r="F301" s="196" t="s">
        <v>16</v>
      </c>
      <c r="G301" s="201">
        <v>1053.32</v>
      </c>
      <c r="H301" s="196" t="s">
        <v>4156</v>
      </c>
      <c r="I301" s="196" t="s">
        <v>56</v>
      </c>
      <c r="J301" s="192">
        <v>46042</v>
      </c>
      <c r="K301" s="201">
        <v>1053.32</v>
      </c>
      <c r="L301" s="196" t="s">
        <v>313</v>
      </c>
      <c r="M301" s="194"/>
    </row>
    <row r="302" spans="1:13" hidden="1">
      <c r="A302" s="260" t="s">
        <v>634</v>
      </c>
      <c r="B302" s="194" t="s">
        <v>2152</v>
      </c>
      <c r="C302" s="188">
        <v>46</v>
      </c>
      <c r="D302" s="195">
        <v>45672</v>
      </c>
      <c r="E302" s="189"/>
      <c r="F302" s="257" t="s">
        <v>16</v>
      </c>
      <c r="G302" s="272">
        <v>9901.9500000000007</v>
      </c>
      <c r="H302" s="190" t="s">
        <v>636</v>
      </c>
      <c r="I302" s="194"/>
      <c r="J302" s="278" t="s">
        <v>637</v>
      </c>
      <c r="K302" s="258"/>
      <c r="L302" s="193"/>
      <c r="M302" s="194" t="s">
        <v>638</v>
      </c>
    </row>
    <row r="303" spans="1:13" hidden="1">
      <c r="A303" s="260" t="s">
        <v>634</v>
      </c>
      <c r="B303" s="194" t="s">
        <v>2152</v>
      </c>
      <c r="C303" s="188">
        <v>46</v>
      </c>
      <c r="D303" s="195">
        <v>45672</v>
      </c>
      <c r="E303" s="189"/>
      <c r="F303" s="257" t="s">
        <v>16</v>
      </c>
      <c r="G303" s="272">
        <f>12047.16-G302</f>
        <v>2145.2099999999991</v>
      </c>
      <c r="H303" s="190" t="s">
        <v>636</v>
      </c>
      <c r="I303" s="194"/>
      <c r="J303" s="278" t="s">
        <v>637</v>
      </c>
      <c r="K303" s="258"/>
      <c r="L303" s="193"/>
      <c r="M303" s="194" t="s">
        <v>639</v>
      </c>
    </row>
    <row r="304" spans="1:13" hidden="1">
      <c r="A304" s="260" t="s">
        <v>634</v>
      </c>
      <c r="B304" s="194" t="s">
        <v>2152</v>
      </c>
      <c r="C304" s="188">
        <v>159</v>
      </c>
      <c r="D304" s="195">
        <v>45688</v>
      </c>
      <c r="E304" s="189"/>
      <c r="F304" s="257" t="s">
        <v>16</v>
      </c>
      <c r="G304" s="272">
        <v>5655.13</v>
      </c>
      <c r="H304" s="190" t="s">
        <v>642</v>
      </c>
      <c r="I304" s="194"/>
      <c r="J304" s="278" t="s">
        <v>637</v>
      </c>
      <c r="K304" s="258"/>
      <c r="L304" s="193"/>
      <c r="M304" s="194" t="s">
        <v>638</v>
      </c>
    </row>
    <row r="305" spans="1:13" hidden="1">
      <c r="A305" s="260" t="s">
        <v>634</v>
      </c>
      <c r="B305" s="194" t="s">
        <v>2152</v>
      </c>
      <c r="C305" s="188">
        <v>159</v>
      </c>
      <c r="D305" s="195">
        <v>45688</v>
      </c>
      <c r="E305" s="189"/>
      <c r="F305" s="257" t="s">
        <v>16</v>
      </c>
      <c r="G305" s="272">
        <f>6899.26-G304</f>
        <v>1244.1300000000001</v>
      </c>
      <c r="H305" s="190" t="s">
        <v>642</v>
      </c>
      <c r="I305" s="194"/>
      <c r="J305" s="278" t="s">
        <v>637</v>
      </c>
      <c r="K305" s="258"/>
      <c r="L305" s="193"/>
      <c r="M305" s="194" t="s">
        <v>643</v>
      </c>
    </row>
    <row r="306" spans="1:13" hidden="1">
      <c r="A306" s="260" t="s">
        <v>634</v>
      </c>
      <c r="B306" s="194" t="s">
        <v>2152</v>
      </c>
      <c r="C306" s="188" t="s">
        <v>644</v>
      </c>
      <c r="D306" s="195">
        <v>45580</v>
      </c>
      <c r="E306" s="189">
        <v>45580</v>
      </c>
      <c r="F306" s="257" t="s">
        <v>16</v>
      </c>
      <c r="G306" s="272">
        <v>5104.53</v>
      </c>
      <c r="H306" s="200" t="s">
        <v>645</v>
      </c>
      <c r="I306" s="194" t="s">
        <v>646</v>
      </c>
      <c r="J306" s="278" t="s">
        <v>637</v>
      </c>
      <c r="K306" s="258"/>
      <c r="L306" s="193"/>
      <c r="M306" s="194" t="s">
        <v>643</v>
      </c>
    </row>
    <row r="307" spans="1:13" hidden="1">
      <c r="A307" s="260" t="s">
        <v>634</v>
      </c>
      <c r="B307" s="194" t="s">
        <v>2152</v>
      </c>
      <c r="C307" s="188" t="s">
        <v>647</v>
      </c>
      <c r="D307" s="195">
        <v>45596</v>
      </c>
      <c r="E307" s="189">
        <v>45596</v>
      </c>
      <c r="F307" s="257" t="s">
        <v>16</v>
      </c>
      <c r="G307" s="272">
        <v>4437.7700000000004</v>
      </c>
      <c r="H307" s="200" t="s">
        <v>648</v>
      </c>
      <c r="I307" s="194" t="s">
        <v>649</v>
      </c>
      <c r="J307" s="278" t="s">
        <v>637</v>
      </c>
      <c r="K307" s="258"/>
      <c r="L307" s="193"/>
      <c r="M307" s="194" t="s">
        <v>650</v>
      </c>
    </row>
    <row r="308" spans="1:13" hidden="1">
      <c r="A308" s="260" t="s">
        <v>634</v>
      </c>
      <c r="B308" s="194" t="s">
        <v>2152</v>
      </c>
      <c r="C308" s="188" t="s">
        <v>651</v>
      </c>
      <c r="D308" s="195">
        <v>45626</v>
      </c>
      <c r="E308" s="189">
        <v>45757</v>
      </c>
      <c r="F308" s="257" t="s">
        <v>16</v>
      </c>
      <c r="G308" s="272">
        <v>3065.47</v>
      </c>
      <c r="H308" s="200" t="s">
        <v>652</v>
      </c>
      <c r="I308" s="194"/>
      <c r="J308" s="278" t="s">
        <v>637</v>
      </c>
      <c r="K308" s="258"/>
      <c r="L308" s="193"/>
      <c r="M308" s="194" t="s">
        <v>650</v>
      </c>
    </row>
    <row r="309" spans="1:13" hidden="1">
      <c r="A309" s="260" t="s">
        <v>634</v>
      </c>
      <c r="B309" s="194" t="s">
        <v>2152</v>
      </c>
      <c r="C309" s="188" t="s">
        <v>653</v>
      </c>
      <c r="D309" s="195">
        <v>45612</v>
      </c>
      <c r="E309" s="189">
        <v>45757</v>
      </c>
      <c r="F309" s="257" t="s">
        <v>16</v>
      </c>
      <c r="G309" s="272">
        <v>2536.9899999999998</v>
      </c>
      <c r="H309" s="200" t="s">
        <v>654</v>
      </c>
      <c r="I309" s="194" t="s">
        <v>655</v>
      </c>
      <c r="J309" s="278" t="s">
        <v>637</v>
      </c>
      <c r="K309" s="258"/>
      <c r="L309" s="193"/>
      <c r="M309" s="194" t="s">
        <v>650</v>
      </c>
    </row>
    <row r="310" spans="1:13" hidden="1">
      <c r="A310" s="260" t="s">
        <v>634</v>
      </c>
      <c r="B310" s="194" t="s">
        <v>2152</v>
      </c>
      <c r="C310" s="188" t="s">
        <v>656</v>
      </c>
      <c r="D310" s="195">
        <v>45646</v>
      </c>
      <c r="E310" s="189">
        <v>45757</v>
      </c>
      <c r="F310" s="257" t="s">
        <v>16</v>
      </c>
      <c r="G310" s="272">
        <v>3395.75</v>
      </c>
      <c r="H310" s="200" t="s">
        <v>657</v>
      </c>
      <c r="I310" s="194" t="s">
        <v>658</v>
      </c>
      <c r="J310" s="278" t="s">
        <v>637</v>
      </c>
      <c r="K310" s="258"/>
      <c r="L310" s="193"/>
      <c r="M310" s="194" t="s">
        <v>659</v>
      </c>
    </row>
    <row r="311" spans="1:13" hidden="1">
      <c r="A311" s="260" t="s">
        <v>634</v>
      </c>
      <c r="B311" s="194" t="s">
        <v>2152</v>
      </c>
      <c r="C311" s="188" t="s">
        <v>661</v>
      </c>
      <c r="D311" s="195">
        <v>45731</v>
      </c>
      <c r="E311" s="189">
        <v>45879</v>
      </c>
      <c r="F311" s="257" t="s">
        <v>16</v>
      </c>
      <c r="G311" s="272">
        <v>469.6</v>
      </c>
      <c r="H311" s="200" t="s">
        <v>662</v>
      </c>
      <c r="I311" s="194"/>
      <c r="J311" s="278" t="s">
        <v>637</v>
      </c>
      <c r="K311" s="258"/>
      <c r="L311" s="193"/>
      <c r="M311" s="194" t="s">
        <v>663</v>
      </c>
    </row>
    <row r="312" spans="1:13" hidden="1">
      <c r="A312" s="260" t="s">
        <v>634</v>
      </c>
      <c r="B312" s="194" t="s">
        <v>2152</v>
      </c>
      <c r="C312" s="188" t="s">
        <v>661</v>
      </c>
      <c r="D312" s="195">
        <v>45731</v>
      </c>
      <c r="E312" s="189">
        <v>45879</v>
      </c>
      <c r="F312" s="257" t="s">
        <v>16</v>
      </c>
      <c r="G312" s="272">
        <f>572.91-G311</f>
        <v>103.30999999999995</v>
      </c>
      <c r="H312" s="200" t="s">
        <v>662</v>
      </c>
      <c r="I312" s="194"/>
      <c r="J312" s="278" t="s">
        <v>637</v>
      </c>
      <c r="K312" s="258"/>
      <c r="L312" s="193"/>
      <c r="M312" s="194" t="s">
        <v>663</v>
      </c>
    </row>
    <row r="313" spans="1:13" hidden="1">
      <c r="A313" s="260" t="s">
        <v>634</v>
      </c>
      <c r="B313" s="194" t="s">
        <v>2152</v>
      </c>
      <c r="C313" s="188" t="s">
        <v>664</v>
      </c>
      <c r="D313" s="195">
        <v>45747</v>
      </c>
      <c r="E313" s="189">
        <v>45879</v>
      </c>
      <c r="F313" s="257" t="s">
        <v>49</v>
      </c>
      <c r="G313" s="272">
        <v>24053.599999999999</v>
      </c>
      <c r="H313" s="200" t="s">
        <v>665</v>
      </c>
      <c r="I313" s="194"/>
      <c r="J313" s="278" t="s">
        <v>637</v>
      </c>
      <c r="K313" s="258"/>
      <c r="L313" s="193"/>
      <c r="M313" s="194" t="s">
        <v>666</v>
      </c>
    </row>
    <row r="314" spans="1:13" hidden="1">
      <c r="A314" s="260" t="s">
        <v>634</v>
      </c>
      <c r="B314" s="194" t="s">
        <v>2152</v>
      </c>
      <c r="C314" s="188" t="s">
        <v>667</v>
      </c>
      <c r="D314" s="195">
        <v>45762</v>
      </c>
      <c r="E314" s="189">
        <v>45910</v>
      </c>
      <c r="F314" s="257" t="s">
        <v>49</v>
      </c>
      <c r="G314" s="272">
        <v>8688.33</v>
      </c>
      <c r="H314" s="200" t="s">
        <v>668</v>
      </c>
      <c r="I314" s="194" t="s">
        <v>669</v>
      </c>
      <c r="J314" s="278"/>
      <c r="K314" s="258"/>
      <c r="L314" s="193"/>
      <c r="M314" s="194" t="s">
        <v>666</v>
      </c>
    </row>
    <row r="315" spans="1:13" hidden="1">
      <c r="A315" s="260" t="s">
        <v>634</v>
      </c>
      <c r="B315" s="194" t="s">
        <v>2152</v>
      </c>
      <c r="C315" s="188" t="s">
        <v>670</v>
      </c>
      <c r="D315" s="195">
        <v>45777</v>
      </c>
      <c r="E315" s="189">
        <v>45910</v>
      </c>
      <c r="F315" s="257" t="s">
        <v>49</v>
      </c>
      <c r="G315" s="272">
        <v>1340.39</v>
      </c>
      <c r="H315" s="200" t="s">
        <v>671</v>
      </c>
      <c r="I315" s="194" t="s">
        <v>669</v>
      </c>
      <c r="J315" s="278"/>
      <c r="K315" s="304"/>
      <c r="L315" s="286"/>
      <c r="M315" s="293" t="s">
        <v>666</v>
      </c>
    </row>
    <row r="316" spans="1:13" hidden="1">
      <c r="A316" s="260" t="s">
        <v>634</v>
      </c>
      <c r="B316" s="194" t="s">
        <v>2152</v>
      </c>
      <c r="C316" s="188" t="s">
        <v>672</v>
      </c>
      <c r="D316" s="195">
        <v>45792</v>
      </c>
      <c r="E316" s="189">
        <v>45940</v>
      </c>
      <c r="F316" s="257" t="s">
        <v>16</v>
      </c>
      <c r="G316" s="272">
        <v>2129.91</v>
      </c>
      <c r="H316" s="200" t="s">
        <v>673</v>
      </c>
      <c r="I316" s="194" t="s">
        <v>674</v>
      </c>
      <c r="J316" s="278"/>
      <c r="K316" s="189"/>
      <c r="L316" s="193"/>
      <c r="M316" s="289" t="s">
        <v>675</v>
      </c>
    </row>
    <row r="317" spans="1:13" hidden="1">
      <c r="A317" s="260" t="s">
        <v>634</v>
      </c>
      <c r="B317" s="229" t="s">
        <v>2152</v>
      </c>
      <c r="C317" s="209" t="s">
        <v>676</v>
      </c>
      <c r="D317" s="230">
        <v>45808</v>
      </c>
      <c r="E317" s="210">
        <v>45940</v>
      </c>
      <c r="F317" s="261" t="s">
        <v>16</v>
      </c>
      <c r="G317" s="273">
        <v>392.45</v>
      </c>
      <c r="H317" s="200" t="s">
        <v>677</v>
      </c>
      <c r="I317" s="194" t="s">
        <v>678</v>
      </c>
      <c r="J317" s="278"/>
      <c r="K317" s="189"/>
      <c r="L317" s="193"/>
      <c r="M317" s="289" t="s">
        <v>679</v>
      </c>
    </row>
    <row r="318" spans="1:13" hidden="1">
      <c r="A318" s="260" t="s">
        <v>634</v>
      </c>
      <c r="B318" s="194" t="s">
        <v>2152</v>
      </c>
      <c r="C318" s="188" t="s">
        <v>680</v>
      </c>
      <c r="D318" s="195">
        <v>45823</v>
      </c>
      <c r="E318" s="189">
        <v>45960</v>
      </c>
      <c r="F318" s="257" t="s">
        <v>16</v>
      </c>
      <c r="G318" s="272">
        <v>388.48</v>
      </c>
      <c r="H318" s="200" t="s">
        <v>681</v>
      </c>
      <c r="I318" s="194" t="s">
        <v>682</v>
      </c>
      <c r="J318" s="278" t="s">
        <v>637</v>
      </c>
      <c r="K318" s="189"/>
      <c r="L318" s="215">
        <v>388.48</v>
      </c>
      <c r="M318" s="289">
        <v>45957</v>
      </c>
    </row>
    <row r="319" spans="1:13" hidden="1">
      <c r="A319" s="260" t="s">
        <v>634</v>
      </c>
      <c r="B319" s="194" t="s">
        <v>2152</v>
      </c>
      <c r="C319" s="188" t="s">
        <v>684</v>
      </c>
      <c r="D319" s="195">
        <v>45838</v>
      </c>
      <c r="E319" s="189">
        <v>45960</v>
      </c>
      <c r="F319" s="257" t="s">
        <v>16</v>
      </c>
      <c r="G319" s="272">
        <v>10148.11</v>
      </c>
      <c r="H319" s="200" t="s">
        <v>685</v>
      </c>
      <c r="I319" s="194" t="s">
        <v>349</v>
      </c>
      <c r="J319" s="278" t="s">
        <v>637</v>
      </c>
      <c r="K319" s="189"/>
      <c r="L319" s="215">
        <v>10148.11</v>
      </c>
      <c r="M319" s="289">
        <v>45957</v>
      </c>
    </row>
    <row r="320" spans="1:13" hidden="1">
      <c r="A320" s="260" t="s">
        <v>634</v>
      </c>
      <c r="B320" s="194" t="s">
        <v>2152</v>
      </c>
      <c r="C320" s="188" t="s">
        <v>686</v>
      </c>
      <c r="D320" s="195">
        <v>45853</v>
      </c>
      <c r="E320" s="189"/>
      <c r="F320" s="257" t="s">
        <v>16</v>
      </c>
      <c r="G320" s="272">
        <v>659.76</v>
      </c>
      <c r="H320" s="200" t="s">
        <v>687</v>
      </c>
      <c r="I320" s="194" t="s">
        <v>218</v>
      </c>
      <c r="J320" s="278" t="s">
        <v>637</v>
      </c>
      <c r="K320" s="189">
        <v>46032</v>
      </c>
      <c r="L320" s="193">
        <v>3068</v>
      </c>
      <c r="M320" s="289" t="s">
        <v>2153</v>
      </c>
    </row>
    <row r="321" spans="1:13" hidden="1">
      <c r="A321" s="260" t="s">
        <v>634</v>
      </c>
      <c r="B321" s="194" t="s">
        <v>2152</v>
      </c>
      <c r="C321" s="188" t="s">
        <v>690</v>
      </c>
      <c r="D321" s="195">
        <v>45869</v>
      </c>
      <c r="E321" s="189"/>
      <c r="F321" s="257" t="s">
        <v>16</v>
      </c>
      <c r="G321" s="272">
        <v>42.55</v>
      </c>
      <c r="H321" s="200" t="s">
        <v>691</v>
      </c>
      <c r="I321" s="194" t="s">
        <v>692</v>
      </c>
      <c r="J321" s="278" t="s">
        <v>637</v>
      </c>
      <c r="K321" s="189">
        <v>46032</v>
      </c>
      <c r="L321" s="193">
        <v>3068</v>
      </c>
      <c r="M321" s="289" t="s">
        <v>2153</v>
      </c>
    </row>
    <row r="322" spans="1:13" hidden="1">
      <c r="A322" s="260" t="s">
        <v>634</v>
      </c>
      <c r="B322" s="194" t="s">
        <v>2152</v>
      </c>
      <c r="C322" s="188" t="s">
        <v>693</v>
      </c>
      <c r="D322" s="195">
        <v>45900</v>
      </c>
      <c r="E322" s="189"/>
      <c r="F322" s="257" t="s">
        <v>16</v>
      </c>
      <c r="G322" s="272">
        <v>137.69999999999999</v>
      </c>
      <c r="H322" s="200" t="s">
        <v>694</v>
      </c>
      <c r="I322" s="194" t="s">
        <v>349</v>
      </c>
      <c r="J322" s="278" t="s">
        <v>637</v>
      </c>
      <c r="K322" s="189">
        <v>46032</v>
      </c>
      <c r="L322" s="193">
        <v>3068</v>
      </c>
      <c r="M322" s="289" t="s">
        <v>2153</v>
      </c>
    </row>
    <row r="323" spans="1:13" hidden="1">
      <c r="A323" s="260" t="s">
        <v>634</v>
      </c>
      <c r="B323" s="194" t="s">
        <v>2152</v>
      </c>
      <c r="C323" s="188" t="s">
        <v>695</v>
      </c>
      <c r="D323" s="195">
        <v>45915</v>
      </c>
      <c r="E323" s="189"/>
      <c r="F323" s="257" t="s">
        <v>16</v>
      </c>
      <c r="G323" s="272">
        <v>339.44</v>
      </c>
      <c r="H323" s="200" t="s">
        <v>696</v>
      </c>
      <c r="I323" s="194" t="s">
        <v>697</v>
      </c>
      <c r="J323" s="278" t="s">
        <v>637</v>
      </c>
      <c r="K323" s="189">
        <v>46032</v>
      </c>
      <c r="L323" s="193">
        <v>3068</v>
      </c>
      <c r="M323" s="289" t="s">
        <v>2153</v>
      </c>
    </row>
    <row r="324" spans="1:13" hidden="1">
      <c r="A324" s="260" t="s">
        <v>634</v>
      </c>
      <c r="B324" s="194" t="s">
        <v>2152</v>
      </c>
      <c r="C324" s="188" t="s">
        <v>698</v>
      </c>
      <c r="D324" s="195">
        <v>45930</v>
      </c>
      <c r="E324" s="189"/>
      <c r="F324" s="257" t="s">
        <v>16</v>
      </c>
      <c r="G324" s="272">
        <v>1888.18</v>
      </c>
      <c r="H324" s="200"/>
      <c r="I324" s="194" t="s">
        <v>697</v>
      </c>
      <c r="J324" s="278" t="s">
        <v>637</v>
      </c>
      <c r="K324" s="189">
        <v>46032</v>
      </c>
      <c r="L324" s="193">
        <v>3068</v>
      </c>
      <c r="M324" s="289" t="s">
        <v>2153</v>
      </c>
    </row>
    <row r="325" spans="1:13" hidden="1">
      <c r="A325" s="260" t="s">
        <v>699</v>
      </c>
      <c r="B325" s="194" t="s">
        <v>2152</v>
      </c>
      <c r="C325" s="188" t="s">
        <v>700</v>
      </c>
      <c r="D325" s="195">
        <v>45945</v>
      </c>
      <c r="E325" s="189">
        <v>45945</v>
      </c>
      <c r="F325" s="257"/>
      <c r="G325" s="272">
        <v>1064.95</v>
      </c>
      <c r="H325" s="200"/>
      <c r="I325" s="194" t="s">
        <v>701</v>
      </c>
      <c r="J325" s="278" t="s">
        <v>637</v>
      </c>
      <c r="K325" s="189">
        <v>46091</v>
      </c>
      <c r="L325" s="193">
        <v>1064.95</v>
      </c>
      <c r="M325" s="289" t="s">
        <v>2154</v>
      </c>
    </row>
    <row r="326" spans="1:13" hidden="1">
      <c r="A326" s="257" t="s">
        <v>90</v>
      </c>
      <c r="B326" s="194" t="s">
        <v>2152</v>
      </c>
      <c r="C326" s="188" t="s">
        <v>704</v>
      </c>
      <c r="D326" s="195">
        <v>45991</v>
      </c>
      <c r="E326" s="189">
        <v>45991</v>
      </c>
      <c r="F326" s="257"/>
      <c r="G326" s="272">
        <v>1804.47</v>
      </c>
      <c r="H326" s="196"/>
      <c r="I326" s="194" t="s">
        <v>705</v>
      </c>
      <c r="J326" s="278" t="s">
        <v>637</v>
      </c>
      <c r="K326" s="189">
        <v>46091</v>
      </c>
      <c r="L326" s="193">
        <v>1804.47</v>
      </c>
      <c r="M326" s="289" t="s">
        <v>2154</v>
      </c>
    </row>
    <row r="327" spans="1:13" hidden="1">
      <c r="A327" s="257"/>
      <c r="B327" s="194" t="s">
        <v>635</v>
      </c>
      <c r="C327" s="188" t="s">
        <v>3319</v>
      </c>
      <c r="D327" s="195">
        <v>46011</v>
      </c>
      <c r="E327" s="189">
        <v>46011</v>
      </c>
      <c r="F327" s="257"/>
      <c r="G327" s="272">
        <v>959.9</v>
      </c>
      <c r="H327" s="196"/>
      <c r="I327" s="194" t="s">
        <v>705</v>
      </c>
      <c r="J327" s="278" t="s">
        <v>637</v>
      </c>
      <c r="K327" s="189">
        <v>46122</v>
      </c>
      <c r="L327" s="193"/>
      <c r="M327" s="289"/>
    </row>
    <row r="328" spans="1:13" hidden="1">
      <c r="A328" s="196" t="s">
        <v>4159</v>
      </c>
      <c r="B328" s="196" t="s">
        <v>635</v>
      </c>
      <c r="C328" s="196" t="s">
        <v>4134</v>
      </c>
      <c r="D328" s="192">
        <v>46022</v>
      </c>
      <c r="E328" s="192">
        <v>46022</v>
      </c>
      <c r="F328" s="196"/>
      <c r="G328" s="201">
        <v>377.81</v>
      </c>
      <c r="H328" s="196" t="s">
        <v>705</v>
      </c>
      <c r="I328" s="196" t="s">
        <v>83</v>
      </c>
      <c r="J328" s="278" t="s">
        <v>637</v>
      </c>
      <c r="K328" s="189">
        <v>46122</v>
      </c>
      <c r="L328" s="196"/>
      <c r="M328" s="289"/>
    </row>
    <row r="329" spans="1:13" hidden="1">
      <c r="A329" s="257"/>
      <c r="B329" s="194" t="s">
        <v>2155</v>
      </c>
      <c r="C329" s="188" t="s">
        <v>707</v>
      </c>
      <c r="D329" s="195">
        <v>45991</v>
      </c>
      <c r="E329" s="189">
        <v>46032</v>
      </c>
      <c r="F329" s="257" t="s">
        <v>16</v>
      </c>
      <c r="G329" s="272">
        <v>189.1</v>
      </c>
      <c r="H329" s="196"/>
      <c r="I329" s="194" t="s">
        <v>708</v>
      </c>
      <c r="J329" s="278" t="s">
        <v>374</v>
      </c>
      <c r="K329" s="192">
        <v>45667</v>
      </c>
      <c r="L329" s="193">
        <v>189.1</v>
      </c>
      <c r="M329" s="289" t="s">
        <v>345</v>
      </c>
    </row>
    <row r="330" spans="1:13" hidden="1">
      <c r="A330" s="257"/>
      <c r="B330" s="194" t="s">
        <v>2156</v>
      </c>
      <c r="C330" s="188" t="s">
        <v>710</v>
      </c>
      <c r="D330" s="195">
        <v>45596</v>
      </c>
      <c r="E330" s="189">
        <v>45656</v>
      </c>
      <c r="F330" s="257"/>
      <c r="G330" s="272">
        <v>392.84</v>
      </c>
      <c r="H330" s="200" t="s">
        <v>711</v>
      </c>
      <c r="I330" s="194" t="s">
        <v>55</v>
      </c>
      <c r="J330" s="278" t="s">
        <v>110</v>
      </c>
      <c r="K330" s="192"/>
      <c r="L330" s="193"/>
      <c r="M330" s="289"/>
    </row>
    <row r="331" spans="1:13" hidden="1">
      <c r="A331" s="257"/>
      <c r="B331" s="194" t="s">
        <v>712</v>
      </c>
      <c r="C331" s="188" t="s">
        <v>723</v>
      </c>
      <c r="D331" s="195">
        <v>45803</v>
      </c>
      <c r="E331" s="195">
        <v>45803</v>
      </c>
      <c r="F331" s="257"/>
      <c r="G331" s="215">
        <v>10000</v>
      </c>
      <c r="H331" s="200" t="s">
        <v>724</v>
      </c>
      <c r="I331" s="194" t="s">
        <v>342</v>
      </c>
      <c r="J331" s="278" t="s">
        <v>56</v>
      </c>
      <c r="K331" s="192">
        <v>45775</v>
      </c>
      <c r="L331" s="193"/>
      <c r="M331" s="289"/>
    </row>
    <row r="332" spans="1:13" hidden="1">
      <c r="A332" s="257" t="s">
        <v>13</v>
      </c>
      <c r="B332" s="187" t="s">
        <v>712</v>
      </c>
      <c r="C332" s="188" t="s">
        <v>713</v>
      </c>
      <c r="D332" s="189">
        <v>45718</v>
      </c>
      <c r="E332" s="189"/>
      <c r="F332" s="257" t="s">
        <v>16</v>
      </c>
      <c r="G332" s="272">
        <v>58090.98</v>
      </c>
      <c r="H332" s="190" t="s">
        <v>714</v>
      </c>
      <c r="I332" s="187" t="s">
        <v>312</v>
      </c>
      <c r="J332" s="278" t="s">
        <v>56</v>
      </c>
      <c r="K332" s="192"/>
      <c r="L332" s="193"/>
      <c r="M332" s="289" t="s">
        <v>715</v>
      </c>
    </row>
    <row r="333" spans="1:13" hidden="1">
      <c r="A333" s="257" t="s">
        <v>716</v>
      </c>
      <c r="B333" s="187" t="s">
        <v>712</v>
      </c>
      <c r="C333" s="188" t="s">
        <v>717</v>
      </c>
      <c r="D333" s="189">
        <v>45777</v>
      </c>
      <c r="E333" s="189"/>
      <c r="F333" s="257" t="s">
        <v>16</v>
      </c>
      <c r="G333" s="272">
        <v>7283.5</v>
      </c>
      <c r="H333" s="190"/>
      <c r="I333" s="187"/>
      <c r="J333" s="278" t="s">
        <v>66</v>
      </c>
      <c r="K333" s="192"/>
      <c r="L333" s="193"/>
      <c r="M333" s="289" t="s">
        <v>718</v>
      </c>
    </row>
    <row r="334" spans="1:13" hidden="1">
      <c r="A334" s="257" t="s">
        <v>13</v>
      </c>
      <c r="B334" s="187" t="s">
        <v>712</v>
      </c>
      <c r="C334" s="188" t="s">
        <v>719</v>
      </c>
      <c r="D334" s="189">
        <v>45803</v>
      </c>
      <c r="E334" s="189"/>
      <c r="F334" s="257" t="s">
        <v>16</v>
      </c>
      <c r="G334" s="272">
        <v>7000</v>
      </c>
      <c r="H334" s="190" t="s">
        <v>720</v>
      </c>
      <c r="I334" s="187" t="s">
        <v>721</v>
      </c>
      <c r="J334" s="278" t="s">
        <v>56</v>
      </c>
      <c r="K334" s="192">
        <v>45945</v>
      </c>
      <c r="L334" s="193">
        <v>7000</v>
      </c>
      <c r="M334" s="289" t="s">
        <v>71</v>
      </c>
    </row>
    <row r="335" spans="1:13" hidden="1">
      <c r="A335" s="257" t="s">
        <v>90</v>
      </c>
      <c r="B335" s="187" t="s">
        <v>712</v>
      </c>
      <c r="C335" s="188" t="s">
        <v>722</v>
      </c>
      <c r="D335" s="189">
        <v>45803</v>
      </c>
      <c r="E335" s="189"/>
      <c r="F335" s="257" t="s">
        <v>16</v>
      </c>
      <c r="G335" s="272">
        <v>11000</v>
      </c>
      <c r="H335" s="190" t="s">
        <v>720</v>
      </c>
      <c r="I335" s="187" t="s">
        <v>721</v>
      </c>
      <c r="J335" s="278" t="s">
        <v>56</v>
      </c>
      <c r="K335" s="192"/>
      <c r="L335" s="193"/>
      <c r="M335" s="289"/>
    </row>
    <row r="336" spans="1:13" hidden="1">
      <c r="A336" s="257"/>
      <c r="B336" s="194" t="s">
        <v>712</v>
      </c>
      <c r="C336" s="194" t="s">
        <v>3260</v>
      </c>
      <c r="D336" s="192">
        <v>45181</v>
      </c>
      <c r="E336" s="192">
        <v>45240</v>
      </c>
      <c r="F336" s="257" t="s">
        <v>16</v>
      </c>
      <c r="G336" s="201">
        <v>10000.000000000004</v>
      </c>
      <c r="H336" s="190"/>
      <c r="I336" s="187" t="s">
        <v>1345</v>
      </c>
      <c r="J336" s="278" t="s">
        <v>56</v>
      </c>
      <c r="K336" s="192"/>
      <c r="L336" s="193"/>
      <c r="M336" s="289"/>
    </row>
    <row r="337" spans="1:14" hidden="1">
      <c r="A337" s="257"/>
      <c r="B337" s="194" t="s">
        <v>2157</v>
      </c>
      <c r="C337" s="188" t="s">
        <v>713</v>
      </c>
      <c r="D337" s="195">
        <v>45718</v>
      </c>
      <c r="E337" s="189"/>
      <c r="F337" s="257" t="s">
        <v>16</v>
      </c>
      <c r="G337" s="272">
        <v>58090.98</v>
      </c>
      <c r="H337" s="200" t="s">
        <v>714</v>
      </c>
      <c r="I337" s="194" t="s">
        <v>312</v>
      </c>
      <c r="J337" s="278" t="s">
        <v>56</v>
      </c>
      <c r="K337" s="192"/>
      <c r="L337" s="193"/>
      <c r="M337" s="289"/>
    </row>
    <row r="338" spans="1:14" hidden="1">
      <c r="A338" s="257"/>
      <c r="B338" s="194" t="s">
        <v>2157</v>
      </c>
      <c r="C338" s="188" t="s">
        <v>717</v>
      </c>
      <c r="D338" s="195">
        <v>45777</v>
      </c>
      <c r="E338" s="189"/>
      <c r="F338" s="257" t="s">
        <v>16</v>
      </c>
      <c r="G338" s="272">
        <v>7283.5</v>
      </c>
      <c r="H338" s="200"/>
      <c r="I338" s="194" t="s">
        <v>87</v>
      </c>
      <c r="J338" s="278" t="s">
        <v>66</v>
      </c>
      <c r="K338" s="192"/>
      <c r="L338" s="193"/>
      <c r="M338" s="289"/>
    </row>
    <row r="339" spans="1:14" hidden="1">
      <c r="B339" s="194" t="s">
        <v>2157</v>
      </c>
      <c r="C339" s="209" t="s">
        <v>719</v>
      </c>
      <c r="D339" s="195">
        <v>45803</v>
      </c>
      <c r="F339" s="268" t="s">
        <v>16</v>
      </c>
      <c r="G339" s="273">
        <v>7000</v>
      </c>
      <c r="H339" s="200" t="s">
        <v>720</v>
      </c>
      <c r="I339" s="194" t="s">
        <v>721</v>
      </c>
      <c r="J339" s="278" t="s">
        <v>56</v>
      </c>
      <c r="K339" s="192">
        <v>45945</v>
      </c>
      <c r="L339" s="193">
        <v>7000</v>
      </c>
      <c r="M339" s="289" t="s">
        <v>71</v>
      </c>
    </row>
    <row r="340" spans="1:14" hidden="1">
      <c r="B340" s="194" t="s">
        <v>2157</v>
      </c>
      <c r="C340" s="209" t="s">
        <v>719</v>
      </c>
      <c r="D340" s="195">
        <v>45803</v>
      </c>
      <c r="F340" s="268" t="s">
        <v>16</v>
      </c>
      <c r="G340" s="273">
        <f>18000-7000</f>
        <v>11000</v>
      </c>
      <c r="H340" s="200" t="s">
        <v>720</v>
      </c>
      <c r="I340" s="194" t="s">
        <v>721</v>
      </c>
      <c r="J340" s="279" t="s">
        <v>56</v>
      </c>
      <c r="K340" s="192">
        <v>45968</v>
      </c>
      <c r="L340" s="193">
        <v>11000</v>
      </c>
      <c r="M340" s="289" t="s">
        <v>345</v>
      </c>
    </row>
    <row r="341" spans="1:14" hidden="1">
      <c r="A341" s="257"/>
      <c r="B341" s="194" t="s">
        <v>2158</v>
      </c>
      <c r="C341" s="188">
        <v>26</v>
      </c>
      <c r="D341" s="195">
        <v>45679</v>
      </c>
      <c r="E341" s="189">
        <f>D341+60</f>
        <v>45739</v>
      </c>
      <c r="F341" s="257" t="s">
        <v>16</v>
      </c>
      <c r="G341" s="272">
        <v>207.4</v>
      </c>
      <c r="H341" s="190" t="s">
        <v>727</v>
      </c>
      <c r="I341" s="194" t="s">
        <v>728</v>
      </c>
      <c r="J341" s="278" t="s">
        <v>56</v>
      </c>
      <c r="K341" s="192">
        <v>45775</v>
      </c>
      <c r="L341" s="193"/>
      <c r="M341" s="289"/>
      <c r="N341" s="178"/>
    </row>
    <row r="342" spans="1:14" hidden="1">
      <c r="A342" s="257"/>
      <c r="B342" s="194" t="s">
        <v>2159</v>
      </c>
      <c r="C342" s="188" t="s">
        <v>729</v>
      </c>
      <c r="D342" s="195">
        <v>45638</v>
      </c>
      <c r="E342" s="189">
        <v>45716</v>
      </c>
      <c r="F342" s="257" t="s">
        <v>16</v>
      </c>
      <c r="G342" s="272">
        <v>368.68</v>
      </c>
      <c r="H342" s="200" t="s">
        <v>730</v>
      </c>
      <c r="I342" s="194" t="s">
        <v>731</v>
      </c>
      <c r="J342" s="278" t="s">
        <v>56</v>
      </c>
      <c r="K342" s="192">
        <v>45775</v>
      </c>
      <c r="L342" s="193"/>
      <c r="M342" s="289"/>
      <c r="N342" s="178"/>
    </row>
    <row r="343" spans="1:14" hidden="1">
      <c r="A343" s="257"/>
      <c r="B343" s="194" t="s">
        <v>732</v>
      </c>
      <c r="C343" s="188" t="s">
        <v>733</v>
      </c>
      <c r="D343" s="195">
        <v>45936</v>
      </c>
      <c r="E343" s="189"/>
      <c r="F343" s="257" t="s">
        <v>49</v>
      </c>
      <c r="G343" s="272">
        <v>3885</v>
      </c>
      <c r="H343" s="200"/>
      <c r="I343" s="194"/>
      <c r="J343" s="278" t="s">
        <v>56</v>
      </c>
      <c r="K343" s="192"/>
      <c r="L343" s="193">
        <v>3885</v>
      </c>
      <c r="M343" s="289" t="s">
        <v>345</v>
      </c>
      <c r="N343" s="178"/>
    </row>
    <row r="344" spans="1:14" hidden="1">
      <c r="A344" s="257"/>
      <c r="B344" s="194" t="s">
        <v>732</v>
      </c>
      <c r="C344" s="188" t="s">
        <v>734</v>
      </c>
      <c r="D344" s="195">
        <v>45936</v>
      </c>
      <c r="E344" s="189"/>
      <c r="F344" s="257" t="s">
        <v>49</v>
      </c>
      <c r="G344" s="272">
        <v>115</v>
      </c>
      <c r="H344" s="200"/>
      <c r="I344" s="194"/>
      <c r="J344" s="278" t="s">
        <v>56</v>
      </c>
      <c r="K344" s="192"/>
      <c r="L344" s="193">
        <v>115</v>
      </c>
      <c r="M344" s="289" t="s">
        <v>345</v>
      </c>
      <c r="N344" s="178"/>
    </row>
    <row r="345" spans="1:14" hidden="1">
      <c r="A345" s="257"/>
      <c r="B345" s="194" t="s">
        <v>732</v>
      </c>
      <c r="C345" s="188" t="s">
        <v>735</v>
      </c>
      <c r="D345" s="195">
        <v>45936</v>
      </c>
      <c r="E345" s="189"/>
      <c r="F345" s="257" t="s">
        <v>16</v>
      </c>
      <c r="G345" s="272">
        <v>2540</v>
      </c>
      <c r="H345" s="200"/>
      <c r="I345" s="194"/>
      <c r="J345" s="278" t="s">
        <v>56</v>
      </c>
      <c r="K345" s="192"/>
      <c r="L345" s="193">
        <v>2656</v>
      </c>
      <c r="M345" s="289"/>
      <c r="N345" s="178"/>
    </row>
    <row r="346" spans="1:14" hidden="1">
      <c r="A346" s="257"/>
      <c r="B346" s="194" t="s">
        <v>732</v>
      </c>
      <c r="C346" s="188" t="s">
        <v>736</v>
      </c>
      <c r="D346" s="195">
        <v>45936</v>
      </c>
      <c r="E346" s="189"/>
      <c r="F346" s="257" t="s">
        <v>16</v>
      </c>
      <c r="G346" s="272">
        <v>555</v>
      </c>
      <c r="H346" s="200"/>
      <c r="I346" s="194"/>
      <c r="J346" s="278" t="s">
        <v>56</v>
      </c>
      <c r="K346" s="192"/>
      <c r="L346" s="193">
        <v>555</v>
      </c>
      <c r="M346" s="289"/>
      <c r="N346" s="178"/>
    </row>
    <row r="347" spans="1:14" hidden="1">
      <c r="A347" s="257"/>
      <c r="B347" s="194" t="s">
        <v>732</v>
      </c>
      <c r="C347" s="188" t="s">
        <v>737</v>
      </c>
      <c r="D347" s="195">
        <v>45936</v>
      </c>
      <c r="E347" s="189"/>
      <c r="F347" s="257" t="s">
        <v>16</v>
      </c>
      <c r="G347" s="272">
        <v>3387</v>
      </c>
      <c r="H347" s="200"/>
      <c r="I347" s="194"/>
      <c r="J347" s="278" t="s">
        <v>56</v>
      </c>
      <c r="K347" s="192"/>
      <c r="L347" s="193">
        <v>3387</v>
      </c>
      <c r="M347" s="289"/>
      <c r="N347" s="178"/>
    </row>
    <row r="348" spans="1:14" hidden="1">
      <c r="A348" s="257"/>
      <c r="B348" s="194" t="s">
        <v>732</v>
      </c>
      <c r="C348" s="188" t="s">
        <v>738</v>
      </c>
      <c r="D348" s="195">
        <v>45936</v>
      </c>
      <c r="E348" s="189"/>
      <c r="F348" s="257" t="s">
        <v>16</v>
      </c>
      <c r="G348" s="272">
        <v>5740</v>
      </c>
      <c r="H348" s="200"/>
      <c r="I348" s="194"/>
      <c r="J348" s="278" t="s">
        <v>56</v>
      </c>
      <c r="K348" s="192"/>
      <c r="L348" s="193">
        <v>5740</v>
      </c>
      <c r="M348" s="289"/>
      <c r="N348" s="178"/>
    </row>
    <row r="349" spans="1:14" hidden="1">
      <c r="A349" s="257"/>
      <c r="B349" s="194" t="s">
        <v>732</v>
      </c>
      <c r="C349" s="188" t="s">
        <v>739</v>
      </c>
      <c r="D349" s="195">
        <v>45936</v>
      </c>
      <c r="E349" s="189"/>
      <c r="F349" s="257" t="s">
        <v>16</v>
      </c>
      <c r="G349" s="272">
        <v>7265</v>
      </c>
      <c r="H349" s="200"/>
      <c r="I349" s="194"/>
      <c r="J349" s="278" t="s">
        <v>56</v>
      </c>
      <c r="K349" s="192"/>
      <c r="L349" s="193">
        <v>7265</v>
      </c>
      <c r="M349" s="289"/>
      <c r="N349" s="178"/>
    </row>
    <row r="350" spans="1:14" hidden="1">
      <c r="A350" s="257"/>
      <c r="B350" s="194" t="s">
        <v>2161</v>
      </c>
      <c r="C350" s="188">
        <v>396</v>
      </c>
      <c r="D350" s="195">
        <v>45698</v>
      </c>
      <c r="E350" s="189">
        <v>45698</v>
      </c>
      <c r="F350" s="257" t="s">
        <v>16</v>
      </c>
      <c r="G350" s="272">
        <v>48.5</v>
      </c>
      <c r="H350" s="190" t="s">
        <v>750</v>
      </c>
      <c r="I350" s="194" t="s">
        <v>279</v>
      </c>
      <c r="J350" s="278" t="s">
        <v>751</v>
      </c>
      <c r="K350" s="192"/>
      <c r="L350" s="193"/>
      <c r="M350" s="289"/>
    </row>
    <row r="351" spans="1:14" hidden="1">
      <c r="A351" s="257"/>
      <c r="B351" s="194" t="s">
        <v>2162</v>
      </c>
      <c r="C351" s="188">
        <v>3730</v>
      </c>
      <c r="D351" s="195">
        <v>45873</v>
      </c>
      <c r="E351" s="189"/>
      <c r="F351" s="257" t="s">
        <v>16</v>
      </c>
      <c r="G351" s="272">
        <v>88.72</v>
      </c>
      <c r="H351" s="190" t="s">
        <v>754</v>
      </c>
      <c r="I351" s="194"/>
      <c r="J351" s="278" t="s">
        <v>215</v>
      </c>
      <c r="K351" s="192"/>
      <c r="L351" s="193"/>
      <c r="M351" s="289"/>
    </row>
    <row r="352" spans="1:14" hidden="1">
      <c r="A352" s="257"/>
      <c r="B352" s="187" t="s">
        <v>2163</v>
      </c>
      <c r="C352" s="188" t="s">
        <v>756</v>
      </c>
      <c r="D352" s="189">
        <v>45988</v>
      </c>
      <c r="E352" s="189">
        <v>45988</v>
      </c>
      <c r="F352" s="257" t="s">
        <v>16</v>
      </c>
      <c r="G352" s="272">
        <v>2787</v>
      </c>
      <c r="H352" s="190"/>
      <c r="I352" s="187" t="s">
        <v>757</v>
      </c>
      <c r="J352" s="278" t="s">
        <v>66</v>
      </c>
      <c r="K352" s="192"/>
      <c r="L352" s="193"/>
      <c r="M352" s="289"/>
    </row>
    <row r="353" spans="1:13" hidden="1">
      <c r="A353" s="257"/>
      <c r="B353" s="187" t="s">
        <v>2164</v>
      </c>
      <c r="C353" s="188" t="s">
        <v>762</v>
      </c>
      <c r="D353" s="189">
        <v>45290</v>
      </c>
      <c r="E353" s="189">
        <v>45392</v>
      </c>
      <c r="F353" s="257" t="s">
        <v>16</v>
      </c>
      <c r="G353" s="272">
        <v>2098.7399999999998</v>
      </c>
      <c r="H353" s="208" t="s">
        <v>2165</v>
      </c>
      <c r="I353" s="187" t="s">
        <v>763</v>
      </c>
      <c r="J353" s="278" t="s">
        <v>56</v>
      </c>
      <c r="K353" s="192"/>
      <c r="L353" s="193"/>
      <c r="M353" s="289"/>
    </row>
    <row r="354" spans="1:13" hidden="1">
      <c r="A354" s="257"/>
      <c r="B354" s="187" t="s">
        <v>2164</v>
      </c>
      <c r="C354" s="188" t="s">
        <v>764</v>
      </c>
      <c r="D354" s="189">
        <v>45322</v>
      </c>
      <c r="E354" s="189">
        <v>45392</v>
      </c>
      <c r="F354" s="257" t="s">
        <v>16</v>
      </c>
      <c r="G354" s="272">
        <f>32498.09-G356</f>
        <v>-2098.7400000000016</v>
      </c>
      <c r="H354" s="208" t="s">
        <v>765</v>
      </c>
      <c r="I354" s="187" t="s">
        <v>763</v>
      </c>
      <c r="J354" s="278" t="s">
        <v>56</v>
      </c>
      <c r="K354" s="192">
        <v>45817</v>
      </c>
      <c r="L354" s="193">
        <f>5000</f>
        <v>5000</v>
      </c>
      <c r="M354" s="289" t="s">
        <v>111</v>
      </c>
    </row>
    <row r="355" spans="1:13" hidden="1">
      <c r="A355" s="257"/>
      <c r="B355" s="187" t="s">
        <v>2164</v>
      </c>
      <c r="C355" s="188" t="s">
        <v>764</v>
      </c>
      <c r="D355" s="189">
        <v>45322</v>
      </c>
      <c r="E355" s="189">
        <v>45392</v>
      </c>
      <c r="F355" s="257" t="s">
        <v>49</v>
      </c>
      <c r="G355" s="272">
        <f>L355</f>
        <v>16000</v>
      </c>
      <c r="H355" s="208"/>
      <c r="I355" s="187"/>
      <c r="J355" s="278"/>
      <c r="K355" s="192">
        <v>45960</v>
      </c>
      <c r="L355" s="193">
        <v>16000</v>
      </c>
      <c r="M355" s="289" t="s">
        <v>345</v>
      </c>
    </row>
    <row r="356" spans="1:13" hidden="1">
      <c r="A356" s="257"/>
      <c r="B356" s="187" t="s">
        <v>2164</v>
      </c>
      <c r="C356" s="188" t="s">
        <v>764</v>
      </c>
      <c r="D356" s="189">
        <v>45322</v>
      </c>
      <c r="E356" s="189">
        <v>45392</v>
      </c>
      <c r="F356" s="257" t="s">
        <v>16</v>
      </c>
      <c r="G356" s="272">
        <v>34596.83</v>
      </c>
      <c r="H356" s="208" t="s">
        <v>765</v>
      </c>
      <c r="I356" s="187" t="s">
        <v>763</v>
      </c>
      <c r="J356" s="278" t="s">
        <v>56</v>
      </c>
      <c r="K356" s="192"/>
      <c r="L356" s="193"/>
      <c r="M356" s="289"/>
    </row>
    <row r="357" spans="1:13" hidden="1">
      <c r="A357" s="257"/>
      <c r="B357" s="187" t="s">
        <v>2164</v>
      </c>
      <c r="C357" s="188">
        <v>857</v>
      </c>
      <c r="D357" s="195">
        <v>45442</v>
      </c>
      <c r="E357" s="189">
        <v>45545</v>
      </c>
      <c r="F357" s="257" t="s">
        <v>16</v>
      </c>
      <c r="G357" s="272">
        <v>761.89</v>
      </c>
      <c r="H357" s="200" t="s">
        <v>767</v>
      </c>
      <c r="I357" s="187" t="s">
        <v>337</v>
      </c>
      <c r="J357" s="278" t="s">
        <v>110</v>
      </c>
      <c r="K357" s="192"/>
      <c r="L357" s="193"/>
      <c r="M357" s="289"/>
    </row>
    <row r="358" spans="1:13" hidden="1">
      <c r="A358" s="257"/>
      <c r="B358" s="187" t="s">
        <v>2164</v>
      </c>
      <c r="C358" s="188" t="s">
        <v>2166</v>
      </c>
      <c r="D358" s="195"/>
      <c r="E358" s="189"/>
      <c r="F358" s="257" t="s">
        <v>16</v>
      </c>
      <c r="G358" s="272">
        <f>16000-(SUM(G356:G357))</f>
        <v>-19358.72</v>
      </c>
      <c r="H358" s="200"/>
      <c r="I358" s="187" t="s">
        <v>2167</v>
      </c>
      <c r="J358" s="278"/>
      <c r="K358" s="192"/>
      <c r="L358" s="193"/>
      <c r="M358" s="289" t="s">
        <v>2168</v>
      </c>
    </row>
    <row r="359" spans="1:13" hidden="1">
      <c r="A359" s="257"/>
      <c r="B359" s="194" t="s">
        <v>2164</v>
      </c>
      <c r="C359" s="188" t="s">
        <v>768</v>
      </c>
      <c r="D359" s="195">
        <v>45535</v>
      </c>
      <c r="E359" s="189">
        <v>45606</v>
      </c>
      <c r="F359" s="257" t="s">
        <v>49</v>
      </c>
      <c r="G359" s="272">
        <v>7308.41</v>
      </c>
      <c r="H359" s="200" t="s">
        <v>769</v>
      </c>
      <c r="I359" s="194" t="s">
        <v>770</v>
      </c>
      <c r="J359" s="278" t="s">
        <v>110</v>
      </c>
      <c r="K359" s="192"/>
      <c r="L359" s="193">
        <v>16000</v>
      </c>
      <c r="M359" s="289" t="s">
        <v>345</v>
      </c>
    </row>
    <row r="360" spans="1:13" hidden="1">
      <c r="A360" s="257"/>
      <c r="B360" s="194" t="s">
        <v>2169</v>
      </c>
      <c r="C360" s="188" t="s">
        <v>771</v>
      </c>
      <c r="D360" s="195">
        <v>45626</v>
      </c>
      <c r="E360" s="189">
        <v>45726</v>
      </c>
      <c r="F360" s="257" t="s">
        <v>16</v>
      </c>
      <c r="G360" s="272">
        <v>2930.44</v>
      </c>
      <c r="H360" s="200" t="s">
        <v>772</v>
      </c>
      <c r="I360" s="194" t="s">
        <v>773</v>
      </c>
      <c r="J360" s="278" t="s">
        <v>110</v>
      </c>
      <c r="K360" s="192">
        <v>45728</v>
      </c>
      <c r="L360" s="193" t="e">
        <f>$H$309+$H$310+$H$312</f>
        <v>#VALUE!</v>
      </c>
      <c r="M360" s="289" t="s">
        <v>111</v>
      </c>
    </row>
    <row r="361" spans="1:13" hidden="1">
      <c r="A361" s="257"/>
      <c r="B361" s="194" t="s">
        <v>2164</v>
      </c>
      <c r="C361" s="188" t="s">
        <v>774</v>
      </c>
      <c r="D361" s="195">
        <v>45645</v>
      </c>
      <c r="E361" s="189">
        <v>45726</v>
      </c>
      <c r="F361" s="257" t="s">
        <v>16</v>
      </c>
      <c r="G361" s="272">
        <v>2175.87</v>
      </c>
      <c r="H361" s="200" t="s">
        <v>775</v>
      </c>
      <c r="I361" s="194" t="s">
        <v>588</v>
      </c>
      <c r="J361" s="278" t="s">
        <v>110</v>
      </c>
      <c r="K361" s="192">
        <v>45728</v>
      </c>
      <c r="L361" s="193" t="e">
        <f>$H$309+$H$310+$H$312</f>
        <v>#VALUE!</v>
      </c>
      <c r="M361" s="289" t="s">
        <v>111</v>
      </c>
    </row>
    <row r="362" spans="1:13" hidden="1">
      <c r="A362" s="257"/>
      <c r="B362" s="194" t="s">
        <v>2164</v>
      </c>
      <c r="C362" s="188" t="s">
        <v>774</v>
      </c>
      <c r="D362" s="195">
        <v>45645</v>
      </c>
      <c r="E362" s="189">
        <v>45757</v>
      </c>
      <c r="F362" s="257" t="s">
        <v>49</v>
      </c>
      <c r="G362" s="272">
        <v>2175.87</v>
      </c>
      <c r="H362" s="200" t="s">
        <v>775</v>
      </c>
      <c r="I362" s="194" t="s">
        <v>588</v>
      </c>
      <c r="J362" s="278" t="s">
        <v>110</v>
      </c>
      <c r="K362" s="192">
        <v>45945</v>
      </c>
      <c r="L362" s="193">
        <v>16000</v>
      </c>
      <c r="M362" s="289" t="s">
        <v>345</v>
      </c>
    </row>
    <row r="363" spans="1:13" hidden="1">
      <c r="A363" s="257"/>
      <c r="B363" s="194" t="s">
        <v>2164</v>
      </c>
      <c r="C363" s="188" t="s">
        <v>776</v>
      </c>
      <c r="D363" s="195">
        <v>45657</v>
      </c>
      <c r="E363" s="189">
        <v>45726</v>
      </c>
      <c r="F363" s="257" t="s">
        <v>16</v>
      </c>
      <c r="G363" s="272">
        <v>4688.1499999999996</v>
      </c>
      <c r="H363" s="200" t="s">
        <v>777</v>
      </c>
      <c r="I363" s="194" t="s">
        <v>588</v>
      </c>
      <c r="J363" s="278" t="s">
        <v>110</v>
      </c>
      <c r="K363" s="192">
        <v>45728</v>
      </c>
      <c r="L363" s="193" t="e">
        <f>$H$309+$H$310+$H$312</f>
        <v>#VALUE!</v>
      </c>
      <c r="M363" s="289" t="s">
        <v>111</v>
      </c>
    </row>
    <row r="364" spans="1:13" hidden="1">
      <c r="A364" s="257"/>
      <c r="B364" s="194" t="s">
        <v>2164</v>
      </c>
      <c r="C364" s="188" t="s">
        <v>776</v>
      </c>
      <c r="D364" s="195">
        <v>45657</v>
      </c>
      <c r="E364" s="189">
        <v>45757</v>
      </c>
      <c r="F364" s="257" t="s">
        <v>49</v>
      </c>
      <c r="G364" s="272">
        <v>4688.16</v>
      </c>
      <c r="H364" s="200" t="s">
        <v>777</v>
      </c>
      <c r="I364" s="194" t="s">
        <v>592</v>
      </c>
      <c r="J364" s="278" t="s">
        <v>110</v>
      </c>
      <c r="K364" s="192">
        <v>45945</v>
      </c>
      <c r="L364" s="193">
        <v>16000</v>
      </c>
      <c r="M364" s="289" t="s">
        <v>345</v>
      </c>
    </row>
    <row r="365" spans="1:13" hidden="1">
      <c r="A365" s="257"/>
      <c r="B365" s="194" t="s">
        <v>2164</v>
      </c>
      <c r="C365" s="188">
        <v>62</v>
      </c>
      <c r="D365" s="195">
        <v>45688</v>
      </c>
      <c r="E365" s="189">
        <v>45757</v>
      </c>
      <c r="F365" s="257" t="s">
        <v>49</v>
      </c>
      <c r="G365" s="272">
        <v>2737.38</v>
      </c>
      <c r="H365" s="190" t="s">
        <v>779</v>
      </c>
      <c r="I365" s="194" t="s">
        <v>592</v>
      </c>
      <c r="J365" s="278" t="s">
        <v>110</v>
      </c>
      <c r="K365" s="192">
        <v>45945</v>
      </c>
      <c r="L365" s="193">
        <v>16000</v>
      </c>
      <c r="M365" s="289" t="s">
        <v>345</v>
      </c>
    </row>
    <row r="366" spans="1:13" hidden="1">
      <c r="A366" s="257"/>
      <c r="B366" s="194" t="s">
        <v>2164</v>
      </c>
      <c r="C366" s="188">
        <v>62</v>
      </c>
      <c r="D366" s="195">
        <v>45688</v>
      </c>
      <c r="E366" s="189">
        <v>45787</v>
      </c>
      <c r="F366" s="257" t="s">
        <v>16</v>
      </c>
      <c r="G366" s="272">
        <v>2737.37</v>
      </c>
      <c r="H366" s="190" t="s">
        <v>779</v>
      </c>
      <c r="I366" s="194" t="s">
        <v>592</v>
      </c>
      <c r="J366" s="278" t="s">
        <v>56</v>
      </c>
      <c r="K366" s="192">
        <v>45792</v>
      </c>
      <c r="L366" s="193">
        <f>G367</f>
        <v>48000</v>
      </c>
      <c r="M366" s="289" t="s">
        <v>345</v>
      </c>
    </row>
    <row r="367" spans="1:13" hidden="1">
      <c r="A367" s="257" t="s">
        <v>780</v>
      </c>
      <c r="B367" s="187" t="s">
        <v>2170</v>
      </c>
      <c r="C367" s="188" t="s">
        <v>781</v>
      </c>
      <c r="D367" s="189"/>
      <c r="E367" s="189"/>
      <c r="F367" s="257" t="s">
        <v>49</v>
      </c>
      <c r="G367" s="272">
        <v>48000</v>
      </c>
      <c r="H367" s="190"/>
      <c r="I367" s="187" t="s">
        <v>782</v>
      </c>
      <c r="J367" s="278" t="s">
        <v>783</v>
      </c>
      <c r="K367" s="192"/>
      <c r="L367" s="193">
        <v>48000</v>
      </c>
      <c r="M367" s="289" t="s">
        <v>784</v>
      </c>
    </row>
    <row r="368" spans="1:13" hidden="1">
      <c r="A368" s="257" t="s">
        <v>785</v>
      </c>
      <c r="B368" s="187" t="s">
        <v>2164</v>
      </c>
      <c r="C368" s="188" t="s">
        <v>786</v>
      </c>
      <c r="D368" s="189">
        <v>45990</v>
      </c>
      <c r="E368" s="189">
        <v>46063</v>
      </c>
      <c r="F368" s="257"/>
      <c r="G368" s="272">
        <v>3852.15</v>
      </c>
      <c r="H368" s="190"/>
      <c r="I368" s="187" t="s">
        <v>787</v>
      </c>
      <c r="J368" s="278" t="s">
        <v>374</v>
      </c>
      <c r="K368" s="192">
        <v>46063</v>
      </c>
      <c r="L368" s="193">
        <v>3852.15</v>
      </c>
      <c r="M368" s="289"/>
    </row>
    <row r="369" spans="1:14" hidden="1">
      <c r="A369" s="257" t="s">
        <v>788</v>
      </c>
      <c r="B369" s="187" t="s">
        <v>2164</v>
      </c>
      <c r="C369" s="188" t="s">
        <v>789</v>
      </c>
      <c r="D369" s="189">
        <v>45990</v>
      </c>
      <c r="E369" s="189">
        <v>46091</v>
      </c>
      <c r="F369" s="257"/>
      <c r="G369" s="272">
        <v>3852.15</v>
      </c>
      <c r="H369" s="190"/>
      <c r="I369" s="187" t="s">
        <v>790</v>
      </c>
      <c r="J369" s="278" t="s">
        <v>374</v>
      </c>
      <c r="K369" s="192">
        <v>46091</v>
      </c>
      <c r="L369" s="193">
        <v>3852.15</v>
      </c>
      <c r="M369" s="289"/>
    </row>
    <row r="370" spans="1:14" hidden="1">
      <c r="A370" s="257" t="s">
        <v>785</v>
      </c>
      <c r="B370" s="187" t="s">
        <v>2164</v>
      </c>
      <c r="C370" s="188" t="s">
        <v>3325</v>
      </c>
      <c r="D370" s="189">
        <v>46004</v>
      </c>
      <c r="E370" s="189">
        <v>46091</v>
      </c>
      <c r="F370" s="257"/>
      <c r="G370" s="272">
        <v>1175.78</v>
      </c>
      <c r="H370" s="190"/>
      <c r="I370" s="187" t="s">
        <v>3380</v>
      </c>
      <c r="J370" s="278" t="s">
        <v>374</v>
      </c>
      <c r="K370" s="192">
        <v>44995</v>
      </c>
      <c r="L370" s="193">
        <v>1175.78</v>
      </c>
      <c r="M370" s="289"/>
    </row>
    <row r="371" spans="1:14" hidden="1">
      <c r="A371" s="257" t="s">
        <v>788</v>
      </c>
      <c r="B371" s="187" t="s">
        <v>2164</v>
      </c>
      <c r="C371" s="188" t="s">
        <v>3325</v>
      </c>
      <c r="D371" s="189">
        <v>46004</v>
      </c>
      <c r="E371" s="189">
        <v>46122</v>
      </c>
      <c r="F371" s="257"/>
      <c r="G371" s="272">
        <v>1175.77</v>
      </c>
      <c r="H371" s="190"/>
      <c r="I371" s="187" t="s">
        <v>3380</v>
      </c>
      <c r="J371" s="278" t="s">
        <v>374</v>
      </c>
      <c r="K371" s="192">
        <v>46122</v>
      </c>
      <c r="L371" s="193">
        <v>1175.77</v>
      </c>
      <c r="M371" s="289"/>
    </row>
    <row r="372" spans="1:14" hidden="1">
      <c r="A372" s="257"/>
      <c r="B372" s="187" t="s">
        <v>3352</v>
      </c>
      <c r="C372" s="188" t="s">
        <v>3321</v>
      </c>
      <c r="D372" s="189">
        <v>46008</v>
      </c>
      <c r="E372" s="189">
        <v>46053</v>
      </c>
      <c r="F372" s="257"/>
      <c r="G372" s="272">
        <v>463.6</v>
      </c>
      <c r="H372" s="190"/>
      <c r="I372" s="187" t="s">
        <v>3379</v>
      </c>
      <c r="J372" s="278" t="s">
        <v>374</v>
      </c>
      <c r="K372" s="192">
        <v>46053</v>
      </c>
      <c r="L372" s="193">
        <v>463.6</v>
      </c>
      <c r="M372" s="289"/>
    </row>
    <row r="373" spans="1:14" hidden="1">
      <c r="A373" s="260">
        <v>2024</v>
      </c>
      <c r="B373" s="194" t="s">
        <v>2171</v>
      </c>
      <c r="C373" s="188" t="s">
        <v>808</v>
      </c>
      <c r="D373" s="195">
        <v>45457</v>
      </c>
      <c r="E373" s="189">
        <v>45536</v>
      </c>
      <c r="F373" s="257" t="s">
        <v>16</v>
      </c>
      <c r="G373" s="272">
        <v>292.8</v>
      </c>
      <c r="H373" s="231"/>
      <c r="I373" s="194" t="s">
        <v>69</v>
      </c>
      <c r="J373" s="278" t="s">
        <v>354</v>
      </c>
      <c r="K373" s="192">
        <v>45950</v>
      </c>
      <c r="L373" s="193"/>
      <c r="M373" s="289" t="s">
        <v>809</v>
      </c>
    </row>
    <row r="374" spans="1:14" hidden="1">
      <c r="A374" s="260">
        <v>2024</v>
      </c>
      <c r="B374" s="194" t="s">
        <v>2171</v>
      </c>
      <c r="C374" s="188" t="s">
        <v>810</v>
      </c>
      <c r="D374" s="195">
        <v>45433</v>
      </c>
      <c r="E374" s="189">
        <v>45514</v>
      </c>
      <c r="F374" s="257" t="s">
        <v>16</v>
      </c>
      <c r="G374" s="272">
        <v>474.96</v>
      </c>
      <c r="H374" s="231"/>
      <c r="I374" s="194" t="s">
        <v>69</v>
      </c>
      <c r="J374" s="278" t="s">
        <v>354</v>
      </c>
      <c r="K374" s="192">
        <v>45950</v>
      </c>
      <c r="L374" s="193"/>
      <c r="M374" s="289" t="s">
        <v>809</v>
      </c>
    </row>
    <row r="375" spans="1:14" hidden="1">
      <c r="A375" s="257"/>
      <c r="B375" s="194" t="s">
        <v>2172</v>
      </c>
      <c r="C375" s="188" t="s">
        <v>759</v>
      </c>
      <c r="D375" s="195">
        <v>45991</v>
      </c>
      <c r="E375" s="189">
        <v>45991</v>
      </c>
      <c r="F375" s="257"/>
      <c r="G375" s="272">
        <v>139.08000000000001</v>
      </c>
      <c r="H375" s="196"/>
      <c r="I375" s="194" t="s">
        <v>760</v>
      </c>
      <c r="J375" s="278" t="s">
        <v>83</v>
      </c>
      <c r="K375" s="192"/>
      <c r="L375" s="193">
        <v>139.08000000000001</v>
      </c>
      <c r="M375" s="289"/>
    </row>
    <row r="376" spans="1:14" hidden="1">
      <c r="A376" s="257" t="s">
        <v>13</v>
      </c>
      <c r="B376" s="187" t="s">
        <v>2173</v>
      </c>
      <c r="C376" s="188" t="s">
        <v>812</v>
      </c>
      <c r="D376" s="189">
        <v>45968</v>
      </c>
      <c r="E376" s="189">
        <v>45968</v>
      </c>
      <c r="F376" s="257" t="s">
        <v>49</v>
      </c>
      <c r="G376" s="272">
        <v>137.6</v>
      </c>
      <c r="H376" s="190"/>
      <c r="I376" s="187" t="s">
        <v>813</v>
      </c>
      <c r="J376" s="278" t="s">
        <v>422</v>
      </c>
      <c r="K376" s="192">
        <v>45968</v>
      </c>
      <c r="L376" s="193">
        <v>137.6</v>
      </c>
      <c r="M376" s="289" t="s">
        <v>47</v>
      </c>
    </row>
    <row r="377" spans="1:14" hidden="1">
      <c r="A377" s="257" t="s">
        <v>13</v>
      </c>
      <c r="B377" s="187" t="s">
        <v>2173</v>
      </c>
      <c r="C377" s="188" t="s">
        <v>814</v>
      </c>
      <c r="D377" s="189">
        <v>45982</v>
      </c>
      <c r="E377" s="189">
        <v>45982</v>
      </c>
      <c r="F377" s="257" t="s">
        <v>49</v>
      </c>
      <c r="G377" s="272">
        <v>53.7</v>
      </c>
      <c r="H377" s="190"/>
      <c r="I377" s="187" t="s">
        <v>813</v>
      </c>
      <c r="J377" s="278" t="s">
        <v>422</v>
      </c>
      <c r="K377" s="192">
        <v>45982</v>
      </c>
      <c r="L377" s="193">
        <v>53.7</v>
      </c>
      <c r="M377" s="289" t="s">
        <v>47</v>
      </c>
    </row>
    <row r="378" spans="1:14" hidden="1">
      <c r="A378" s="257"/>
      <c r="B378" s="187" t="s">
        <v>811</v>
      </c>
      <c r="C378" s="188" t="s">
        <v>3323</v>
      </c>
      <c r="D378" s="189">
        <v>46014</v>
      </c>
      <c r="E378" s="189">
        <v>46014</v>
      </c>
      <c r="F378" s="257" t="s">
        <v>16</v>
      </c>
      <c r="G378" s="272">
        <v>55.2</v>
      </c>
      <c r="H378" s="190"/>
      <c r="I378" s="187" t="s">
        <v>813</v>
      </c>
      <c r="J378" s="278" t="s">
        <v>47</v>
      </c>
      <c r="K378" s="192">
        <v>46014</v>
      </c>
      <c r="L378" s="193">
        <v>55.2</v>
      </c>
      <c r="M378" s="289" t="s">
        <v>47</v>
      </c>
    </row>
    <row r="379" spans="1:14" hidden="1">
      <c r="A379" s="196" t="s">
        <v>13</v>
      </c>
      <c r="B379" s="196" t="s">
        <v>811</v>
      </c>
      <c r="C379" s="196" t="s">
        <v>4132</v>
      </c>
      <c r="D379" s="192">
        <v>46038</v>
      </c>
      <c r="E379" s="192">
        <v>46038</v>
      </c>
      <c r="F379" s="196" t="s">
        <v>16</v>
      </c>
      <c r="G379" s="201">
        <v>56.7</v>
      </c>
      <c r="H379" s="196" t="s">
        <v>813</v>
      </c>
      <c r="I379" s="196" t="s">
        <v>47</v>
      </c>
      <c r="J379" s="192">
        <v>46038</v>
      </c>
      <c r="K379" s="201">
        <v>56.7</v>
      </c>
      <c r="L379" s="196" t="s">
        <v>47</v>
      </c>
      <c r="M379" s="289"/>
    </row>
    <row r="380" spans="1:14" hidden="1">
      <c r="A380" s="257"/>
      <c r="B380" s="194" t="s">
        <v>2174</v>
      </c>
      <c r="C380" s="188">
        <v>1012500475</v>
      </c>
      <c r="D380" s="195">
        <v>45777</v>
      </c>
      <c r="E380" s="189">
        <v>45777</v>
      </c>
      <c r="F380" s="257" t="s">
        <v>16</v>
      </c>
      <c r="G380" s="272">
        <v>79.13</v>
      </c>
      <c r="H380" s="190" t="s">
        <v>793</v>
      </c>
      <c r="I380" s="194"/>
      <c r="J380" s="278" t="s">
        <v>794</v>
      </c>
      <c r="K380" s="192">
        <v>45709</v>
      </c>
      <c r="L380" s="193"/>
      <c r="M380" s="289" t="s">
        <v>111</v>
      </c>
    </row>
    <row r="381" spans="1:14" hidden="1">
      <c r="A381" s="257"/>
      <c r="B381" s="194" t="s">
        <v>2175</v>
      </c>
      <c r="C381" s="188" t="s">
        <v>796</v>
      </c>
      <c r="D381" s="195">
        <v>45713</v>
      </c>
      <c r="E381" s="189">
        <v>45713</v>
      </c>
      <c r="F381" s="257" t="s">
        <v>16</v>
      </c>
      <c r="G381" s="272">
        <v>737.47</v>
      </c>
      <c r="H381" s="190" t="s">
        <v>797</v>
      </c>
      <c r="I381" s="194" t="s">
        <v>798</v>
      </c>
      <c r="J381" s="278" t="s">
        <v>66</v>
      </c>
      <c r="K381" s="192"/>
      <c r="L381" s="193"/>
      <c r="M381" s="289"/>
    </row>
    <row r="382" spans="1:14" hidden="1">
      <c r="A382" s="257"/>
      <c r="B382" s="194" t="s">
        <v>2175</v>
      </c>
      <c r="C382" s="188" t="s">
        <v>796</v>
      </c>
      <c r="D382" s="195">
        <v>45713</v>
      </c>
      <c r="E382" s="189">
        <v>45732</v>
      </c>
      <c r="F382" s="257" t="s">
        <v>16</v>
      </c>
      <c r="G382" s="272">
        <v>138</v>
      </c>
      <c r="H382" s="190" t="s">
        <v>797</v>
      </c>
      <c r="I382" s="194" t="s">
        <v>798</v>
      </c>
      <c r="J382" s="278" t="s">
        <v>799</v>
      </c>
      <c r="K382" s="192"/>
      <c r="L382" s="193"/>
      <c r="M382" s="289"/>
    </row>
    <row r="383" spans="1:14" hidden="1">
      <c r="A383" s="260" t="s">
        <v>13</v>
      </c>
      <c r="B383" s="194" t="s">
        <v>2176</v>
      </c>
      <c r="C383" s="188" t="s">
        <v>801</v>
      </c>
      <c r="D383" s="195">
        <v>45808</v>
      </c>
      <c r="E383" s="189">
        <v>45869</v>
      </c>
      <c r="F383" s="257" t="s">
        <v>49</v>
      </c>
      <c r="G383" s="272">
        <f>1944.92-G384</f>
        <v>1100</v>
      </c>
      <c r="H383" s="190" t="s">
        <v>802</v>
      </c>
      <c r="I383" s="194"/>
      <c r="J383" s="278" t="s">
        <v>75</v>
      </c>
      <c r="K383" s="192">
        <v>45945</v>
      </c>
      <c r="L383" s="193">
        <v>1100</v>
      </c>
      <c r="M383" s="289" t="s">
        <v>345</v>
      </c>
    </row>
    <row r="384" spans="1:14" hidden="1">
      <c r="A384" s="260" t="s">
        <v>13</v>
      </c>
      <c r="B384" s="194" t="s">
        <v>800</v>
      </c>
      <c r="C384" s="194" t="s">
        <v>801</v>
      </c>
      <c r="D384" s="192">
        <v>45808</v>
      </c>
      <c r="E384" s="192">
        <v>45869</v>
      </c>
      <c r="F384" s="194" t="s">
        <v>49</v>
      </c>
      <c r="G384" s="201">
        <v>844.92000000000007</v>
      </c>
      <c r="H384" s="190"/>
      <c r="I384" s="194"/>
      <c r="J384" s="278" t="s">
        <v>83</v>
      </c>
      <c r="K384" s="192">
        <v>45960</v>
      </c>
      <c r="L384" s="193">
        <v>844.92</v>
      </c>
      <c r="M384" s="289" t="s">
        <v>246</v>
      </c>
      <c r="N384" s="232"/>
    </row>
    <row r="385" spans="1:14" hidden="1">
      <c r="A385" s="260">
        <v>2024</v>
      </c>
      <c r="B385" s="194" t="s">
        <v>2176</v>
      </c>
      <c r="C385" s="188" t="s">
        <v>803</v>
      </c>
      <c r="D385" s="195">
        <v>45626</v>
      </c>
      <c r="E385" s="189">
        <v>45698</v>
      </c>
      <c r="F385" s="257" t="s">
        <v>16</v>
      </c>
      <c r="G385" s="272">
        <v>513.34</v>
      </c>
      <c r="H385" s="231" t="s">
        <v>804</v>
      </c>
      <c r="I385" s="194"/>
      <c r="J385" s="278" t="s">
        <v>110</v>
      </c>
      <c r="K385" s="192">
        <v>45709</v>
      </c>
      <c r="L385" s="193">
        <v>513.34</v>
      </c>
      <c r="M385" s="289" t="s">
        <v>111</v>
      </c>
      <c r="N385" s="232"/>
    </row>
    <row r="386" spans="1:14" hidden="1">
      <c r="A386" s="260" t="s">
        <v>13</v>
      </c>
      <c r="B386" s="194" t="s">
        <v>2176</v>
      </c>
      <c r="C386" s="188" t="s">
        <v>805</v>
      </c>
      <c r="D386" s="195">
        <v>45899</v>
      </c>
      <c r="E386" s="189">
        <v>45899</v>
      </c>
      <c r="F386" s="257" t="s">
        <v>49</v>
      </c>
      <c r="G386" s="272">
        <v>331.46</v>
      </c>
      <c r="H386" s="231" t="s">
        <v>806</v>
      </c>
      <c r="I386" s="194"/>
      <c r="J386" s="278" t="s">
        <v>110</v>
      </c>
      <c r="K386" s="192">
        <v>45960</v>
      </c>
      <c r="L386" s="193">
        <v>331.46</v>
      </c>
      <c r="M386" s="289" t="s">
        <v>19</v>
      </c>
    </row>
    <row r="387" spans="1:14" hidden="1">
      <c r="A387" s="257" t="s">
        <v>13</v>
      </c>
      <c r="B387" s="187" t="s">
        <v>2177</v>
      </c>
      <c r="C387" s="188" t="s">
        <v>820</v>
      </c>
      <c r="D387" s="189">
        <v>45979</v>
      </c>
      <c r="E387" s="189">
        <v>45979</v>
      </c>
      <c r="F387" s="257" t="s">
        <v>16</v>
      </c>
      <c r="G387" s="272">
        <v>20000</v>
      </c>
      <c r="H387" s="190"/>
      <c r="I387" s="187" t="s">
        <v>787</v>
      </c>
      <c r="J387" s="278" t="s">
        <v>83</v>
      </c>
      <c r="K387" s="192">
        <v>45989</v>
      </c>
      <c r="L387" s="193">
        <v>10000</v>
      </c>
      <c r="M387" s="289" t="s">
        <v>313</v>
      </c>
    </row>
    <row r="388" spans="1:14" hidden="1">
      <c r="A388" s="257" t="s">
        <v>13</v>
      </c>
      <c r="B388" s="187" t="s">
        <v>2177</v>
      </c>
      <c r="C388" s="188" t="s">
        <v>820</v>
      </c>
      <c r="D388" s="189">
        <v>45979</v>
      </c>
      <c r="E388" s="189"/>
      <c r="F388" s="257" t="s">
        <v>16</v>
      </c>
      <c r="G388" s="272">
        <v>10000</v>
      </c>
      <c r="H388" s="190"/>
      <c r="I388" s="187" t="s">
        <v>821</v>
      </c>
      <c r="J388" s="278"/>
      <c r="K388" s="192">
        <v>46016</v>
      </c>
      <c r="L388" s="193">
        <v>10000</v>
      </c>
      <c r="M388" s="289" t="s">
        <v>313</v>
      </c>
    </row>
    <row r="389" spans="1:14" hidden="1">
      <c r="A389" s="257" t="s">
        <v>13</v>
      </c>
      <c r="B389" s="194" t="s">
        <v>815</v>
      </c>
      <c r="C389" s="188" t="s">
        <v>820</v>
      </c>
      <c r="D389" s="195">
        <v>45979</v>
      </c>
      <c r="E389" s="189">
        <v>45979</v>
      </c>
      <c r="F389" s="257" t="s">
        <v>16</v>
      </c>
      <c r="G389" s="272">
        <v>20000</v>
      </c>
      <c r="H389" s="231"/>
      <c r="I389" s="194" t="s">
        <v>787</v>
      </c>
      <c r="J389" s="278" t="s">
        <v>83</v>
      </c>
      <c r="K389" s="192">
        <v>45989</v>
      </c>
      <c r="L389" s="193">
        <v>10000</v>
      </c>
      <c r="M389" s="289" t="s">
        <v>313</v>
      </c>
    </row>
    <row r="390" spans="1:14" hidden="1">
      <c r="A390" s="257" t="s">
        <v>13</v>
      </c>
      <c r="B390" s="194" t="s">
        <v>815</v>
      </c>
      <c r="C390" s="188" t="s">
        <v>820</v>
      </c>
      <c r="D390" s="195">
        <v>45979</v>
      </c>
      <c r="E390" s="189"/>
      <c r="F390" s="257" t="s">
        <v>16</v>
      </c>
      <c r="G390" s="272">
        <v>10000</v>
      </c>
      <c r="H390" s="231"/>
      <c r="I390" s="194" t="s">
        <v>821</v>
      </c>
      <c r="J390" s="278"/>
      <c r="K390" s="192"/>
      <c r="L390" s="193"/>
      <c r="M390" s="289"/>
    </row>
    <row r="391" spans="1:14" hidden="1">
      <c r="A391" s="257"/>
      <c r="B391" s="194" t="s">
        <v>815</v>
      </c>
      <c r="C391" s="188" t="s">
        <v>4181</v>
      </c>
      <c r="D391" s="195">
        <v>46055</v>
      </c>
      <c r="E391" s="195">
        <v>46055</v>
      </c>
      <c r="F391" s="257"/>
      <c r="G391" s="272">
        <v>3000</v>
      </c>
      <c r="H391" s="196"/>
      <c r="I391" s="194" t="s">
        <v>4182</v>
      </c>
      <c r="J391" s="278" t="s">
        <v>3314</v>
      </c>
      <c r="K391" s="193">
        <v>0</v>
      </c>
      <c r="L391" s="192">
        <v>46115</v>
      </c>
      <c r="M391" s="289"/>
    </row>
    <row r="392" spans="1:14" hidden="1">
      <c r="A392" s="257" t="s">
        <v>13</v>
      </c>
      <c r="B392" s="194" t="s">
        <v>2178</v>
      </c>
      <c r="C392" s="188" t="s">
        <v>816</v>
      </c>
      <c r="D392" s="195">
        <v>45936</v>
      </c>
      <c r="E392" s="189">
        <v>45936</v>
      </c>
      <c r="F392" s="257" t="s">
        <v>49</v>
      </c>
      <c r="G392" s="272">
        <v>6000</v>
      </c>
      <c r="H392" s="231" t="s">
        <v>817</v>
      </c>
      <c r="I392" s="194" t="s">
        <v>818</v>
      </c>
      <c r="J392" s="278" t="s">
        <v>56</v>
      </c>
      <c r="K392" s="192">
        <v>45945</v>
      </c>
      <c r="L392" s="193">
        <v>6000</v>
      </c>
      <c r="M392" s="289" t="s">
        <v>345</v>
      </c>
    </row>
    <row r="393" spans="1:14" hidden="1">
      <c r="A393" s="257" t="s">
        <v>13</v>
      </c>
      <c r="B393" s="194" t="s">
        <v>2178</v>
      </c>
      <c r="C393" s="188" t="s">
        <v>816</v>
      </c>
      <c r="D393" s="195">
        <v>45936</v>
      </c>
      <c r="E393" s="189">
        <v>45936</v>
      </c>
      <c r="F393" s="257" t="s">
        <v>49</v>
      </c>
      <c r="G393" s="272">
        <f>10000-6000</f>
        <v>4000</v>
      </c>
      <c r="H393" s="231"/>
      <c r="I393" s="194" t="s">
        <v>818</v>
      </c>
      <c r="J393" s="278" t="s">
        <v>83</v>
      </c>
      <c r="K393" s="192">
        <v>45959</v>
      </c>
      <c r="L393" s="193">
        <v>4000</v>
      </c>
      <c r="M393" s="289" t="s">
        <v>313</v>
      </c>
    </row>
    <row r="394" spans="1:14" hidden="1">
      <c r="A394" s="257" t="s">
        <v>13</v>
      </c>
      <c r="B394" s="194" t="s">
        <v>2179</v>
      </c>
      <c r="C394" s="188" t="s">
        <v>823</v>
      </c>
      <c r="D394" s="195">
        <v>45957</v>
      </c>
      <c r="E394" s="189">
        <v>45957</v>
      </c>
      <c r="F394" s="257" t="s">
        <v>49</v>
      </c>
      <c r="G394" s="272">
        <v>109.56</v>
      </c>
      <c r="H394" s="231"/>
      <c r="I394" s="194" t="s">
        <v>824</v>
      </c>
      <c r="J394" s="278" t="s">
        <v>47</v>
      </c>
      <c r="K394" s="192"/>
      <c r="L394" s="193">
        <v>109.56</v>
      </c>
      <c r="M394" s="289" t="s">
        <v>3392</v>
      </c>
    </row>
    <row r="395" spans="1:14" hidden="1">
      <c r="A395" s="331"/>
      <c r="B395" s="187" t="s">
        <v>2180</v>
      </c>
      <c r="C395" s="188" t="s">
        <v>2181</v>
      </c>
      <c r="D395" s="189">
        <v>45715</v>
      </c>
      <c r="E395" s="189">
        <v>45709</v>
      </c>
      <c r="F395" s="257" t="s">
        <v>16</v>
      </c>
      <c r="G395" s="272">
        <v>10000</v>
      </c>
      <c r="H395" s="208" t="s">
        <v>834</v>
      </c>
      <c r="I395" s="275" t="s">
        <v>55</v>
      </c>
      <c r="J395" s="278" t="s">
        <v>56</v>
      </c>
      <c r="K395" s="192">
        <v>45709</v>
      </c>
      <c r="L395" s="193">
        <v>10000</v>
      </c>
      <c r="M395" s="289" t="s">
        <v>111</v>
      </c>
    </row>
    <row r="396" spans="1:14" hidden="1">
      <c r="A396" s="331"/>
      <c r="B396" s="187" t="s">
        <v>2180</v>
      </c>
      <c r="C396" s="188" t="s">
        <v>835</v>
      </c>
      <c r="D396" s="189">
        <v>45991</v>
      </c>
      <c r="E396" s="189">
        <v>45991</v>
      </c>
      <c r="F396" s="257" t="s">
        <v>49</v>
      </c>
      <c r="G396" s="272">
        <v>10000</v>
      </c>
      <c r="H396" s="190"/>
      <c r="I396" s="187" t="s">
        <v>836</v>
      </c>
      <c r="J396" s="278" t="s">
        <v>56</v>
      </c>
      <c r="K396" s="192">
        <v>45989</v>
      </c>
      <c r="L396" s="193">
        <v>10000</v>
      </c>
      <c r="M396" s="289" t="s">
        <v>19</v>
      </c>
    </row>
    <row r="397" spans="1:14" hidden="1">
      <c r="A397" s="257"/>
      <c r="B397" s="187" t="s">
        <v>2180</v>
      </c>
      <c r="C397" s="188" t="s">
        <v>2182</v>
      </c>
      <c r="D397" s="189"/>
      <c r="E397" s="189"/>
      <c r="F397" s="257"/>
      <c r="G397" s="272">
        <f>100000-G396-G395</f>
        <v>80000</v>
      </c>
      <c r="H397" s="190"/>
      <c r="I397" s="187"/>
      <c r="J397" s="278"/>
      <c r="K397" s="192"/>
      <c r="L397" s="193"/>
      <c r="M397" s="289"/>
    </row>
    <row r="398" spans="1:14" hidden="1">
      <c r="B398" s="194" t="s">
        <v>2200</v>
      </c>
      <c r="C398" s="209">
        <v>9</v>
      </c>
      <c r="D398" s="195">
        <v>45730</v>
      </c>
      <c r="E398" s="210">
        <v>45730</v>
      </c>
      <c r="F398" s="268" t="s">
        <v>16</v>
      </c>
      <c r="G398" s="273">
        <v>3000</v>
      </c>
      <c r="H398" s="190" t="s">
        <v>894</v>
      </c>
      <c r="I398" s="194" t="s">
        <v>312</v>
      </c>
      <c r="J398" s="279" t="s">
        <v>66</v>
      </c>
      <c r="K398" s="192"/>
      <c r="L398" s="193"/>
      <c r="M398" s="289"/>
    </row>
    <row r="399" spans="1:14" hidden="1">
      <c r="A399" s="257"/>
      <c r="B399" s="194" t="s">
        <v>2200</v>
      </c>
      <c r="C399" s="188">
        <v>9</v>
      </c>
      <c r="D399" s="195">
        <v>45730</v>
      </c>
      <c r="E399" s="189">
        <v>45763</v>
      </c>
      <c r="F399" s="257" t="s">
        <v>16</v>
      </c>
      <c r="G399" s="272">
        <v>555.04</v>
      </c>
      <c r="H399" s="190" t="s">
        <v>894</v>
      </c>
      <c r="I399" s="194" t="s">
        <v>897</v>
      </c>
      <c r="J399" s="278" t="s">
        <v>799</v>
      </c>
      <c r="K399" s="192"/>
      <c r="L399" s="193"/>
      <c r="M399" s="289"/>
    </row>
    <row r="400" spans="1:14" hidden="1">
      <c r="A400" s="264" t="s">
        <v>2201</v>
      </c>
      <c r="B400" s="194" t="s">
        <v>2200</v>
      </c>
      <c r="C400" s="188" t="s">
        <v>897</v>
      </c>
      <c r="D400" s="195"/>
      <c r="E400" s="189"/>
      <c r="F400" s="257"/>
      <c r="G400" s="272">
        <v>13700</v>
      </c>
      <c r="H400" s="190"/>
      <c r="I400" s="194"/>
      <c r="J400" s="278" t="s">
        <v>66</v>
      </c>
      <c r="K400" s="192">
        <v>45960</v>
      </c>
      <c r="L400" s="193">
        <v>3000</v>
      </c>
      <c r="M400" s="289" t="s">
        <v>246</v>
      </c>
    </row>
    <row r="401" spans="1:14" hidden="1">
      <c r="A401" s="257"/>
      <c r="B401" s="194" t="s">
        <v>2200</v>
      </c>
      <c r="C401" s="188" t="s">
        <v>895</v>
      </c>
      <c r="D401" s="189">
        <v>45940</v>
      </c>
      <c r="E401" s="189">
        <v>45940</v>
      </c>
      <c r="F401" s="257" t="s">
        <v>16</v>
      </c>
      <c r="G401" s="272">
        <v>3300</v>
      </c>
      <c r="H401" s="190"/>
      <c r="I401" s="187" t="s">
        <v>787</v>
      </c>
      <c r="J401" s="278" t="s">
        <v>354</v>
      </c>
      <c r="K401" s="192">
        <v>45940</v>
      </c>
      <c r="L401" s="193">
        <v>3300</v>
      </c>
      <c r="M401" s="289" t="s">
        <v>19</v>
      </c>
    </row>
    <row r="402" spans="1:14" hidden="1">
      <c r="A402" s="257"/>
      <c r="B402" s="194" t="s">
        <v>2200</v>
      </c>
      <c r="C402" s="188" t="s">
        <v>895</v>
      </c>
      <c r="D402" s="189">
        <v>45940</v>
      </c>
      <c r="E402" s="189">
        <v>45977</v>
      </c>
      <c r="F402" s="257" t="s">
        <v>16</v>
      </c>
      <c r="G402" s="272">
        <v>597.59</v>
      </c>
      <c r="H402" s="190"/>
      <c r="I402" s="187" t="s">
        <v>2202</v>
      </c>
      <c r="J402" s="278" t="s">
        <v>354</v>
      </c>
      <c r="K402" s="192"/>
      <c r="L402" s="193"/>
      <c r="M402" s="289"/>
    </row>
    <row r="403" spans="1:14" hidden="1">
      <c r="A403" s="257"/>
      <c r="B403" s="194" t="s">
        <v>2200</v>
      </c>
      <c r="C403" s="188" t="s">
        <v>896</v>
      </c>
      <c r="D403" s="189">
        <v>45964</v>
      </c>
      <c r="E403" s="189">
        <v>45964</v>
      </c>
      <c r="F403" s="257" t="s">
        <v>16</v>
      </c>
      <c r="G403" s="272">
        <v>3000</v>
      </c>
      <c r="H403" s="190"/>
      <c r="I403" s="187" t="s">
        <v>312</v>
      </c>
      <c r="J403" s="278" t="s">
        <v>66</v>
      </c>
      <c r="K403" s="192">
        <v>45960</v>
      </c>
      <c r="L403" s="193">
        <v>3000</v>
      </c>
      <c r="M403" s="289" t="s">
        <v>246</v>
      </c>
    </row>
    <row r="404" spans="1:14" hidden="1">
      <c r="A404" s="257" t="s">
        <v>13</v>
      </c>
      <c r="B404" s="187" t="s">
        <v>2183</v>
      </c>
      <c r="C404" s="188" t="s">
        <v>335</v>
      </c>
      <c r="D404" s="189">
        <v>45968</v>
      </c>
      <c r="E404" s="189">
        <v>45968</v>
      </c>
      <c r="F404" s="257" t="s">
        <v>16</v>
      </c>
      <c r="G404" s="272">
        <f>9000-4500</f>
        <v>4500</v>
      </c>
      <c r="H404" s="190"/>
      <c r="I404" s="187" t="s">
        <v>2184</v>
      </c>
      <c r="J404" s="278" t="s">
        <v>83</v>
      </c>
      <c r="K404" s="192"/>
      <c r="L404" s="193">
        <v>4500</v>
      </c>
      <c r="M404" s="289" t="s">
        <v>2185</v>
      </c>
    </row>
    <row r="405" spans="1:14" hidden="1">
      <c r="A405" s="257" t="s">
        <v>13</v>
      </c>
      <c r="B405" s="187" t="s">
        <v>2183</v>
      </c>
      <c r="C405" s="188" t="s">
        <v>335</v>
      </c>
      <c r="D405" s="189">
        <v>45968</v>
      </c>
      <c r="E405" s="189">
        <v>45968</v>
      </c>
      <c r="F405" s="257" t="s">
        <v>49</v>
      </c>
      <c r="G405" s="272">
        <v>4500</v>
      </c>
      <c r="H405" s="190"/>
      <c r="I405" s="187" t="s">
        <v>827</v>
      </c>
      <c r="J405" s="278" t="s">
        <v>83</v>
      </c>
      <c r="K405" s="192">
        <v>45972</v>
      </c>
      <c r="L405" s="193">
        <v>4500</v>
      </c>
      <c r="M405" s="289" t="s">
        <v>326</v>
      </c>
    </row>
    <row r="406" spans="1:14" hidden="1">
      <c r="A406" s="257"/>
      <c r="B406" s="187" t="s">
        <v>4306</v>
      </c>
      <c r="C406" s="188" t="s">
        <v>4270</v>
      </c>
      <c r="D406" s="189">
        <v>46077</v>
      </c>
      <c r="E406" s="189">
        <v>46077</v>
      </c>
      <c r="F406" s="257" t="s">
        <v>16</v>
      </c>
      <c r="G406" s="272">
        <v>92.2</v>
      </c>
      <c r="H406" s="190"/>
      <c r="I406" s="187" t="s">
        <v>4307</v>
      </c>
      <c r="J406" s="278" t="s">
        <v>350</v>
      </c>
      <c r="K406" s="193">
        <v>16.420000000000002</v>
      </c>
      <c r="L406" s="192">
        <v>46137</v>
      </c>
      <c r="M406" s="289"/>
      <c r="N406" s="56"/>
    </row>
    <row r="407" spans="1:14" hidden="1">
      <c r="A407" s="257"/>
      <c r="B407" s="187" t="s">
        <v>2186</v>
      </c>
      <c r="C407" s="188" t="s">
        <v>830</v>
      </c>
      <c r="D407" s="189">
        <v>45657</v>
      </c>
      <c r="E407" s="189">
        <v>45726</v>
      </c>
      <c r="F407" s="257"/>
      <c r="G407" s="272">
        <v>3575</v>
      </c>
      <c r="H407" s="208" t="s">
        <v>831</v>
      </c>
      <c r="I407" s="275" t="s">
        <v>87</v>
      </c>
      <c r="J407" s="278" t="s">
        <v>110</v>
      </c>
      <c r="K407" s="192"/>
      <c r="L407" s="193"/>
      <c r="M407" s="289"/>
    </row>
    <row r="408" spans="1:14" hidden="1">
      <c r="A408" s="257"/>
      <c r="B408" s="194" t="s">
        <v>2187</v>
      </c>
      <c r="C408" s="188">
        <v>20282</v>
      </c>
      <c r="D408" s="195">
        <v>45897</v>
      </c>
      <c r="E408" s="189">
        <v>45897</v>
      </c>
      <c r="F408" s="257" t="s">
        <v>16</v>
      </c>
      <c r="G408" s="272">
        <v>310</v>
      </c>
      <c r="H408" s="190" t="s">
        <v>854</v>
      </c>
      <c r="I408" s="194" t="s">
        <v>855</v>
      </c>
      <c r="J408" s="278"/>
      <c r="K408" s="192"/>
      <c r="L408" s="193"/>
      <c r="M408" s="289"/>
    </row>
    <row r="409" spans="1:14" hidden="1">
      <c r="A409" s="257"/>
      <c r="B409" s="194" t="s">
        <v>2188</v>
      </c>
      <c r="C409" s="188" t="s">
        <v>857</v>
      </c>
      <c r="D409" s="195">
        <v>45742</v>
      </c>
      <c r="E409" s="189">
        <v>45742</v>
      </c>
      <c r="F409" s="257" t="s">
        <v>16</v>
      </c>
      <c r="G409" s="272">
        <v>11.61</v>
      </c>
      <c r="H409" s="190" t="s">
        <v>858</v>
      </c>
      <c r="I409" s="194" t="s">
        <v>349</v>
      </c>
      <c r="J409" s="278" t="s">
        <v>215</v>
      </c>
      <c r="K409" s="192"/>
      <c r="L409" s="193"/>
      <c r="M409" s="289"/>
    </row>
    <row r="410" spans="1:14" hidden="1">
      <c r="A410" s="257"/>
      <c r="B410" s="194" t="s">
        <v>2189</v>
      </c>
      <c r="C410" s="188" t="s">
        <v>860</v>
      </c>
      <c r="D410" s="195">
        <v>45835</v>
      </c>
      <c r="E410" s="189"/>
      <c r="F410" s="257" t="s">
        <v>16</v>
      </c>
      <c r="G410" s="272">
        <v>42.6</v>
      </c>
      <c r="H410" s="190" t="s">
        <v>861</v>
      </c>
      <c r="I410" s="194" t="s">
        <v>457</v>
      </c>
      <c r="J410" s="278" t="s">
        <v>794</v>
      </c>
      <c r="K410" s="192"/>
      <c r="L410" s="193"/>
      <c r="M410" s="289" t="s">
        <v>862</v>
      </c>
    </row>
    <row r="411" spans="1:14" hidden="1">
      <c r="A411" s="257"/>
      <c r="B411" s="194" t="s">
        <v>2190</v>
      </c>
      <c r="C411" s="188" t="s">
        <v>838</v>
      </c>
      <c r="D411" s="195">
        <v>45667</v>
      </c>
      <c r="E411" s="189"/>
      <c r="F411" s="257" t="s">
        <v>16</v>
      </c>
      <c r="G411" s="272">
        <v>3459.2</v>
      </c>
      <c r="H411" s="190" t="s">
        <v>839</v>
      </c>
      <c r="I411" s="194" t="s">
        <v>840</v>
      </c>
      <c r="J411" s="278" t="s">
        <v>66</v>
      </c>
      <c r="K411" s="192">
        <v>45684</v>
      </c>
      <c r="L411" s="193">
        <v>3459.2</v>
      </c>
      <c r="M411" s="289" t="s">
        <v>111</v>
      </c>
    </row>
    <row r="412" spans="1:14" hidden="1">
      <c r="A412" s="257"/>
      <c r="B412" s="194" t="s">
        <v>2190</v>
      </c>
      <c r="C412" s="188" t="s">
        <v>838</v>
      </c>
      <c r="D412" s="195">
        <v>45667</v>
      </c>
      <c r="E412" s="189">
        <v>45704</v>
      </c>
      <c r="F412" s="257" t="s">
        <v>16</v>
      </c>
      <c r="G412" s="272">
        <v>640</v>
      </c>
      <c r="H412" s="190" t="s">
        <v>839</v>
      </c>
      <c r="I412" s="194" t="s">
        <v>840</v>
      </c>
      <c r="J412" s="278" t="s">
        <v>799</v>
      </c>
      <c r="K412" s="192"/>
      <c r="L412" s="193"/>
      <c r="M412" s="289"/>
    </row>
    <row r="413" spans="1:14" hidden="1">
      <c r="B413" s="194" t="s">
        <v>2191</v>
      </c>
      <c r="C413" s="209" t="s">
        <v>842</v>
      </c>
      <c r="D413" s="195">
        <v>45825</v>
      </c>
      <c r="F413" s="268" t="s">
        <v>16</v>
      </c>
      <c r="G413" s="273">
        <v>196.24</v>
      </c>
      <c r="H413" s="190" t="s">
        <v>843</v>
      </c>
      <c r="I413" s="194" t="s">
        <v>844</v>
      </c>
      <c r="J413" s="279" t="s">
        <v>66</v>
      </c>
      <c r="K413" s="192">
        <v>45817</v>
      </c>
      <c r="L413" s="193">
        <v>196.24</v>
      </c>
      <c r="M413" s="289" t="s">
        <v>111</v>
      </c>
    </row>
    <row r="414" spans="1:14" hidden="1">
      <c r="A414" s="257"/>
      <c r="B414" s="194" t="s">
        <v>2191</v>
      </c>
      <c r="C414" s="188" t="s">
        <v>842</v>
      </c>
      <c r="D414" s="195">
        <v>45825</v>
      </c>
      <c r="E414" s="189">
        <v>45854</v>
      </c>
      <c r="F414" s="257" t="s">
        <v>16</v>
      </c>
      <c r="G414" s="272">
        <v>36.72</v>
      </c>
      <c r="H414" s="190" t="s">
        <v>843</v>
      </c>
      <c r="I414" s="194" t="s">
        <v>844</v>
      </c>
      <c r="J414" s="278" t="s">
        <v>799</v>
      </c>
      <c r="K414" s="192"/>
      <c r="L414" s="193"/>
      <c r="M414" s="289"/>
    </row>
    <row r="415" spans="1:14" hidden="1">
      <c r="A415" s="257"/>
      <c r="B415" s="194" t="s">
        <v>2192</v>
      </c>
      <c r="C415" s="188">
        <v>28</v>
      </c>
      <c r="D415" s="195">
        <v>45684</v>
      </c>
      <c r="E415" s="189"/>
      <c r="F415" s="257" t="s">
        <v>16</v>
      </c>
      <c r="G415" s="272">
        <v>1153.4000000000001</v>
      </c>
      <c r="H415" s="190" t="s">
        <v>846</v>
      </c>
      <c r="I415" s="194" t="s">
        <v>847</v>
      </c>
      <c r="J415" s="278"/>
      <c r="K415" s="192">
        <v>45385</v>
      </c>
      <c r="L415" s="193"/>
      <c r="M415" s="289"/>
    </row>
    <row r="416" spans="1:14" hidden="1">
      <c r="A416" s="257"/>
      <c r="B416" s="194" t="s">
        <v>2192</v>
      </c>
      <c r="C416" s="188">
        <v>143</v>
      </c>
      <c r="D416" s="195">
        <v>45716</v>
      </c>
      <c r="E416" s="189">
        <v>45747</v>
      </c>
      <c r="F416" s="257" t="s">
        <v>16</v>
      </c>
      <c r="G416" s="272">
        <v>1812.44</v>
      </c>
      <c r="H416" s="190" t="s">
        <v>849</v>
      </c>
      <c r="I416" s="194" t="s">
        <v>847</v>
      </c>
      <c r="J416" s="278" t="s">
        <v>56</v>
      </c>
      <c r="K416" s="192"/>
      <c r="L416" s="193"/>
      <c r="M416" s="289"/>
    </row>
    <row r="417" spans="1:13" hidden="1">
      <c r="A417" s="257"/>
      <c r="B417" s="194" t="s">
        <v>2192</v>
      </c>
      <c r="C417" s="188">
        <v>250</v>
      </c>
      <c r="D417" s="195">
        <v>45758</v>
      </c>
      <c r="E417" s="189">
        <v>45808</v>
      </c>
      <c r="F417" s="257" t="s">
        <v>16</v>
      </c>
      <c r="G417" s="272">
        <v>1162.73</v>
      </c>
      <c r="H417" s="190" t="s">
        <v>851</v>
      </c>
      <c r="I417" s="194" t="s">
        <v>847</v>
      </c>
      <c r="J417" s="278" t="s">
        <v>110</v>
      </c>
      <c r="K417" s="192"/>
      <c r="L417" s="193"/>
      <c r="M417" s="289"/>
    </row>
    <row r="418" spans="1:13" hidden="1">
      <c r="A418" s="257"/>
      <c r="B418" s="194" t="s">
        <v>2193</v>
      </c>
      <c r="C418" s="188">
        <v>869</v>
      </c>
      <c r="D418" s="195">
        <v>45699</v>
      </c>
      <c r="E418" s="189">
        <v>45699</v>
      </c>
      <c r="F418" s="257" t="s">
        <v>16</v>
      </c>
      <c r="G418" s="272">
        <v>488</v>
      </c>
      <c r="H418" s="190" t="s">
        <v>865</v>
      </c>
      <c r="I418" s="194" t="s">
        <v>866</v>
      </c>
      <c r="J418" s="278" t="s">
        <v>66</v>
      </c>
      <c r="K418" s="192"/>
      <c r="L418" s="193"/>
      <c r="M418" s="289" t="s">
        <v>862</v>
      </c>
    </row>
    <row r="419" spans="1:13" hidden="1">
      <c r="A419" s="257"/>
      <c r="B419" s="194" t="s">
        <v>2193</v>
      </c>
      <c r="C419" s="188" t="s">
        <v>867</v>
      </c>
      <c r="D419" s="195">
        <v>45700</v>
      </c>
      <c r="E419" s="189"/>
      <c r="F419" s="257" t="s">
        <v>16</v>
      </c>
      <c r="G419" s="272">
        <v>488</v>
      </c>
      <c r="H419" s="190" t="s">
        <v>868</v>
      </c>
      <c r="I419" s="194" t="s">
        <v>866</v>
      </c>
      <c r="J419" s="278" t="s">
        <v>66</v>
      </c>
      <c r="K419" s="192"/>
      <c r="L419" s="193"/>
      <c r="M419" s="289" t="s">
        <v>862</v>
      </c>
    </row>
    <row r="420" spans="1:13" hidden="1">
      <c r="A420" s="257"/>
      <c r="B420" s="216" t="s">
        <v>2193</v>
      </c>
      <c r="C420" s="188" t="s">
        <v>869</v>
      </c>
      <c r="D420" s="203">
        <v>45762</v>
      </c>
      <c r="E420" s="189"/>
      <c r="F420" s="257" t="s">
        <v>16</v>
      </c>
      <c r="G420" s="272">
        <v>-8000</v>
      </c>
      <c r="H420" s="222" t="s">
        <v>870</v>
      </c>
      <c r="I420" s="216" t="s">
        <v>871</v>
      </c>
      <c r="J420" s="278" t="s">
        <v>66</v>
      </c>
      <c r="K420" s="242"/>
      <c r="L420" s="233"/>
      <c r="M420" s="294"/>
    </row>
    <row r="421" spans="1:13" hidden="1">
      <c r="A421" s="257"/>
      <c r="B421" s="194" t="s">
        <v>2194</v>
      </c>
      <c r="C421" s="188" t="s">
        <v>872</v>
      </c>
      <c r="D421" s="195">
        <v>46007</v>
      </c>
      <c r="E421" s="189">
        <v>46007</v>
      </c>
      <c r="F421" s="257" t="s">
        <v>49</v>
      </c>
      <c r="G421" s="272">
        <v>1858.75</v>
      </c>
      <c r="H421" s="196"/>
      <c r="I421" s="194" t="s">
        <v>873</v>
      </c>
      <c r="J421" s="278" t="s">
        <v>83</v>
      </c>
      <c r="K421" s="192">
        <v>46007</v>
      </c>
      <c r="L421" s="193">
        <v>1858.75</v>
      </c>
      <c r="M421" s="289" t="s">
        <v>313</v>
      </c>
    </row>
    <row r="422" spans="1:13" hidden="1">
      <c r="A422" s="257"/>
      <c r="B422" s="187" t="s">
        <v>2195</v>
      </c>
      <c r="C422" s="188">
        <v>700210</v>
      </c>
      <c r="D422" s="189">
        <v>45770</v>
      </c>
      <c r="E422" s="189"/>
      <c r="F422" s="257" t="s">
        <v>16</v>
      </c>
      <c r="G422" s="272">
        <v>9.69</v>
      </c>
      <c r="H422" s="190" t="s">
        <v>876</v>
      </c>
      <c r="I422" s="187"/>
      <c r="J422" s="278" t="s">
        <v>24</v>
      </c>
      <c r="K422" s="242"/>
      <c r="L422" s="233"/>
      <c r="M422" s="294"/>
    </row>
    <row r="423" spans="1:13" hidden="1">
      <c r="A423" s="257" t="s">
        <v>13</v>
      </c>
      <c r="B423" s="187" t="s">
        <v>2196</v>
      </c>
      <c r="C423" s="188" t="s">
        <v>878</v>
      </c>
      <c r="D423" s="189">
        <v>45969</v>
      </c>
      <c r="E423" s="189">
        <v>45983</v>
      </c>
      <c r="F423" s="257" t="s">
        <v>49</v>
      </c>
      <c r="G423" s="272">
        <v>2837</v>
      </c>
      <c r="H423" s="190"/>
      <c r="I423" s="187" t="s">
        <v>879</v>
      </c>
      <c r="J423" s="278" t="s">
        <v>354</v>
      </c>
      <c r="K423" s="192">
        <v>45989</v>
      </c>
      <c r="L423" s="193">
        <v>2837</v>
      </c>
      <c r="M423" s="289" t="s">
        <v>313</v>
      </c>
    </row>
    <row r="424" spans="1:13" hidden="1">
      <c r="A424" s="257" t="s">
        <v>13</v>
      </c>
      <c r="B424" s="194" t="s">
        <v>2196</v>
      </c>
      <c r="C424" s="188" t="s">
        <v>880</v>
      </c>
      <c r="D424" s="195">
        <v>45996</v>
      </c>
      <c r="E424" s="189">
        <v>46010</v>
      </c>
      <c r="F424" s="257" t="s">
        <v>16</v>
      </c>
      <c r="G424" s="272">
        <v>410</v>
      </c>
      <c r="H424" s="196"/>
      <c r="I424" s="194" t="s">
        <v>881</v>
      </c>
      <c r="J424" s="278" t="s">
        <v>83</v>
      </c>
      <c r="K424" s="192"/>
      <c r="L424" s="193">
        <v>410</v>
      </c>
      <c r="M424" s="289"/>
    </row>
    <row r="425" spans="1:13" hidden="1">
      <c r="A425" s="196" t="s">
        <v>13</v>
      </c>
      <c r="B425" s="196" t="s">
        <v>877</v>
      </c>
      <c r="C425" s="196" t="s">
        <v>880</v>
      </c>
      <c r="D425" s="192">
        <v>45996</v>
      </c>
      <c r="E425" s="192">
        <v>46010</v>
      </c>
      <c r="F425" s="196" t="s">
        <v>16</v>
      </c>
      <c r="G425" s="201">
        <v>410</v>
      </c>
      <c r="H425" s="196" t="s">
        <v>881</v>
      </c>
      <c r="I425" s="196" t="s">
        <v>83</v>
      </c>
      <c r="J425" s="192">
        <v>46041</v>
      </c>
      <c r="K425" s="201">
        <v>410</v>
      </c>
      <c r="L425" s="196" t="s">
        <v>19</v>
      </c>
      <c r="M425" s="289"/>
    </row>
    <row r="426" spans="1:13" hidden="1">
      <c r="A426" s="257" t="s">
        <v>2088</v>
      </c>
      <c r="B426" s="194" t="s">
        <v>2197</v>
      </c>
      <c r="C426" s="188" t="s">
        <v>2067</v>
      </c>
      <c r="D426" s="195"/>
      <c r="E426" s="189"/>
      <c r="F426" s="257" t="s">
        <v>2088</v>
      </c>
      <c r="G426" s="272">
        <v>6599.76</v>
      </c>
      <c r="H426" s="196"/>
      <c r="I426" s="194"/>
      <c r="J426" s="278"/>
      <c r="K426" s="192"/>
      <c r="L426" s="193"/>
      <c r="M426" s="289"/>
    </row>
    <row r="427" spans="1:13" hidden="1">
      <c r="A427" s="260" t="s">
        <v>13</v>
      </c>
      <c r="B427" s="187" t="s">
        <v>2198</v>
      </c>
      <c r="C427" s="188">
        <v>56666</v>
      </c>
      <c r="D427" s="189">
        <v>45858</v>
      </c>
      <c r="E427" s="189"/>
      <c r="F427" s="257" t="s">
        <v>16</v>
      </c>
      <c r="G427" s="272">
        <v>530.65</v>
      </c>
      <c r="H427" s="190" t="s">
        <v>884</v>
      </c>
      <c r="I427" s="187" t="s">
        <v>885</v>
      </c>
      <c r="J427" s="278" t="s">
        <v>886</v>
      </c>
      <c r="K427" s="192"/>
      <c r="L427" s="193"/>
      <c r="M427" s="289"/>
    </row>
    <row r="428" spans="1:13" hidden="1">
      <c r="A428" s="260" t="s">
        <v>13</v>
      </c>
      <c r="B428" s="187" t="s">
        <v>2198</v>
      </c>
      <c r="C428" s="188">
        <v>65548</v>
      </c>
      <c r="D428" s="189">
        <v>45896</v>
      </c>
      <c r="E428" s="189"/>
      <c r="F428" s="257" t="s">
        <v>16</v>
      </c>
      <c r="G428" s="272">
        <v>229.15</v>
      </c>
      <c r="H428" s="190" t="s">
        <v>888</v>
      </c>
      <c r="I428" s="187" t="s">
        <v>889</v>
      </c>
      <c r="J428" s="278" t="s">
        <v>794</v>
      </c>
      <c r="K428" s="192"/>
      <c r="L428" s="193"/>
      <c r="M428" s="289"/>
    </row>
    <row r="429" spans="1:13" hidden="1">
      <c r="A429" s="260" t="s">
        <v>13</v>
      </c>
      <c r="B429" s="187" t="s">
        <v>2198</v>
      </c>
      <c r="C429" s="188" t="s">
        <v>890</v>
      </c>
      <c r="D429" s="189">
        <v>45955</v>
      </c>
      <c r="E429" s="189"/>
      <c r="F429" s="257" t="s">
        <v>49</v>
      </c>
      <c r="G429" s="272">
        <v>122.4</v>
      </c>
      <c r="H429" s="190"/>
      <c r="I429" s="187" t="s">
        <v>891</v>
      </c>
      <c r="J429" s="278" t="s">
        <v>422</v>
      </c>
      <c r="K429" s="192"/>
      <c r="L429" s="193"/>
      <c r="M429" s="289"/>
    </row>
    <row r="430" spans="1:13" hidden="1">
      <c r="A430" s="257" t="s">
        <v>13</v>
      </c>
      <c r="B430" s="187" t="s">
        <v>2199</v>
      </c>
      <c r="C430" s="188" t="s">
        <v>892</v>
      </c>
      <c r="D430" s="189">
        <v>45977</v>
      </c>
      <c r="E430" s="189">
        <v>45977</v>
      </c>
      <c r="F430" s="257" t="s">
        <v>49</v>
      </c>
      <c r="G430" s="272">
        <v>183.45</v>
      </c>
      <c r="H430" s="190"/>
      <c r="I430" s="187" t="s">
        <v>889</v>
      </c>
      <c r="J430" s="278" t="s">
        <v>47</v>
      </c>
      <c r="K430" s="192"/>
      <c r="L430" s="193"/>
      <c r="M430" s="289"/>
    </row>
    <row r="431" spans="1:13" hidden="1">
      <c r="A431" s="257"/>
      <c r="B431" s="194" t="s">
        <v>3630</v>
      </c>
      <c r="C431" s="188" t="s">
        <v>4226</v>
      </c>
      <c r="D431" s="195">
        <v>46058</v>
      </c>
      <c r="E431" s="189"/>
      <c r="F431" s="257" t="s">
        <v>16</v>
      </c>
      <c r="G431" s="272">
        <v>557</v>
      </c>
      <c r="H431" s="196"/>
      <c r="I431" s="194" t="s">
        <v>4227</v>
      </c>
      <c r="J431" s="278"/>
      <c r="K431" s="193">
        <v>100.44</v>
      </c>
      <c r="L431" s="192"/>
      <c r="M431" s="289"/>
    </row>
    <row r="432" spans="1:13" hidden="1">
      <c r="A432" s="257" t="s">
        <v>2086</v>
      </c>
      <c r="B432" s="194" t="s">
        <v>4171</v>
      </c>
      <c r="C432" s="188" t="s">
        <v>2067</v>
      </c>
      <c r="D432" s="195"/>
      <c r="E432" s="189"/>
      <c r="F432" s="257" t="s">
        <v>2088</v>
      </c>
      <c r="G432" s="272">
        <v>7245.5</v>
      </c>
      <c r="H432" s="213"/>
      <c r="I432" s="194"/>
      <c r="J432" s="278" t="s">
        <v>83</v>
      </c>
      <c r="K432" s="192"/>
      <c r="L432" s="193"/>
      <c r="M432" s="289"/>
    </row>
    <row r="433" spans="1:13" hidden="1">
      <c r="A433" s="257"/>
      <c r="B433" s="194" t="s">
        <v>3641</v>
      </c>
      <c r="C433" s="188" t="s">
        <v>340</v>
      </c>
      <c r="D433" s="195">
        <v>46048</v>
      </c>
      <c r="E433" s="189">
        <v>46048</v>
      </c>
      <c r="F433" s="257" t="s">
        <v>16</v>
      </c>
      <c r="G433" s="272">
        <v>2162</v>
      </c>
      <c r="H433" s="196"/>
      <c r="I433" s="194" t="s">
        <v>4225</v>
      </c>
      <c r="J433" s="278" t="s">
        <v>3314</v>
      </c>
      <c r="K433" s="193">
        <v>462</v>
      </c>
      <c r="L433" s="192">
        <v>46108</v>
      </c>
      <c r="M433" s="289"/>
    </row>
    <row r="434" spans="1:13" hidden="1">
      <c r="A434" s="257" t="s">
        <v>2088</v>
      </c>
      <c r="B434" s="194" t="s">
        <v>2203</v>
      </c>
      <c r="C434" s="188" t="s">
        <v>2067</v>
      </c>
      <c r="D434" s="195"/>
      <c r="E434" s="189"/>
      <c r="F434" s="257" t="s">
        <v>2088</v>
      </c>
      <c r="G434" s="272">
        <v>5000</v>
      </c>
      <c r="H434" s="213"/>
      <c r="I434" s="194"/>
      <c r="J434" s="278"/>
      <c r="K434" s="192"/>
      <c r="L434" s="193"/>
      <c r="M434" s="289"/>
    </row>
    <row r="435" spans="1:13" hidden="1">
      <c r="A435" s="257"/>
      <c r="B435" s="187" t="s">
        <v>2204</v>
      </c>
      <c r="C435" s="188">
        <v>25060472</v>
      </c>
      <c r="D435" s="195">
        <v>45933</v>
      </c>
      <c r="E435" s="189">
        <v>45933</v>
      </c>
      <c r="F435" s="257" t="s">
        <v>16</v>
      </c>
      <c r="G435" s="272">
        <v>84.18</v>
      </c>
      <c r="H435" s="190" t="s">
        <v>900</v>
      </c>
      <c r="I435" s="194"/>
      <c r="J435" s="278" t="s">
        <v>215</v>
      </c>
      <c r="K435" s="192"/>
      <c r="L435" s="193"/>
      <c r="M435" s="289"/>
    </row>
    <row r="436" spans="1:13" hidden="1">
      <c r="A436" s="257"/>
      <c r="B436" s="194" t="s">
        <v>2205</v>
      </c>
      <c r="C436" s="188" t="s">
        <v>902</v>
      </c>
      <c r="D436" s="195">
        <v>45642</v>
      </c>
      <c r="E436" s="189">
        <v>45673</v>
      </c>
      <c r="F436" s="257"/>
      <c r="G436" s="272">
        <v>7000</v>
      </c>
      <c r="H436" s="208" t="s">
        <v>903</v>
      </c>
      <c r="I436" s="194" t="s">
        <v>342</v>
      </c>
      <c r="J436" s="278" t="s">
        <v>56</v>
      </c>
      <c r="K436" s="192"/>
      <c r="L436" s="193"/>
      <c r="M436" s="289"/>
    </row>
    <row r="437" spans="1:13" hidden="1">
      <c r="A437" s="196"/>
      <c r="B437" s="196" t="s">
        <v>901</v>
      </c>
      <c r="C437" s="196" t="s">
        <v>1718</v>
      </c>
      <c r="D437" s="192">
        <v>46042</v>
      </c>
      <c r="E437" s="192">
        <v>46042</v>
      </c>
      <c r="F437" s="196"/>
      <c r="G437" s="201">
        <v>1500</v>
      </c>
      <c r="H437" s="196"/>
      <c r="I437" s="194" t="s">
        <v>342</v>
      </c>
      <c r="J437" s="196" t="s">
        <v>56</v>
      </c>
      <c r="K437" s="201"/>
      <c r="L437" s="196"/>
      <c r="M437" s="289"/>
    </row>
    <row r="438" spans="1:13" hidden="1">
      <c r="A438" s="257"/>
      <c r="B438" s="194" t="s">
        <v>2206</v>
      </c>
      <c r="C438" s="188" t="s">
        <v>908</v>
      </c>
      <c r="D438" s="195">
        <v>45762</v>
      </c>
      <c r="E438" s="189">
        <v>45792</v>
      </c>
      <c r="F438" s="257" t="s">
        <v>16</v>
      </c>
      <c r="G438" s="272">
        <v>54.9</v>
      </c>
      <c r="H438" s="190" t="s">
        <v>909</v>
      </c>
      <c r="I438" s="194"/>
      <c r="J438" s="278" t="s">
        <v>150</v>
      </c>
      <c r="K438" s="192"/>
      <c r="L438" s="193"/>
      <c r="M438" s="289"/>
    </row>
    <row r="439" spans="1:13" hidden="1">
      <c r="A439" s="257"/>
      <c r="B439" s="194" t="s">
        <v>2206</v>
      </c>
      <c r="C439" s="188" t="s">
        <v>910</v>
      </c>
      <c r="D439" s="195">
        <v>45853</v>
      </c>
      <c r="E439" s="189">
        <v>45883</v>
      </c>
      <c r="F439" s="257" t="s">
        <v>16</v>
      </c>
      <c r="G439" s="272">
        <v>54.9</v>
      </c>
      <c r="H439" s="190" t="s">
        <v>911</v>
      </c>
      <c r="I439" s="194" t="s">
        <v>196</v>
      </c>
      <c r="J439" s="278" t="s">
        <v>150</v>
      </c>
      <c r="K439" s="192"/>
      <c r="L439" s="193"/>
      <c r="M439" s="289"/>
    </row>
    <row r="440" spans="1:13" hidden="1">
      <c r="A440" s="196" t="s">
        <v>13</v>
      </c>
      <c r="B440" s="196" t="s">
        <v>907</v>
      </c>
      <c r="C440" s="196" t="s">
        <v>4123</v>
      </c>
      <c r="D440" s="192">
        <v>46037</v>
      </c>
      <c r="E440" s="192">
        <v>46067</v>
      </c>
      <c r="F440" s="257" t="s">
        <v>16</v>
      </c>
      <c r="G440" s="201">
        <v>54.9</v>
      </c>
      <c r="H440" s="196"/>
      <c r="I440" s="194" t="s">
        <v>4160</v>
      </c>
      <c r="J440" s="196" t="s">
        <v>150</v>
      </c>
      <c r="K440" s="201"/>
      <c r="L440" s="196"/>
      <c r="M440" s="289"/>
    </row>
    <row r="441" spans="1:13" hidden="1">
      <c r="A441" s="257"/>
      <c r="B441" s="194" t="s">
        <v>2207</v>
      </c>
      <c r="C441" s="188" t="s">
        <v>905</v>
      </c>
      <c r="D441" s="195">
        <v>45672</v>
      </c>
      <c r="E441" s="189"/>
      <c r="F441" s="257" t="s">
        <v>16</v>
      </c>
      <c r="G441" s="272">
        <v>36.6</v>
      </c>
      <c r="H441" s="190" t="s">
        <v>906</v>
      </c>
      <c r="I441" s="194"/>
      <c r="J441" s="278"/>
      <c r="K441" s="192"/>
      <c r="L441" s="193"/>
      <c r="M441" s="289"/>
    </row>
    <row r="442" spans="1:13" hidden="1">
      <c r="A442" s="257"/>
      <c r="B442" s="194" t="s">
        <v>912</v>
      </c>
      <c r="C442" s="188" t="s">
        <v>4326</v>
      </c>
      <c r="D442" s="195">
        <v>46083</v>
      </c>
      <c r="E442" s="189">
        <v>46084</v>
      </c>
      <c r="F442" s="257" t="s">
        <v>16</v>
      </c>
      <c r="G442" s="272">
        <v>546.38</v>
      </c>
      <c r="H442" s="208"/>
      <c r="I442" s="194" t="s">
        <v>4327</v>
      </c>
      <c r="J442" s="278" t="s">
        <v>751</v>
      </c>
      <c r="K442" s="193">
        <v>98.53</v>
      </c>
      <c r="L442" s="192">
        <v>46084</v>
      </c>
      <c r="M442" s="289"/>
    </row>
    <row r="443" spans="1:13" hidden="1">
      <c r="A443" s="257"/>
      <c r="B443" s="194" t="s">
        <v>912</v>
      </c>
      <c r="C443" s="188" t="s">
        <v>4328</v>
      </c>
      <c r="D443" s="195">
        <v>46083</v>
      </c>
      <c r="E443" s="189">
        <v>46084</v>
      </c>
      <c r="F443" s="257" t="s">
        <v>16</v>
      </c>
      <c r="G443" s="272">
        <v>111.62</v>
      </c>
      <c r="H443" s="208"/>
      <c r="I443" s="194" t="s">
        <v>4329</v>
      </c>
      <c r="J443" s="278" t="s">
        <v>751</v>
      </c>
      <c r="K443" s="193">
        <v>20.13</v>
      </c>
      <c r="L443" s="192">
        <v>46084</v>
      </c>
      <c r="M443" s="289"/>
    </row>
    <row r="444" spans="1:13" hidden="1">
      <c r="A444" s="264" t="s">
        <v>13</v>
      </c>
      <c r="B444" s="194" t="s">
        <v>2208</v>
      </c>
      <c r="C444" s="188">
        <v>2170097</v>
      </c>
      <c r="D444" s="195">
        <v>45895</v>
      </c>
      <c r="E444" s="189">
        <v>45895</v>
      </c>
      <c r="F444" s="257" t="s">
        <v>16</v>
      </c>
      <c r="G444" s="272">
        <v>1110</v>
      </c>
      <c r="H444" s="190" t="s">
        <v>914</v>
      </c>
      <c r="I444" s="194" t="s">
        <v>214</v>
      </c>
      <c r="J444" s="278" t="s">
        <v>794</v>
      </c>
      <c r="K444" s="192"/>
      <c r="L444" s="193"/>
      <c r="M444" s="289"/>
    </row>
    <row r="445" spans="1:13" hidden="1">
      <c r="A445" s="264" t="s">
        <v>13</v>
      </c>
      <c r="B445" s="194" t="s">
        <v>2208</v>
      </c>
      <c r="C445" s="188">
        <v>2440506</v>
      </c>
      <c r="D445" s="195">
        <v>45923</v>
      </c>
      <c r="E445" s="189"/>
      <c r="F445" s="257" t="s">
        <v>16</v>
      </c>
      <c r="G445" s="272">
        <v>300</v>
      </c>
      <c r="H445" s="190" t="s">
        <v>916</v>
      </c>
      <c r="I445" s="194" t="s">
        <v>214</v>
      </c>
      <c r="J445" s="278" t="s">
        <v>794</v>
      </c>
      <c r="K445" s="192"/>
      <c r="L445" s="193"/>
      <c r="M445" s="289"/>
    </row>
    <row r="446" spans="1:13" hidden="1">
      <c r="A446" s="264" t="s">
        <v>13</v>
      </c>
      <c r="B446" s="194" t="s">
        <v>2208</v>
      </c>
      <c r="C446" s="188">
        <v>2440505</v>
      </c>
      <c r="D446" s="195">
        <v>45923</v>
      </c>
      <c r="E446" s="189"/>
      <c r="F446" s="257" t="s">
        <v>16</v>
      </c>
      <c r="G446" s="272">
        <v>749.62</v>
      </c>
      <c r="H446" s="190" t="s">
        <v>918</v>
      </c>
      <c r="I446" s="194" t="s">
        <v>214</v>
      </c>
      <c r="J446" s="278" t="s">
        <v>794</v>
      </c>
      <c r="K446" s="192"/>
      <c r="L446" s="193"/>
      <c r="M446" s="289"/>
    </row>
    <row r="447" spans="1:13" hidden="1">
      <c r="A447" s="264" t="s">
        <v>13</v>
      </c>
      <c r="B447" s="194" t="s">
        <v>2208</v>
      </c>
      <c r="C447" s="188">
        <v>2440504</v>
      </c>
      <c r="D447" s="195">
        <v>45923</v>
      </c>
      <c r="E447" s="189"/>
      <c r="F447" s="257" t="s">
        <v>16</v>
      </c>
      <c r="G447" s="272">
        <v>121</v>
      </c>
      <c r="H447" s="97" t="s">
        <v>920</v>
      </c>
      <c r="I447" s="289" t="s">
        <v>214</v>
      </c>
      <c r="J447" s="278" t="s">
        <v>794</v>
      </c>
      <c r="K447" s="192"/>
      <c r="L447" s="193"/>
      <c r="M447" s="289"/>
    </row>
    <row r="448" spans="1:13" hidden="1">
      <c r="A448" s="264" t="s">
        <v>13</v>
      </c>
      <c r="B448" s="194" t="s">
        <v>2208</v>
      </c>
      <c r="C448" s="188">
        <v>2440503</v>
      </c>
      <c r="D448" s="195">
        <v>45923</v>
      </c>
      <c r="E448" s="189"/>
      <c r="F448" s="257" t="s">
        <v>16</v>
      </c>
      <c r="G448" s="272">
        <v>1606.93</v>
      </c>
      <c r="H448" s="190" t="s">
        <v>922</v>
      </c>
      <c r="I448" s="194" t="s">
        <v>889</v>
      </c>
      <c r="J448" s="278" t="s">
        <v>794</v>
      </c>
      <c r="K448" s="192"/>
      <c r="L448" s="193"/>
      <c r="M448" s="289"/>
    </row>
    <row r="449" spans="1:13" hidden="1">
      <c r="A449" s="264" t="s">
        <v>13</v>
      </c>
      <c r="B449" s="194" t="s">
        <v>2208</v>
      </c>
      <c r="C449" s="188">
        <v>2440502</v>
      </c>
      <c r="D449" s="195">
        <v>45923</v>
      </c>
      <c r="E449" s="189"/>
      <c r="F449" s="257" t="s">
        <v>16</v>
      </c>
      <c r="G449" s="272">
        <v>221.78</v>
      </c>
      <c r="H449" s="190" t="s">
        <v>924</v>
      </c>
      <c r="I449" s="194" t="s">
        <v>889</v>
      </c>
      <c r="J449" s="278" t="s">
        <v>794</v>
      </c>
      <c r="K449" s="192"/>
      <c r="L449" s="193"/>
      <c r="M449" s="289"/>
    </row>
    <row r="450" spans="1:13" hidden="1">
      <c r="A450" s="264" t="s">
        <v>13</v>
      </c>
      <c r="B450" s="194" t="s">
        <v>2208</v>
      </c>
      <c r="C450" s="188">
        <v>2790466</v>
      </c>
      <c r="D450" s="195">
        <v>45955</v>
      </c>
      <c r="E450" s="189">
        <v>45955</v>
      </c>
      <c r="F450" s="257" t="s">
        <v>49</v>
      </c>
      <c r="G450" s="272">
        <v>498.96</v>
      </c>
      <c r="H450" s="97"/>
      <c r="I450" s="289" t="s">
        <v>926</v>
      </c>
      <c r="J450" s="278" t="s">
        <v>47</v>
      </c>
      <c r="K450" s="192"/>
      <c r="L450" s="193"/>
      <c r="M450" s="289"/>
    </row>
    <row r="451" spans="1:13" hidden="1">
      <c r="A451" s="260" t="s">
        <v>13</v>
      </c>
      <c r="B451" s="194" t="s">
        <v>2209</v>
      </c>
      <c r="C451" s="188" t="s">
        <v>928</v>
      </c>
      <c r="D451" s="195">
        <v>45958</v>
      </c>
      <c r="E451" s="189">
        <v>45958</v>
      </c>
      <c r="F451" s="257" t="s">
        <v>49</v>
      </c>
      <c r="G451" s="272">
        <v>215.54</v>
      </c>
      <c r="H451" s="190"/>
      <c r="I451" s="194" t="s">
        <v>28</v>
      </c>
      <c r="J451" s="278" t="s">
        <v>47</v>
      </c>
      <c r="K451" s="192"/>
      <c r="L451" s="193">
        <v>215.54</v>
      </c>
      <c r="M451" s="289" t="s">
        <v>47</v>
      </c>
    </row>
    <row r="452" spans="1:13" hidden="1">
      <c r="A452" s="260" t="s">
        <v>13</v>
      </c>
      <c r="B452" s="194" t="s">
        <v>2209</v>
      </c>
      <c r="C452" s="188" t="s">
        <v>929</v>
      </c>
      <c r="D452" s="195">
        <v>45962</v>
      </c>
      <c r="E452" s="189">
        <v>45962</v>
      </c>
      <c r="F452" s="257" t="s">
        <v>16</v>
      </c>
      <c r="G452" s="272">
        <v>295.95</v>
      </c>
      <c r="H452" s="190"/>
      <c r="I452" s="194" t="s">
        <v>34</v>
      </c>
      <c r="J452" s="278" t="s">
        <v>361</v>
      </c>
      <c r="K452" s="192"/>
      <c r="L452" s="193">
        <v>295.95</v>
      </c>
      <c r="M452" s="289" t="s">
        <v>47</v>
      </c>
    </row>
    <row r="453" spans="1:13" hidden="1">
      <c r="A453" s="257"/>
      <c r="B453" s="194" t="s">
        <v>930</v>
      </c>
      <c r="C453" s="188" t="s">
        <v>4330</v>
      </c>
      <c r="D453" s="195">
        <v>46081</v>
      </c>
      <c r="E453" s="189"/>
      <c r="F453" s="257"/>
      <c r="G453" s="272">
        <v>550.69000000000005</v>
      </c>
      <c r="H453" s="208"/>
      <c r="I453" s="194" t="s">
        <v>4331</v>
      </c>
      <c r="J453" s="278" t="s">
        <v>3309</v>
      </c>
      <c r="K453" s="193">
        <v>99.3</v>
      </c>
      <c r="L453" s="192"/>
      <c r="M453" s="289"/>
    </row>
    <row r="454" spans="1:13" hidden="1">
      <c r="A454" s="260" t="s">
        <v>13</v>
      </c>
      <c r="B454" s="194" t="s">
        <v>2210</v>
      </c>
      <c r="C454" s="188" t="s">
        <v>931</v>
      </c>
      <c r="D454" s="195">
        <v>45672</v>
      </c>
      <c r="E454" s="189"/>
      <c r="F454" s="257" t="s">
        <v>16</v>
      </c>
      <c r="G454" s="272">
        <v>693.19</v>
      </c>
      <c r="H454" s="190" t="s">
        <v>932</v>
      </c>
      <c r="I454" s="194" t="s">
        <v>933</v>
      </c>
      <c r="J454" s="278" t="s">
        <v>150</v>
      </c>
      <c r="K454" s="192"/>
      <c r="L454" s="193"/>
      <c r="M454" s="289"/>
    </row>
    <row r="455" spans="1:13" hidden="1">
      <c r="A455" s="260" t="s">
        <v>13</v>
      </c>
      <c r="B455" s="194" t="s">
        <v>2210</v>
      </c>
      <c r="C455" s="188" t="s">
        <v>934</v>
      </c>
      <c r="D455" s="195">
        <v>45688</v>
      </c>
      <c r="E455" s="189">
        <v>45688</v>
      </c>
      <c r="F455" s="257" t="s">
        <v>16</v>
      </c>
      <c r="G455" s="272">
        <v>1206.6199999999999</v>
      </c>
      <c r="H455" s="190" t="s">
        <v>935</v>
      </c>
      <c r="I455" s="194" t="s">
        <v>936</v>
      </c>
      <c r="J455" s="278" t="s">
        <v>154</v>
      </c>
      <c r="K455" s="192">
        <v>45736</v>
      </c>
      <c r="L455" s="193">
        <f>G456</f>
        <v>916.36</v>
      </c>
      <c r="M455" s="289" t="s">
        <v>111</v>
      </c>
    </row>
    <row r="456" spans="1:13" hidden="1">
      <c r="A456" s="260" t="s">
        <v>13</v>
      </c>
      <c r="B456" s="194" t="s">
        <v>2210</v>
      </c>
      <c r="C456" s="188" t="s">
        <v>937</v>
      </c>
      <c r="D456" s="195">
        <v>45703</v>
      </c>
      <c r="E456" s="189">
        <f>D456+21</f>
        <v>45724</v>
      </c>
      <c r="F456" s="257" t="s">
        <v>16</v>
      </c>
      <c r="G456" s="272">
        <v>916.36</v>
      </c>
      <c r="H456" s="190" t="s">
        <v>938</v>
      </c>
      <c r="I456" s="194" t="s">
        <v>939</v>
      </c>
      <c r="J456" s="278" t="s">
        <v>150</v>
      </c>
      <c r="K456" s="192">
        <v>45737</v>
      </c>
      <c r="L456" s="193">
        <f>Tbl_Fatture_statico[[#This Row],[Importo]]</f>
        <v>916.36</v>
      </c>
      <c r="M456" s="289" t="s">
        <v>19</v>
      </c>
    </row>
    <row r="457" spans="1:13" hidden="1">
      <c r="A457" s="260" t="s">
        <v>13</v>
      </c>
      <c r="B457" s="194" t="s">
        <v>2210</v>
      </c>
      <c r="C457" s="188" t="s">
        <v>940</v>
      </c>
      <c r="D457" s="195">
        <v>45716</v>
      </c>
      <c r="E457" s="189"/>
      <c r="F457" s="257" t="s">
        <v>16</v>
      </c>
      <c r="G457" s="272">
        <v>749.5</v>
      </c>
      <c r="H457" s="190" t="s">
        <v>941</v>
      </c>
      <c r="I457" s="194" t="s">
        <v>942</v>
      </c>
      <c r="J457" s="278" t="s">
        <v>150</v>
      </c>
      <c r="K457" s="192">
        <v>45763</v>
      </c>
      <c r="L457" s="193">
        <f>Tbl_Fatture_statico[[#This Row],[Importo]]</f>
        <v>749.5</v>
      </c>
      <c r="M457" s="289" t="s">
        <v>19</v>
      </c>
    </row>
    <row r="458" spans="1:13" hidden="1">
      <c r="A458" s="260" t="s">
        <v>13</v>
      </c>
      <c r="B458" s="194" t="s">
        <v>2210</v>
      </c>
      <c r="C458" s="188" t="s">
        <v>943</v>
      </c>
      <c r="D458" s="195">
        <v>45731</v>
      </c>
      <c r="E458" s="189"/>
      <c r="F458" s="257" t="s">
        <v>16</v>
      </c>
      <c r="G458" s="272">
        <v>729.96</v>
      </c>
      <c r="H458" s="190" t="s">
        <v>944</v>
      </c>
      <c r="I458" s="194" t="s">
        <v>945</v>
      </c>
      <c r="J458" s="278" t="s">
        <v>150</v>
      </c>
      <c r="K458" s="192">
        <v>45763</v>
      </c>
      <c r="L458" s="193">
        <f>Tbl_Fatture_statico[[#This Row],[Importo]]</f>
        <v>729.96</v>
      </c>
      <c r="M458" s="289" t="s">
        <v>19</v>
      </c>
    </row>
    <row r="459" spans="1:13" hidden="1">
      <c r="A459" s="260" t="s">
        <v>13</v>
      </c>
      <c r="B459" s="194" t="s">
        <v>2210</v>
      </c>
      <c r="C459" s="188" t="s">
        <v>946</v>
      </c>
      <c r="D459" s="195">
        <v>45747</v>
      </c>
      <c r="E459" s="189"/>
      <c r="F459" s="257" t="s">
        <v>16</v>
      </c>
      <c r="G459" s="272">
        <v>828.84</v>
      </c>
      <c r="H459" s="190" t="s">
        <v>947</v>
      </c>
      <c r="I459" s="194" t="s">
        <v>948</v>
      </c>
      <c r="J459" s="278" t="s">
        <v>150</v>
      </c>
      <c r="K459" s="192">
        <v>45783</v>
      </c>
      <c r="L459" s="193">
        <f>Tbl_Fatture_statico[[#This Row],[Importo]]</f>
        <v>828.84</v>
      </c>
      <c r="M459" s="289" t="s">
        <v>19</v>
      </c>
    </row>
    <row r="460" spans="1:13" hidden="1">
      <c r="A460" s="260" t="s">
        <v>13</v>
      </c>
      <c r="B460" s="194" t="s">
        <v>2210</v>
      </c>
      <c r="C460" s="188" t="s">
        <v>949</v>
      </c>
      <c r="D460" s="195">
        <v>45762</v>
      </c>
      <c r="E460" s="189"/>
      <c r="F460" s="257" t="s">
        <v>16</v>
      </c>
      <c r="G460" s="272">
        <v>846.19</v>
      </c>
      <c r="H460" s="190" t="s">
        <v>950</v>
      </c>
      <c r="I460" s="194" t="s">
        <v>951</v>
      </c>
      <c r="J460" s="278" t="s">
        <v>150</v>
      </c>
      <c r="K460" s="192">
        <v>45800</v>
      </c>
      <c r="L460" s="193">
        <f>Tbl_Fatture_statico[[#This Row],[Importo]]</f>
        <v>846.19</v>
      </c>
      <c r="M460" s="289" t="s">
        <v>19</v>
      </c>
    </row>
    <row r="461" spans="1:13" hidden="1">
      <c r="A461" s="260" t="s">
        <v>13</v>
      </c>
      <c r="B461" s="194" t="s">
        <v>2210</v>
      </c>
      <c r="C461" s="188" t="s">
        <v>952</v>
      </c>
      <c r="D461" s="195">
        <v>45777</v>
      </c>
      <c r="E461" s="189"/>
      <c r="F461" s="257" t="s">
        <v>16</v>
      </c>
      <c r="G461" s="272">
        <v>615.79999999999995</v>
      </c>
      <c r="H461" s="190" t="s">
        <v>953</v>
      </c>
      <c r="I461" s="194" t="s">
        <v>954</v>
      </c>
      <c r="J461" s="278" t="s">
        <v>150</v>
      </c>
      <c r="K461" s="192">
        <v>45824</v>
      </c>
      <c r="L461" s="193">
        <f>Tbl_Fatture_statico[[#This Row],[Importo]]</f>
        <v>615.79999999999995</v>
      </c>
      <c r="M461" s="289" t="s">
        <v>19</v>
      </c>
    </row>
    <row r="462" spans="1:13" hidden="1">
      <c r="A462" s="260" t="s">
        <v>13</v>
      </c>
      <c r="B462" s="194" t="s">
        <v>2210</v>
      </c>
      <c r="C462" s="188" t="s">
        <v>955</v>
      </c>
      <c r="D462" s="195">
        <v>45792</v>
      </c>
      <c r="E462" s="189"/>
      <c r="F462" s="257" t="s">
        <v>16</v>
      </c>
      <c r="G462" s="272">
        <v>568.62</v>
      </c>
      <c r="H462" s="190" t="s">
        <v>956</v>
      </c>
      <c r="I462" s="194" t="s">
        <v>957</v>
      </c>
      <c r="J462" s="278" t="s">
        <v>150</v>
      </c>
      <c r="K462" s="192">
        <v>45831</v>
      </c>
      <c r="L462" s="193">
        <f>Tbl_Fatture_statico[[#This Row],[Importo]]</f>
        <v>568.62</v>
      </c>
      <c r="M462" s="289" t="s">
        <v>19</v>
      </c>
    </row>
    <row r="463" spans="1:13" hidden="1">
      <c r="A463" s="260" t="s">
        <v>13</v>
      </c>
      <c r="B463" s="194" t="s">
        <v>2210</v>
      </c>
      <c r="C463" s="188" t="s">
        <v>958</v>
      </c>
      <c r="D463" s="195">
        <v>45808</v>
      </c>
      <c r="E463" s="189">
        <f>D463+21</f>
        <v>45829</v>
      </c>
      <c r="F463" s="257" t="s">
        <v>16</v>
      </c>
      <c r="G463" s="272">
        <v>942.34</v>
      </c>
      <c r="H463" s="190" t="s">
        <v>959</v>
      </c>
      <c r="I463" s="194" t="s">
        <v>960</v>
      </c>
      <c r="J463" s="278" t="s">
        <v>150</v>
      </c>
      <c r="K463" s="192"/>
      <c r="L463" s="193">
        <f>Tbl_Fatture_statico[[#This Row],[Importo]]</f>
        <v>942.34</v>
      </c>
      <c r="M463" s="289" t="s">
        <v>19</v>
      </c>
    </row>
    <row r="464" spans="1:13" hidden="1">
      <c r="A464" s="260" t="s">
        <v>13</v>
      </c>
      <c r="B464" s="194" t="s">
        <v>2210</v>
      </c>
      <c r="C464" s="188" t="s">
        <v>961</v>
      </c>
      <c r="D464" s="195">
        <v>45823</v>
      </c>
      <c r="E464" s="189"/>
      <c r="F464" s="257" t="s">
        <v>16</v>
      </c>
      <c r="G464" s="272">
        <v>579.76</v>
      </c>
      <c r="H464" s="190" t="s">
        <v>962</v>
      </c>
      <c r="I464" s="194" t="s">
        <v>963</v>
      </c>
      <c r="J464" s="278" t="s">
        <v>964</v>
      </c>
      <c r="K464" s="192"/>
      <c r="L464" s="193">
        <f>Tbl_Fatture_statico[[#This Row],[Importo]]</f>
        <v>579.76</v>
      </c>
      <c r="M464" s="289" t="s">
        <v>19</v>
      </c>
    </row>
    <row r="465" spans="1:13" hidden="1">
      <c r="A465" s="260" t="s">
        <v>13</v>
      </c>
      <c r="B465" s="194" t="s">
        <v>2210</v>
      </c>
      <c r="C465" s="188" t="s">
        <v>965</v>
      </c>
      <c r="D465" s="195">
        <v>45838</v>
      </c>
      <c r="E465" s="189"/>
      <c r="F465" s="257" t="s">
        <v>16</v>
      </c>
      <c r="G465" s="272">
        <v>738.19</v>
      </c>
      <c r="H465" s="190" t="s">
        <v>966</v>
      </c>
      <c r="I465" s="194" t="s">
        <v>967</v>
      </c>
      <c r="J465" s="278" t="s">
        <v>968</v>
      </c>
      <c r="K465" s="192">
        <v>45858</v>
      </c>
      <c r="L465" s="193">
        <f>Tbl_Fatture_statico[[#This Row],[Importo]]</f>
        <v>738.19</v>
      </c>
      <c r="M465" s="289" t="s">
        <v>19</v>
      </c>
    </row>
    <row r="466" spans="1:13" hidden="1">
      <c r="A466" s="260" t="s">
        <v>13</v>
      </c>
      <c r="B466" s="194" t="s">
        <v>2210</v>
      </c>
      <c r="C466" s="188" t="s">
        <v>969</v>
      </c>
      <c r="D466" s="195">
        <v>45853</v>
      </c>
      <c r="E466" s="189"/>
      <c r="F466" s="257" t="s">
        <v>16</v>
      </c>
      <c r="G466" s="272">
        <v>1247.81</v>
      </c>
      <c r="H466" s="190" t="s">
        <v>970</v>
      </c>
      <c r="I466" s="194" t="s">
        <v>971</v>
      </c>
      <c r="J466" s="278" t="s">
        <v>150</v>
      </c>
      <c r="K466" s="192">
        <v>45874</v>
      </c>
      <c r="L466" s="193">
        <f>Tbl_Fatture_statico[[#This Row],[Importo]]</f>
        <v>1247.81</v>
      </c>
      <c r="M466" s="289" t="s">
        <v>19</v>
      </c>
    </row>
    <row r="467" spans="1:13" hidden="1">
      <c r="A467" s="260" t="s">
        <v>13</v>
      </c>
      <c r="B467" s="194" t="s">
        <v>2210</v>
      </c>
      <c r="C467" s="188" t="s">
        <v>972</v>
      </c>
      <c r="D467" s="195">
        <v>45869</v>
      </c>
      <c r="E467" s="189"/>
      <c r="F467" s="257" t="s">
        <v>16</v>
      </c>
      <c r="G467" s="272">
        <v>986.36</v>
      </c>
      <c r="H467" s="190" t="s">
        <v>973</v>
      </c>
      <c r="I467" s="194" t="s">
        <v>974</v>
      </c>
      <c r="J467" s="278" t="s">
        <v>150</v>
      </c>
      <c r="K467" s="192">
        <v>45889</v>
      </c>
      <c r="L467" s="193">
        <f>Tbl_Fatture_statico[[#This Row],[Importo]]</f>
        <v>986.36</v>
      </c>
      <c r="M467" s="289" t="s">
        <v>19</v>
      </c>
    </row>
    <row r="468" spans="1:13" hidden="1">
      <c r="A468" s="260" t="s">
        <v>13</v>
      </c>
      <c r="B468" s="194" t="s">
        <v>2210</v>
      </c>
      <c r="C468" s="188" t="s">
        <v>975</v>
      </c>
      <c r="D468" s="195">
        <v>45884</v>
      </c>
      <c r="E468" s="189"/>
      <c r="F468" s="257" t="s">
        <v>16</v>
      </c>
      <c r="G468" s="272">
        <v>1157.67</v>
      </c>
      <c r="H468" s="190" t="s">
        <v>976</v>
      </c>
      <c r="I468" s="194" t="s">
        <v>977</v>
      </c>
      <c r="J468" s="278" t="s">
        <v>150</v>
      </c>
      <c r="K468" s="192">
        <v>45905</v>
      </c>
      <c r="L468" s="193">
        <f>Tbl_Fatture_statico[[#This Row],[Importo]]</f>
        <v>1157.67</v>
      </c>
      <c r="M468" s="289" t="s">
        <v>19</v>
      </c>
    </row>
    <row r="469" spans="1:13" hidden="1">
      <c r="A469" s="260" t="s">
        <v>13</v>
      </c>
      <c r="B469" s="194" t="s">
        <v>2210</v>
      </c>
      <c r="C469" s="188" t="s">
        <v>978</v>
      </c>
      <c r="D469" s="195">
        <v>45900</v>
      </c>
      <c r="E469" s="189"/>
      <c r="F469" s="257" t="s">
        <v>16</v>
      </c>
      <c r="G469" s="272">
        <v>748.7</v>
      </c>
      <c r="H469" s="190" t="s">
        <v>979</v>
      </c>
      <c r="I469" s="194" t="s">
        <v>980</v>
      </c>
      <c r="J469" s="278" t="s">
        <v>154</v>
      </c>
      <c r="K469" s="192">
        <v>45920</v>
      </c>
      <c r="L469" s="193">
        <f>Tbl_Fatture_statico[[#This Row],[Importo]]</f>
        <v>748.7</v>
      </c>
      <c r="M469" s="289" t="s">
        <v>19</v>
      </c>
    </row>
    <row r="470" spans="1:13" hidden="1">
      <c r="A470" s="260" t="s">
        <v>13</v>
      </c>
      <c r="B470" s="194" t="s">
        <v>2210</v>
      </c>
      <c r="C470" s="188" t="s">
        <v>981</v>
      </c>
      <c r="D470" s="195">
        <v>45915</v>
      </c>
      <c r="E470" s="189"/>
      <c r="F470" s="257" t="s">
        <v>16</v>
      </c>
      <c r="G470" s="272">
        <v>662.09</v>
      </c>
      <c r="H470" s="190" t="s">
        <v>982</v>
      </c>
      <c r="I470" s="194" t="s">
        <v>983</v>
      </c>
      <c r="J470" s="278" t="s">
        <v>150</v>
      </c>
      <c r="K470" s="192">
        <v>45935</v>
      </c>
      <c r="L470" s="193">
        <f>Tbl_Fatture_statico[[#This Row],[Importo]]</f>
        <v>662.09</v>
      </c>
      <c r="M470" s="289" t="s">
        <v>19</v>
      </c>
    </row>
    <row r="471" spans="1:13" hidden="1">
      <c r="A471" s="260" t="s">
        <v>13</v>
      </c>
      <c r="B471" s="194" t="s">
        <v>2210</v>
      </c>
      <c r="C471" s="188" t="s">
        <v>984</v>
      </c>
      <c r="D471" s="195">
        <v>45930</v>
      </c>
      <c r="E471" s="189"/>
      <c r="F471" s="257" t="s">
        <v>16</v>
      </c>
      <c r="G471" s="272">
        <v>620.88</v>
      </c>
      <c r="H471" s="190" t="s">
        <v>985</v>
      </c>
      <c r="I471" s="194" t="s">
        <v>986</v>
      </c>
      <c r="J471" s="278" t="s">
        <v>154</v>
      </c>
      <c r="K471" s="192">
        <v>45950</v>
      </c>
      <c r="L471" s="193">
        <f>Tbl_Fatture_statico[[#This Row],[Importo]]</f>
        <v>620.88</v>
      </c>
      <c r="M471" s="289" t="s">
        <v>19</v>
      </c>
    </row>
    <row r="472" spans="1:13" hidden="1">
      <c r="A472" s="260"/>
      <c r="B472" s="194" t="s">
        <v>2210</v>
      </c>
      <c r="C472" s="188" t="s">
        <v>987</v>
      </c>
      <c r="D472" s="195">
        <v>45961</v>
      </c>
      <c r="E472" s="189">
        <v>45945</v>
      </c>
      <c r="F472" s="257" t="s">
        <v>16</v>
      </c>
      <c r="G472" s="272">
        <v>328.43</v>
      </c>
      <c r="H472" s="196" t="s">
        <v>988</v>
      </c>
      <c r="I472" s="194" t="s">
        <v>2211</v>
      </c>
      <c r="J472" s="278" t="s">
        <v>154</v>
      </c>
      <c r="K472" s="192">
        <v>45971</v>
      </c>
      <c r="L472" s="193">
        <f>Tbl_Fatture_statico[[#This Row],[Importo]]</f>
        <v>328.43</v>
      </c>
      <c r="M472" s="289" t="s">
        <v>19</v>
      </c>
    </row>
    <row r="473" spans="1:13" hidden="1">
      <c r="A473" s="257" t="s">
        <v>2212</v>
      </c>
      <c r="B473" s="194" t="s">
        <v>2210</v>
      </c>
      <c r="C473" s="188" t="s">
        <v>987</v>
      </c>
      <c r="D473" s="195">
        <v>45961</v>
      </c>
      <c r="E473" s="189">
        <v>45960</v>
      </c>
      <c r="F473" s="257" t="s">
        <v>16</v>
      </c>
      <c r="G473" s="272">
        <v>758.4</v>
      </c>
      <c r="H473" s="190"/>
      <c r="I473" s="194" t="s">
        <v>988</v>
      </c>
      <c r="J473" s="278" t="s">
        <v>154</v>
      </c>
      <c r="K473" s="192">
        <v>45981</v>
      </c>
      <c r="L473" s="193">
        <f>Tbl_Fatture_statico[[#This Row],[Importo]]</f>
        <v>758.4</v>
      </c>
      <c r="M473" s="289" t="s">
        <v>19</v>
      </c>
    </row>
    <row r="474" spans="1:13" hidden="1">
      <c r="A474" s="257"/>
      <c r="B474" s="194" t="s">
        <v>930</v>
      </c>
      <c r="C474" s="188" t="s">
        <v>3327</v>
      </c>
      <c r="D474" s="195">
        <v>46022</v>
      </c>
      <c r="E474" s="189">
        <v>46022</v>
      </c>
      <c r="F474" s="257" t="s">
        <v>16</v>
      </c>
      <c r="G474" s="272">
        <v>741.56</v>
      </c>
      <c r="H474" s="190"/>
      <c r="I474" s="194" t="s">
        <v>993</v>
      </c>
      <c r="J474" s="278" t="s">
        <v>154</v>
      </c>
      <c r="K474" s="192">
        <v>46022</v>
      </c>
      <c r="L474" s="193"/>
      <c r="M474" s="289" t="s">
        <v>19</v>
      </c>
    </row>
    <row r="475" spans="1:13" hidden="1">
      <c r="A475" s="257" t="s">
        <v>13</v>
      </c>
      <c r="B475" s="194" t="s">
        <v>930</v>
      </c>
      <c r="C475" s="188" t="s">
        <v>989</v>
      </c>
      <c r="D475" s="189">
        <v>45976</v>
      </c>
      <c r="E475" s="189">
        <v>45976</v>
      </c>
      <c r="F475" s="257" t="s">
        <v>49</v>
      </c>
      <c r="G475" s="272">
        <v>415.6</v>
      </c>
      <c r="H475" s="190"/>
      <c r="I475" s="187" t="s">
        <v>990</v>
      </c>
      <c r="J475" s="278" t="s">
        <v>154</v>
      </c>
      <c r="K475" s="192">
        <v>46001</v>
      </c>
      <c r="L475" s="193">
        <f>Tbl_Fatture_statico[[#This Row],[Importo]]</f>
        <v>415.6</v>
      </c>
      <c r="M475" s="289" t="s">
        <v>19</v>
      </c>
    </row>
    <row r="476" spans="1:13" hidden="1">
      <c r="A476" s="257" t="s">
        <v>13</v>
      </c>
      <c r="B476" s="194" t="s">
        <v>930</v>
      </c>
      <c r="C476" s="188" t="s">
        <v>991</v>
      </c>
      <c r="D476" s="189">
        <v>45991</v>
      </c>
      <c r="E476" s="189">
        <v>45991</v>
      </c>
      <c r="F476" s="257" t="s">
        <v>49</v>
      </c>
      <c r="G476" s="272">
        <v>764.62</v>
      </c>
      <c r="H476" s="190"/>
      <c r="I476" s="187"/>
      <c r="J476" s="278" t="s">
        <v>154</v>
      </c>
      <c r="K476" s="192">
        <v>46011</v>
      </c>
      <c r="L476" s="193">
        <f>Tbl_Fatture_statico[[#This Row],[Importo]]</f>
        <v>764.62</v>
      </c>
      <c r="M476" s="289" t="s">
        <v>19</v>
      </c>
    </row>
    <row r="477" spans="1:13" hidden="1">
      <c r="A477" s="257" t="s">
        <v>13</v>
      </c>
      <c r="B477" s="194" t="s">
        <v>930</v>
      </c>
      <c r="C477" s="188" t="s">
        <v>992</v>
      </c>
      <c r="D477" s="195">
        <v>46006</v>
      </c>
      <c r="E477" s="189">
        <v>46006</v>
      </c>
      <c r="F477" s="257" t="s">
        <v>49</v>
      </c>
      <c r="G477" s="272">
        <v>560.03</v>
      </c>
      <c r="H477" s="196"/>
      <c r="I477" s="194" t="s">
        <v>993</v>
      </c>
      <c r="J477" s="278" t="s">
        <v>154</v>
      </c>
      <c r="K477" s="192">
        <v>46027</v>
      </c>
      <c r="L477" s="193">
        <f>Tbl_Fatture_statico[[#This Row],[Importo]]</f>
        <v>560.03</v>
      </c>
      <c r="M477" s="289" t="s">
        <v>19</v>
      </c>
    </row>
    <row r="478" spans="1:13" hidden="1">
      <c r="A478" s="196" t="s">
        <v>13</v>
      </c>
      <c r="B478" s="196" t="s">
        <v>930</v>
      </c>
      <c r="C478" s="196" t="s">
        <v>4121</v>
      </c>
      <c r="D478" s="192">
        <v>46037</v>
      </c>
      <c r="E478" s="195">
        <v>46037</v>
      </c>
      <c r="F478" s="257" t="s">
        <v>49</v>
      </c>
      <c r="G478" s="201">
        <v>672.99</v>
      </c>
      <c r="H478" s="196" t="s">
        <v>4161</v>
      </c>
      <c r="I478" s="196" t="s">
        <v>154</v>
      </c>
      <c r="J478" s="192"/>
      <c r="K478" s="201"/>
      <c r="L478" s="196"/>
      <c r="M478" s="289"/>
    </row>
    <row r="479" spans="1:13" hidden="1">
      <c r="A479" s="257"/>
      <c r="B479" s="194" t="s">
        <v>930</v>
      </c>
      <c r="C479" s="188" t="s">
        <v>4228</v>
      </c>
      <c r="D479" s="195">
        <v>46053</v>
      </c>
      <c r="E479" s="189">
        <v>46078</v>
      </c>
      <c r="F479" s="257" t="s">
        <v>16</v>
      </c>
      <c r="G479" s="272">
        <v>883.87</v>
      </c>
      <c r="H479" s="196"/>
      <c r="I479" s="194" t="s">
        <v>4229</v>
      </c>
      <c r="J479" s="278" t="s">
        <v>3309</v>
      </c>
      <c r="K479" s="193">
        <v>159.38999999999999</v>
      </c>
      <c r="L479" s="192"/>
      <c r="M479" s="289"/>
    </row>
    <row r="480" spans="1:13" hidden="1">
      <c r="A480" s="257"/>
      <c r="B480" s="194" t="s">
        <v>930</v>
      </c>
      <c r="C480" s="188" t="s">
        <v>4256</v>
      </c>
      <c r="D480" s="195">
        <v>46068</v>
      </c>
      <c r="E480" s="189">
        <v>46096</v>
      </c>
      <c r="F480" s="257"/>
      <c r="G480" s="272">
        <v>561.80999999999995</v>
      </c>
      <c r="H480" s="249"/>
      <c r="I480" s="194" t="s">
        <v>3975</v>
      </c>
      <c r="J480" s="278" t="s">
        <v>3309</v>
      </c>
      <c r="K480" s="193">
        <v>101.31</v>
      </c>
      <c r="L480" s="193"/>
      <c r="M480" s="289"/>
    </row>
    <row r="481" spans="1:13" hidden="1">
      <c r="A481" s="257"/>
      <c r="B481" s="194" t="s">
        <v>3662</v>
      </c>
      <c r="C481" s="188" t="s">
        <v>1712</v>
      </c>
      <c r="D481" s="195">
        <v>46042</v>
      </c>
      <c r="E481" s="195">
        <v>46063</v>
      </c>
      <c r="F481" s="257"/>
      <c r="G481" s="272">
        <v>427</v>
      </c>
      <c r="H481" s="196"/>
      <c r="I481" s="194" t="s">
        <v>4133</v>
      </c>
      <c r="J481" s="278" t="s">
        <v>3314</v>
      </c>
      <c r="K481" s="193">
        <v>77</v>
      </c>
      <c r="L481" s="192">
        <v>46063</v>
      </c>
      <c r="M481" s="289"/>
    </row>
    <row r="482" spans="1:13" hidden="1">
      <c r="A482" s="257"/>
      <c r="B482" s="194" t="s">
        <v>2214</v>
      </c>
      <c r="C482" s="188">
        <v>144</v>
      </c>
      <c r="D482" s="195">
        <v>45677</v>
      </c>
      <c r="E482" s="189"/>
      <c r="F482" s="257" t="s">
        <v>16</v>
      </c>
      <c r="G482" s="272">
        <v>427</v>
      </c>
      <c r="H482" s="190" t="s">
        <v>1008</v>
      </c>
      <c r="I482" s="194"/>
      <c r="J482" s="278" t="s">
        <v>56</v>
      </c>
      <c r="K482" s="192"/>
      <c r="L482" s="193"/>
      <c r="M482" s="289"/>
    </row>
    <row r="483" spans="1:13" hidden="1">
      <c r="A483" s="257"/>
      <c r="B483" s="187" t="s">
        <v>2215</v>
      </c>
      <c r="C483" s="188">
        <v>2864</v>
      </c>
      <c r="D483" s="189">
        <v>45404</v>
      </c>
      <c r="E483" s="189"/>
      <c r="F483" s="257" t="s">
        <v>16</v>
      </c>
      <c r="G483" s="272">
        <v>854</v>
      </c>
      <c r="H483" s="196"/>
      <c r="I483" s="194" t="s">
        <v>1010</v>
      </c>
      <c r="J483" s="278"/>
      <c r="K483" s="192"/>
      <c r="L483" s="193"/>
      <c r="M483" s="289"/>
    </row>
    <row r="484" spans="1:13" hidden="1">
      <c r="A484" s="257"/>
      <c r="B484" s="187" t="s">
        <v>2215</v>
      </c>
      <c r="C484" s="188" t="s">
        <v>1011</v>
      </c>
      <c r="D484" s="189">
        <v>45412</v>
      </c>
      <c r="E484" s="189"/>
      <c r="F484" s="257" t="s">
        <v>16</v>
      </c>
      <c r="G484" s="272">
        <v>329.4</v>
      </c>
      <c r="H484" s="208" t="s">
        <v>1012</v>
      </c>
      <c r="I484" s="187" t="s">
        <v>1013</v>
      </c>
      <c r="J484" s="278" t="s">
        <v>56</v>
      </c>
      <c r="K484" s="192"/>
      <c r="L484" s="193"/>
      <c r="M484" s="289"/>
    </row>
    <row r="485" spans="1:13" hidden="1">
      <c r="A485" s="257"/>
      <c r="B485" s="187" t="s">
        <v>2215</v>
      </c>
      <c r="C485" s="188" t="s">
        <v>1014</v>
      </c>
      <c r="D485" s="189">
        <v>45443</v>
      </c>
      <c r="E485" s="189"/>
      <c r="F485" s="257" t="s">
        <v>16</v>
      </c>
      <c r="G485" s="272">
        <v>854</v>
      </c>
      <c r="H485" s="208" t="s">
        <v>1015</v>
      </c>
      <c r="I485" s="187" t="s">
        <v>1016</v>
      </c>
      <c r="J485" s="278" t="s">
        <v>56</v>
      </c>
      <c r="K485" s="192">
        <v>45709</v>
      </c>
      <c r="L485" s="193">
        <f>SUM($H$404:$H$405)</f>
        <v>0</v>
      </c>
      <c r="M485" s="289" t="s">
        <v>111</v>
      </c>
    </row>
    <row r="486" spans="1:13" hidden="1">
      <c r="A486" s="257"/>
      <c r="B486" s="187" t="s">
        <v>2215</v>
      </c>
      <c r="C486" s="188"/>
      <c r="D486" s="189"/>
      <c r="E486" s="189">
        <v>45606</v>
      </c>
      <c r="F486" s="257" t="s">
        <v>16</v>
      </c>
      <c r="G486" s="272">
        <v>5000</v>
      </c>
      <c r="H486" s="208"/>
      <c r="I486" s="187"/>
      <c r="J486" s="278"/>
      <c r="K486" s="192">
        <v>45709</v>
      </c>
      <c r="L486" s="193">
        <f>SUM($H$404:$H$405)</f>
        <v>0</v>
      </c>
      <c r="M486" s="289" t="s">
        <v>111</v>
      </c>
    </row>
    <row r="487" spans="1:13" hidden="1">
      <c r="A487" s="257"/>
      <c r="B487" s="187" t="s">
        <v>2215</v>
      </c>
      <c r="C487" s="188"/>
      <c r="D487" s="189"/>
      <c r="E487" s="189">
        <v>45636</v>
      </c>
      <c r="F487" s="257" t="s">
        <v>16</v>
      </c>
      <c r="G487" s="272">
        <v>5000</v>
      </c>
      <c r="H487" s="208"/>
      <c r="I487" s="187"/>
      <c r="J487" s="278"/>
      <c r="K487" s="192">
        <v>45826</v>
      </c>
      <c r="L487" s="193">
        <v>25000</v>
      </c>
      <c r="M487" s="289"/>
    </row>
    <row r="488" spans="1:13" hidden="1">
      <c r="A488" s="257"/>
      <c r="B488" s="187" t="s">
        <v>2215</v>
      </c>
      <c r="C488" s="188"/>
      <c r="D488" s="189"/>
      <c r="E488" s="189">
        <v>45682</v>
      </c>
      <c r="F488" s="257" t="s">
        <v>16</v>
      </c>
      <c r="G488" s="272">
        <v>77000</v>
      </c>
      <c r="H488" s="208"/>
      <c r="I488" s="187"/>
      <c r="J488" s="278" t="s">
        <v>56</v>
      </c>
      <c r="K488" s="192"/>
      <c r="L488" s="193"/>
      <c r="M488" s="289"/>
    </row>
    <row r="489" spans="1:13" hidden="1">
      <c r="A489" s="257"/>
      <c r="B489" s="194" t="s">
        <v>2215</v>
      </c>
      <c r="C489" s="188" t="s">
        <v>1017</v>
      </c>
      <c r="D489" s="195">
        <v>45535</v>
      </c>
      <c r="E489" s="189">
        <v>45545</v>
      </c>
      <c r="F489" s="257" t="s">
        <v>16</v>
      </c>
      <c r="G489" s="272">
        <v>854</v>
      </c>
      <c r="H489" s="200" t="s">
        <v>1018</v>
      </c>
      <c r="I489" s="194" t="s">
        <v>1019</v>
      </c>
      <c r="J489" s="278" t="s">
        <v>56</v>
      </c>
      <c r="K489" s="192"/>
      <c r="L489" s="193"/>
      <c r="M489" s="289"/>
    </row>
    <row r="490" spans="1:13" hidden="1">
      <c r="A490" s="257"/>
      <c r="B490" s="194" t="s">
        <v>2215</v>
      </c>
      <c r="C490" s="188" t="s">
        <v>1021</v>
      </c>
      <c r="D490" s="195">
        <v>45616</v>
      </c>
      <c r="E490" s="189">
        <v>45636</v>
      </c>
      <c r="F490" s="257" t="s">
        <v>16</v>
      </c>
      <c r="G490" s="272">
        <v>1281</v>
      </c>
      <c r="H490" s="200" t="s">
        <v>1022</v>
      </c>
      <c r="I490" s="194" t="s">
        <v>1023</v>
      </c>
      <c r="J490" s="278" t="s">
        <v>56</v>
      </c>
      <c r="K490" s="192"/>
      <c r="L490" s="193"/>
      <c r="M490" s="289"/>
    </row>
    <row r="491" spans="1:13" hidden="1">
      <c r="A491" s="257"/>
      <c r="B491" s="194" t="s">
        <v>2215</v>
      </c>
      <c r="C491" s="188" t="s">
        <v>1024</v>
      </c>
      <c r="D491" s="195">
        <v>45653</v>
      </c>
      <c r="E491" s="189">
        <v>45667</v>
      </c>
      <c r="F491" s="257" t="s">
        <v>16</v>
      </c>
      <c r="G491" s="272">
        <v>427</v>
      </c>
      <c r="H491" s="200" t="s">
        <v>1025</v>
      </c>
      <c r="I491" s="194"/>
      <c r="J491" s="278" t="s">
        <v>56</v>
      </c>
      <c r="K491" s="192"/>
      <c r="L491" s="193"/>
      <c r="M491" s="289"/>
    </row>
    <row r="492" spans="1:13" hidden="1">
      <c r="A492" s="257"/>
      <c r="B492" s="216" t="s">
        <v>2214</v>
      </c>
      <c r="C492" s="188" t="s">
        <v>1026</v>
      </c>
      <c r="D492" s="203">
        <v>45716</v>
      </c>
      <c r="E492" s="189">
        <v>45726</v>
      </c>
      <c r="F492" s="257" t="s">
        <v>16</v>
      </c>
      <c r="G492" s="272">
        <v>-328.18</v>
      </c>
      <c r="H492" s="204" t="s">
        <v>1027</v>
      </c>
      <c r="I492" s="216"/>
      <c r="J492" s="278" t="s">
        <v>56</v>
      </c>
      <c r="K492" s="192"/>
      <c r="L492" s="193"/>
      <c r="M492" s="289"/>
    </row>
    <row r="493" spans="1:13" hidden="1">
      <c r="A493" s="257"/>
      <c r="B493" s="187" t="s">
        <v>2214</v>
      </c>
      <c r="C493" s="188" t="s">
        <v>1028</v>
      </c>
      <c r="D493" s="189">
        <v>45869</v>
      </c>
      <c r="E493" s="189">
        <v>45879</v>
      </c>
      <c r="F493" s="257"/>
      <c r="G493" s="272">
        <v>2745</v>
      </c>
      <c r="H493" s="200" t="s">
        <v>1029</v>
      </c>
      <c r="I493" s="187" t="s">
        <v>1030</v>
      </c>
      <c r="J493" s="278" t="s">
        <v>56</v>
      </c>
      <c r="K493" s="192">
        <v>45685</v>
      </c>
      <c r="L493" s="193">
        <f>SUM($H$224:$H$228)</f>
        <v>0</v>
      </c>
      <c r="M493" s="289" t="s">
        <v>111</v>
      </c>
    </row>
    <row r="494" spans="1:13" hidden="1">
      <c r="A494" s="257"/>
      <c r="B494" s="187" t="s">
        <v>2215</v>
      </c>
      <c r="C494" s="188" t="s">
        <v>1031</v>
      </c>
      <c r="D494" s="189">
        <v>45900</v>
      </c>
      <c r="E494" s="189">
        <v>45910</v>
      </c>
      <c r="F494" s="257"/>
      <c r="G494" s="272">
        <v>427</v>
      </c>
      <c r="H494" s="200" t="s">
        <v>1032</v>
      </c>
      <c r="I494" s="187" t="s">
        <v>1033</v>
      </c>
      <c r="J494" s="278" t="s">
        <v>56</v>
      </c>
      <c r="K494" s="192"/>
      <c r="L494" s="193"/>
      <c r="M494" s="289"/>
    </row>
    <row r="495" spans="1:13" hidden="1">
      <c r="A495" s="257"/>
      <c r="B495" s="187" t="s">
        <v>2214</v>
      </c>
      <c r="C495" s="188" t="s">
        <v>1034</v>
      </c>
      <c r="D495" s="189">
        <v>45917</v>
      </c>
      <c r="E495" s="189">
        <v>45940</v>
      </c>
      <c r="F495" s="257" t="s">
        <v>16</v>
      </c>
      <c r="G495" s="272">
        <v>11598.83</v>
      </c>
      <c r="H495" s="200" t="s">
        <v>1035</v>
      </c>
      <c r="I495" s="187" t="s">
        <v>1036</v>
      </c>
      <c r="J495" s="278" t="s">
        <v>66</v>
      </c>
      <c r="K495" s="192"/>
      <c r="L495" s="193"/>
      <c r="M495" s="289"/>
    </row>
    <row r="496" spans="1:13" hidden="1">
      <c r="A496" s="257"/>
      <c r="B496" s="187" t="s">
        <v>2214</v>
      </c>
      <c r="C496" s="188" t="s">
        <v>1037</v>
      </c>
      <c r="D496" s="189">
        <v>45930</v>
      </c>
      <c r="E496" s="189">
        <v>45940</v>
      </c>
      <c r="F496" s="257"/>
      <c r="G496" s="272">
        <v>854</v>
      </c>
      <c r="H496" s="200" t="s">
        <v>1038</v>
      </c>
      <c r="I496" s="187" t="s">
        <v>692</v>
      </c>
      <c r="J496" s="278" t="s">
        <v>56</v>
      </c>
      <c r="K496" s="192"/>
      <c r="L496" s="193"/>
      <c r="M496" s="289"/>
    </row>
    <row r="497" spans="1:13" hidden="1">
      <c r="A497" s="257"/>
      <c r="B497" s="187" t="s">
        <v>2214</v>
      </c>
      <c r="C497" s="188" t="s">
        <v>1039</v>
      </c>
      <c r="D497" s="189">
        <v>45930</v>
      </c>
      <c r="E497" s="189">
        <v>46001</v>
      </c>
      <c r="F497" s="257"/>
      <c r="G497" s="272">
        <v>2598.6</v>
      </c>
      <c r="H497" s="200" t="s">
        <v>1040</v>
      </c>
      <c r="I497" s="187" t="s">
        <v>1041</v>
      </c>
      <c r="J497" s="278" t="s">
        <v>125</v>
      </c>
      <c r="K497" s="192">
        <v>46001</v>
      </c>
      <c r="L497" s="272">
        <v>2598.6</v>
      </c>
      <c r="M497" s="289" t="s">
        <v>19</v>
      </c>
    </row>
    <row r="498" spans="1:13" hidden="1">
      <c r="A498" s="260" t="s">
        <v>316</v>
      </c>
      <c r="B498" s="187" t="s">
        <v>2214</v>
      </c>
      <c r="C498" s="188" t="s">
        <v>1042</v>
      </c>
      <c r="D498" s="189">
        <v>45950</v>
      </c>
      <c r="E498" s="189">
        <v>45971</v>
      </c>
      <c r="F498" s="257"/>
      <c r="G498" s="272">
        <v>854</v>
      </c>
      <c r="H498" s="200"/>
      <c r="I498" s="187" t="s">
        <v>2216</v>
      </c>
      <c r="J498" s="278" t="s">
        <v>1044</v>
      </c>
      <c r="K498" s="192">
        <v>45971</v>
      </c>
      <c r="L498" s="193">
        <v>854</v>
      </c>
      <c r="M498" s="289"/>
    </row>
    <row r="499" spans="1:13" hidden="1">
      <c r="A499" s="257"/>
      <c r="B499" s="194" t="s">
        <v>2217</v>
      </c>
      <c r="C499" s="188" t="s">
        <v>1045</v>
      </c>
      <c r="D499" s="195">
        <v>45991</v>
      </c>
      <c r="E499" s="189">
        <v>46001</v>
      </c>
      <c r="F499" s="257"/>
      <c r="G499" s="272">
        <v>427</v>
      </c>
      <c r="H499" s="196"/>
      <c r="I499" s="194" t="s">
        <v>1046</v>
      </c>
      <c r="J499" s="278" t="s">
        <v>354</v>
      </c>
      <c r="K499" s="192">
        <v>46001</v>
      </c>
      <c r="L499" s="193">
        <v>427</v>
      </c>
      <c r="M499" s="289"/>
    </row>
    <row r="500" spans="1:13" hidden="1">
      <c r="A500" s="262" t="s">
        <v>2218</v>
      </c>
      <c r="B500" s="194" t="s">
        <v>2219</v>
      </c>
      <c r="C500" s="188" t="s">
        <v>995</v>
      </c>
      <c r="D500" s="195">
        <v>45747</v>
      </c>
      <c r="E500" s="189">
        <f>D500+60</f>
        <v>45807</v>
      </c>
      <c r="F500" s="257"/>
      <c r="G500" s="272">
        <v>1660.42</v>
      </c>
      <c r="H500" s="190" t="s">
        <v>996</v>
      </c>
      <c r="I500" s="194"/>
      <c r="J500" s="278"/>
      <c r="K500" s="192"/>
      <c r="L500" s="193"/>
      <c r="M500" s="289"/>
    </row>
    <row r="501" spans="1:13" hidden="1">
      <c r="A501" s="262"/>
      <c r="B501" s="194" t="s">
        <v>2219</v>
      </c>
      <c r="C501" s="188" t="s">
        <v>997</v>
      </c>
      <c r="D501" s="195">
        <v>45777</v>
      </c>
      <c r="E501" s="189"/>
      <c r="F501" s="257"/>
      <c r="G501" s="272">
        <v>180.56</v>
      </c>
      <c r="H501" s="190" t="s">
        <v>998</v>
      </c>
      <c r="I501" s="194"/>
      <c r="J501" s="278"/>
      <c r="K501" s="192"/>
      <c r="L501" s="193"/>
      <c r="M501" s="289"/>
    </row>
    <row r="502" spans="1:13" hidden="1">
      <c r="A502" s="262"/>
      <c r="B502" s="194" t="s">
        <v>2219</v>
      </c>
      <c r="C502" s="188" t="s">
        <v>999</v>
      </c>
      <c r="D502" s="195">
        <v>45808</v>
      </c>
      <c r="E502" s="189"/>
      <c r="F502" s="257"/>
      <c r="G502" s="272">
        <v>890.6</v>
      </c>
      <c r="H502" s="190" t="s">
        <v>1000</v>
      </c>
      <c r="I502" s="194"/>
      <c r="J502" s="278"/>
      <c r="K502" s="192"/>
      <c r="L502" s="193"/>
      <c r="M502" s="289" t="s">
        <v>1001</v>
      </c>
    </row>
    <row r="503" spans="1:13" hidden="1">
      <c r="A503" s="257"/>
      <c r="B503" s="194" t="s">
        <v>2220</v>
      </c>
      <c r="C503" s="188">
        <v>926</v>
      </c>
      <c r="D503" s="195">
        <v>45832</v>
      </c>
      <c r="E503" s="189"/>
      <c r="F503" s="257" t="s">
        <v>16</v>
      </c>
      <c r="G503" s="272">
        <v>405.01</v>
      </c>
      <c r="H503" s="190" t="s">
        <v>1003</v>
      </c>
      <c r="I503" s="194"/>
      <c r="J503" s="278"/>
      <c r="K503" s="192"/>
      <c r="L503" s="193"/>
      <c r="M503" s="289" t="s">
        <v>1001</v>
      </c>
    </row>
    <row r="504" spans="1:13" hidden="1">
      <c r="A504" s="257"/>
      <c r="B504" s="194" t="s">
        <v>2220</v>
      </c>
      <c r="C504" s="188">
        <v>953</v>
      </c>
      <c r="D504" s="195">
        <v>45838</v>
      </c>
      <c r="E504" s="189"/>
      <c r="F504" s="257" t="s">
        <v>16</v>
      </c>
      <c r="G504" s="272">
        <v>180</v>
      </c>
      <c r="H504" s="190" t="s">
        <v>1005</v>
      </c>
      <c r="I504" s="194"/>
      <c r="J504" s="278" t="s">
        <v>794</v>
      </c>
      <c r="K504" s="192"/>
      <c r="L504" s="193"/>
      <c r="M504" s="289"/>
    </row>
    <row r="505" spans="1:13" hidden="1">
      <c r="A505" s="260" t="s">
        <v>13</v>
      </c>
      <c r="B505" s="194" t="s">
        <v>1047</v>
      </c>
      <c r="C505" s="188" t="s">
        <v>1048</v>
      </c>
      <c r="D505" s="195">
        <v>45793</v>
      </c>
      <c r="E505" s="189"/>
      <c r="F505" s="257"/>
      <c r="G505" s="272">
        <f>5756.63-G508</f>
        <v>3669.1400000000003</v>
      </c>
      <c r="H505" s="190"/>
      <c r="I505" s="194" t="s">
        <v>1057</v>
      </c>
      <c r="J505" s="278"/>
      <c r="K505" s="192"/>
      <c r="L505" s="193"/>
      <c r="M505" s="289"/>
    </row>
    <row r="506" spans="1:13" hidden="1">
      <c r="A506" s="260" t="s">
        <v>13</v>
      </c>
      <c r="B506" s="194" t="s">
        <v>1047</v>
      </c>
      <c r="C506" s="188" t="s">
        <v>1051</v>
      </c>
      <c r="D506" s="195">
        <v>45866</v>
      </c>
      <c r="E506" s="189"/>
      <c r="F506" s="257"/>
      <c r="G506" s="272">
        <v>4760.8599999999997</v>
      </c>
      <c r="H506" s="190"/>
      <c r="I506" s="194" t="s">
        <v>1059</v>
      </c>
      <c r="J506" s="278"/>
      <c r="K506" s="192"/>
      <c r="L506" s="193"/>
      <c r="M506" s="289"/>
    </row>
    <row r="507" spans="1:13" hidden="1">
      <c r="A507" s="260" t="s">
        <v>13</v>
      </c>
      <c r="B507" s="194" t="s">
        <v>1047</v>
      </c>
      <c r="C507" s="188" t="s">
        <v>1054</v>
      </c>
      <c r="D507" s="195">
        <v>45947</v>
      </c>
      <c r="E507" s="189"/>
      <c r="F507" s="257" t="s">
        <v>49</v>
      </c>
      <c r="G507" s="272">
        <v>4500</v>
      </c>
      <c r="H507" s="190"/>
      <c r="I507" s="194"/>
      <c r="J507" s="278" t="s">
        <v>83</v>
      </c>
      <c r="K507" s="192">
        <v>45960</v>
      </c>
      <c r="L507" s="193">
        <v>4500</v>
      </c>
      <c r="M507" s="289" t="s">
        <v>819</v>
      </c>
    </row>
    <row r="508" spans="1:13" hidden="1">
      <c r="A508" s="257" t="s">
        <v>13</v>
      </c>
      <c r="B508" s="194" t="s">
        <v>1047</v>
      </c>
      <c r="C508" s="188" t="s">
        <v>1056</v>
      </c>
      <c r="D508" s="189">
        <v>45964</v>
      </c>
      <c r="E508" s="189"/>
      <c r="F508" s="257" t="s">
        <v>49</v>
      </c>
      <c r="G508" s="272">
        <v>2087.4899999999998</v>
      </c>
      <c r="H508" s="190"/>
      <c r="I508" s="187" t="s">
        <v>1064</v>
      </c>
      <c r="J508" s="278" t="s">
        <v>83</v>
      </c>
      <c r="K508" s="192">
        <v>45961</v>
      </c>
      <c r="L508" s="193">
        <v>4500</v>
      </c>
      <c r="M508" s="289" t="s">
        <v>1066</v>
      </c>
    </row>
    <row r="509" spans="1:13" hidden="1">
      <c r="A509" s="257" t="s">
        <v>13</v>
      </c>
      <c r="B509" s="194" t="s">
        <v>1047</v>
      </c>
      <c r="C509" s="188" t="s">
        <v>1058</v>
      </c>
      <c r="D509" s="189">
        <v>45964</v>
      </c>
      <c r="E509" s="189"/>
      <c r="F509" s="257" t="s">
        <v>49</v>
      </c>
      <c r="G509" s="272">
        <v>2412.5100000000002</v>
      </c>
      <c r="H509" s="190" t="s">
        <v>2221</v>
      </c>
      <c r="I509" s="187" t="s">
        <v>1064</v>
      </c>
      <c r="J509" s="278" t="s">
        <v>83</v>
      </c>
      <c r="K509" s="192">
        <v>45961</v>
      </c>
      <c r="L509" s="193">
        <v>4500</v>
      </c>
      <c r="M509" s="289" t="s">
        <v>1066</v>
      </c>
    </row>
    <row r="510" spans="1:13" hidden="1">
      <c r="A510" s="257" t="s">
        <v>13</v>
      </c>
      <c r="B510" s="194" t="s">
        <v>1047</v>
      </c>
      <c r="C510" s="188" t="s">
        <v>1061</v>
      </c>
      <c r="D510" s="195"/>
      <c r="E510" s="189"/>
      <c r="F510" s="257"/>
      <c r="G510" s="272">
        <v>0</v>
      </c>
      <c r="H510" s="196" t="s">
        <v>2221</v>
      </c>
      <c r="I510" s="194" t="s">
        <v>1062</v>
      </c>
      <c r="J510" s="278"/>
      <c r="K510" s="192"/>
      <c r="L510" s="193"/>
      <c r="M510" s="289"/>
    </row>
    <row r="511" spans="1:13" hidden="1">
      <c r="A511" s="260">
        <v>2024</v>
      </c>
      <c r="B511" s="194" t="s">
        <v>1047</v>
      </c>
      <c r="C511" s="188">
        <v>41</v>
      </c>
      <c r="D511" s="195">
        <v>45686</v>
      </c>
      <c r="E511" s="189"/>
      <c r="F511" s="257" t="s">
        <v>16</v>
      </c>
      <c r="G511" s="272">
        <v>5559.07</v>
      </c>
      <c r="H511" s="190" t="s">
        <v>1049</v>
      </c>
      <c r="I511" s="194" t="s">
        <v>1050</v>
      </c>
      <c r="J511" s="278" t="s">
        <v>56</v>
      </c>
      <c r="K511" s="192">
        <v>45685</v>
      </c>
      <c r="L511" s="193">
        <f>SUM($H$224:$H$228)</f>
        <v>0</v>
      </c>
      <c r="M511" s="289" t="s">
        <v>111</v>
      </c>
    </row>
    <row r="512" spans="1:13" hidden="1">
      <c r="A512" s="260">
        <v>2024</v>
      </c>
      <c r="B512" s="194" t="s">
        <v>1047</v>
      </c>
      <c r="C512" s="188">
        <v>40</v>
      </c>
      <c r="D512" s="195">
        <v>45686</v>
      </c>
      <c r="E512" s="189"/>
      <c r="F512" s="257" t="s">
        <v>16</v>
      </c>
      <c r="G512" s="272">
        <v>5210.62</v>
      </c>
      <c r="H512" s="190" t="s">
        <v>1052</v>
      </c>
      <c r="I512" s="194" t="s">
        <v>1053</v>
      </c>
      <c r="J512" s="278" t="s">
        <v>66</v>
      </c>
      <c r="K512" s="192"/>
      <c r="L512" s="193"/>
      <c r="M512" s="289"/>
    </row>
    <row r="513" spans="1:13" hidden="1">
      <c r="A513" s="257"/>
      <c r="B513" s="194" t="s">
        <v>2222</v>
      </c>
      <c r="C513" s="188">
        <v>98</v>
      </c>
      <c r="D513" s="195">
        <v>45804</v>
      </c>
      <c r="E513" s="189"/>
      <c r="F513" s="257" t="s">
        <v>16</v>
      </c>
      <c r="G513" s="272">
        <v>74</v>
      </c>
      <c r="H513" s="190" t="s">
        <v>1069</v>
      </c>
      <c r="I513" s="194" t="s">
        <v>457</v>
      </c>
      <c r="J513" s="278" t="s">
        <v>215</v>
      </c>
      <c r="K513" s="192"/>
      <c r="L513" s="193"/>
      <c r="M513" s="289"/>
    </row>
    <row r="514" spans="1:13" hidden="1">
      <c r="A514" s="263" t="s">
        <v>13</v>
      </c>
      <c r="B514" s="194" t="s">
        <v>2223</v>
      </c>
      <c r="C514" s="188" t="s">
        <v>1071</v>
      </c>
      <c r="D514" s="195">
        <v>45815</v>
      </c>
      <c r="E514" s="189">
        <v>45817</v>
      </c>
      <c r="F514" s="257" t="s">
        <v>16</v>
      </c>
      <c r="G514" s="272">
        <v>638.14</v>
      </c>
      <c r="H514" s="190" t="s">
        <v>1072</v>
      </c>
      <c r="I514" s="194" t="s">
        <v>889</v>
      </c>
      <c r="J514" s="278" t="s">
        <v>215</v>
      </c>
      <c r="K514" s="192"/>
      <c r="L514" s="193"/>
      <c r="M514" s="289"/>
    </row>
    <row r="515" spans="1:13" hidden="1">
      <c r="A515" s="263" t="s">
        <v>13</v>
      </c>
      <c r="B515" s="194" t="s">
        <v>2223</v>
      </c>
      <c r="C515" s="188" t="s">
        <v>1073</v>
      </c>
      <c r="D515" s="195">
        <v>45840</v>
      </c>
      <c r="E515" s="189"/>
      <c r="F515" s="257" t="s">
        <v>16</v>
      </c>
      <c r="G515" s="272">
        <v>809.7</v>
      </c>
      <c r="H515" s="190" t="s">
        <v>1074</v>
      </c>
      <c r="I515" s="194" t="s">
        <v>885</v>
      </c>
      <c r="J515" s="278" t="s">
        <v>1001</v>
      </c>
      <c r="K515" s="192"/>
      <c r="L515" s="193"/>
      <c r="M515" s="289"/>
    </row>
    <row r="516" spans="1:13" hidden="1">
      <c r="A516" s="263" t="s">
        <v>13</v>
      </c>
      <c r="B516" s="194" t="s">
        <v>2223</v>
      </c>
      <c r="C516" s="188" t="s">
        <v>1075</v>
      </c>
      <c r="D516" s="195">
        <v>45854</v>
      </c>
      <c r="E516" s="189"/>
      <c r="F516" s="257" t="s">
        <v>16</v>
      </c>
      <c r="G516" s="272">
        <v>1216.9000000000001</v>
      </c>
      <c r="H516" s="190" t="s">
        <v>1076</v>
      </c>
      <c r="I516" s="194" t="s">
        <v>885</v>
      </c>
      <c r="J516" s="278" t="s">
        <v>886</v>
      </c>
      <c r="K516" s="192"/>
      <c r="L516" s="193"/>
      <c r="M516" s="289"/>
    </row>
    <row r="517" spans="1:13" hidden="1">
      <c r="A517" s="263" t="s">
        <v>13</v>
      </c>
      <c r="B517" s="194" t="s">
        <v>2223</v>
      </c>
      <c r="C517" s="188" t="s">
        <v>1077</v>
      </c>
      <c r="D517" s="195">
        <v>45868</v>
      </c>
      <c r="E517" s="189"/>
      <c r="F517" s="257" t="s">
        <v>16</v>
      </c>
      <c r="G517" s="272">
        <v>119.88</v>
      </c>
      <c r="H517" s="190" t="s">
        <v>1078</v>
      </c>
      <c r="I517" s="194" t="s">
        <v>218</v>
      </c>
      <c r="J517" s="278" t="s">
        <v>1001</v>
      </c>
      <c r="K517" s="192">
        <v>45853</v>
      </c>
      <c r="L517" s="193">
        <v>150.01</v>
      </c>
      <c r="M517" s="289"/>
    </row>
    <row r="518" spans="1:13" hidden="1">
      <c r="A518" s="263" t="s">
        <v>13</v>
      </c>
      <c r="B518" s="194" t="s">
        <v>2223</v>
      </c>
      <c r="C518" s="188" t="s">
        <v>1079</v>
      </c>
      <c r="D518" s="195">
        <v>45880</v>
      </c>
      <c r="E518" s="189"/>
      <c r="F518" s="257" t="s">
        <v>16</v>
      </c>
      <c r="G518" s="272">
        <v>157.35</v>
      </c>
      <c r="H518" s="190" t="s">
        <v>1080</v>
      </c>
      <c r="I518" s="194" t="s">
        <v>349</v>
      </c>
      <c r="J518" s="278" t="s">
        <v>1001</v>
      </c>
      <c r="K518" s="192"/>
      <c r="L518" s="193"/>
      <c r="M518" s="289"/>
    </row>
    <row r="519" spans="1:13" hidden="1">
      <c r="A519" s="263" t="s">
        <v>13</v>
      </c>
      <c r="B519" s="194" t="s">
        <v>2223</v>
      </c>
      <c r="C519" s="188" t="s">
        <v>1081</v>
      </c>
      <c r="D519" s="195">
        <v>45966</v>
      </c>
      <c r="E519" s="189">
        <v>45966</v>
      </c>
      <c r="F519" s="257" t="s">
        <v>49</v>
      </c>
      <c r="G519" s="272">
        <v>65.95</v>
      </c>
      <c r="H519" s="190" t="s">
        <v>2224</v>
      </c>
      <c r="I519" s="194" t="s">
        <v>373</v>
      </c>
      <c r="J519" s="278" t="s">
        <v>1001</v>
      </c>
      <c r="K519" s="192"/>
      <c r="L519" s="193"/>
      <c r="M519" s="289"/>
    </row>
    <row r="520" spans="1:13" hidden="1">
      <c r="A520" s="263" t="s">
        <v>13</v>
      </c>
      <c r="B520" s="194" t="s">
        <v>2223</v>
      </c>
      <c r="C520" s="188" t="s">
        <v>1082</v>
      </c>
      <c r="D520" s="195">
        <v>45966</v>
      </c>
      <c r="E520" s="189">
        <v>45966</v>
      </c>
      <c r="F520" s="257" t="s">
        <v>49</v>
      </c>
      <c r="G520" s="272">
        <v>91</v>
      </c>
      <c r="H520" s="190" t="s">
        <v>2224</v>
      </c>
      <c r="I520" s="194" t="s">
        <v>373</v>
      </c>
      <c r="J520" s="278" t="s">
        <v>1001</v>
      </c>
      <c r="K520" s="192"/>
      <c r="L520" s="193"/>
      <c r="M520" s="289"/>
    </row>
    <row r="521" spans="1:13" hidden="1">
      <c r="A521" s="257" t="s">
        <v>13</v>
      </c>
      <c r="B521" s="187" t="s">
        <v>2225</v>
      </c>
      <c r="C521" s="188" t="s">
        <v>1083</v>
      </c>
      <c r="D521" s="189">
        <v>45982</v>
      </c>
      <c r="E521" s="189">
        <v>45982</v>
      </c>
      <c r="F521" s="257" t="s">
        <v>49</v>
      </c>
      <c r="G521" s="272">
        <v>121.53</v>
      </c>
      <c r="H521" s="190" t="s">
        <v>2224</v>
      </c>
      <c r="I521" s="187" t="s">
        <v>373</v>
      </c>
      <c r="J521" s="278" t="s">
        <v>1084</v>
      </c>
      <c r="K521" s="192">
        <v>45982</v>
      </c>
      <c r="L521" s="193">
        <v>121.53</v>
      </c>
      <c r="M521" s="289" t="s">
        <v>1085</v>
      </c>
    </row>
    <row r="522" spans="1:13" hidden="1">
      <c r="A522" s="257" t="s">
        <v>13</v>
      </c>
      <c r="B522" s="187" t="s">
        <v>2225</v>
      </c>
      <c r="C522" s="188" t="s">
        <v>1086</v>
      </c>
      <c r="D522" s="189">
        <v>45985</v>
      </c>
      <c r="E522" s="189">
        <v>45985</v>
      </c>
      <c r="F522" s="257" t="s">
        <v>49</v>
      </c>
      <c r="G522" s="272">
        <v>355.82</v>
      </c>
      <c r="H522" s="190" t="s">
        <v>2224</v>
      </c>
      <c r="I522" s="187" t="s">
        <v>373</v>
      </c>
      <c r="J522" s="278" t="s">
        <v>1084</v>
      </c>
      <c r="K522" s="192">
        <v>45985</v>
      </c>
      <c r="L522" s="193">
        <v>355.82</v>
      </c>
      <c r="M522" s="289" t="s">
        <v>1085</v>
      </c>
    </row>
    <row r="523" spans="1:13" hidden="1">
      <c r="A523" s="257" t="s">
        <v>13</v>
      </c>
      <c r="B523" s="194" t="s">
        <v>2225</v>
      </c>
      <c r="C523" s="188" t="s">
        <v>1087</v>
      </c>
      <c r="D523" s="195">
        <v>45995</v>
      </c>
      <c r="E523" s="189">
        <v>45995</v>
      </c>
      <c r="F523" s="257" t="s">
        <v>49</v>
      </c>
      <c r="G523" s="272">
        <v>39.89</v>
      </c>
      <c r="H523" s="196" t="s">
        <v>2224</v>
      </c>
      <c r="I523" s="194" t="s">
        <v>373</v>
      </c>
      <c r="J523" s="278" t="s">
        <v>47</v>
      </c>
      <c r="K523" s="192"/>
      <c r="L523" s="193">
        <v>39.89</v>
      </c>
      <c r="M523" s="289" t="s">
        <v>1085</v>
      </c>
    </row>
    <row r="524" spans="1:13" hidden="1">
      <c r="A524" s="257" t="s">
        <v>1088</v>
      </c>
      <c r="B524" s="194" t="s">
        <v>2225</v>
      </c>
      <c r="C524" s="188" t="s">
        <v>1089</v>
      </c>
      <c r="D524" s="195">
        <v>46002</v>
      </c>
      <c r="E524" s="189">
        <v>46002</v>
      </c>
      <c r="F524" s="257" t="s">
        <v>49</v>
      </c>
      <c r="G524" s="272">
        <v>51.33</v>
      </c>
      <c r="H524" s="196" t="s">
        <v>2224</v>
      </c>
      <c r="I524" s="194" t="s">
        <v>1088</v>
      </c>
      <c r="J524" s="278"/>
      <c r="K524" s="192"/>
      <c r="L524" s="193"/>
      <c r="M524" s="289"/>
    </row>
    <row r="525" spans="1:13" hidden="1">
      <c r="A525" s="257"/>
      <c r="B525" s="194" t="s">
        <v>2226</v>
      </c>
      <c r="C525" s="188" t="s">
        <v>1091</v>
      </c>
      <c r="D525" s="195">
        <v>45672</v>
      </c>
      <c r="E525" s="189">
        <f>D525+60</f>
        <v>45732</v>
      </c>
      <c r="F525" s="257" t="s">
        <v>16</v>
      </c>
      <c r="G525" s="272">
        <v>150.01</v>
      </c>
      <c r="H525" s="190" t="s">
        <v>1092</v>
      </c>
      <c r="I525" s="194" t="s">
        <v>1093</v>
      </c>
      <c r="J525" s="278" t="s">
        <v>56</v>
      </c>
      <c r="K525" s="192"/>
      <c r="L525" s="193"/>
      <c r="M525" s="289"/>
    </row>
    <row r="526" spans="1:13" hidden="1">
      <c r="A526" s="257" t="s">
        <v>13</v>
      </c>
      <c r="B526" s="187" t="s">
        <v>2227</v>
      </c>
      <c r="C526" s="188" t="s">
        <v>1094</v>
      </c>
      <c r="D526" s="189">
        <v>45974</v>
      </c>
      <c r="E526" s="189"/>
      <c r="F526" s="257" t="s">
        <v>49</v>
      </c>
      <c r="G526" s="272">
        <v>114.68</v>
      </c>
      <c r="H526" s="190" t="s">
        <v>2224</v>
      </c>
      <c r="I526" s="187" t="s">
        <v>46</v>
      </c>
      <c r="J526" s="278" t="s">
        <v>83</v>
      </c>
      <c r="K526" s="192"/>
      <c r="L526" s="193"/>
      <c r="M526" s="289"/>
    </row>
    <row r="527" spans="1:13" hidden="1">
      <c r="A527" s="257"/>
      <c r="B527" s="194" t="s">
        <v>2228</v>
      </c>
      <c r="C527" s="188" t="s">
        <v>1096</v>
      </c>
      <c r="D527" s="195">
        <v>45686</v>
      </c>
      <c r="E527" s="189"/>
      <c r="F527" s="257" t="s">
        <v>16</v>
      </c>
      <c r="G527" s="272">
        <v>26.5</v>
      </c>
      <c r="H527" s="190" t="s">
        <v>1097</v>
      </c>
      <c r="I527" s="194" t="s">
        <v>519</v>
      </c>
      <c r="J527" s="278" t="s">
        <v>751</v>
      </c>
      <c r="K527" s="192"/>
      <c r="L527" s="193"/>
      <c r="M527" s="289"/>
    </row>
    <row r="528" spans="1:13" hidden="1">
      <c r="A528" s="257"/>
      <c r="B528" s="194" t="s">
        <v>2228</v>
      </c>
      <c r="C528" s="188" t="s">
        <v>1098</v>
      </c>
      <c r="D528" s="195">
        <v>45761</v>
      </c>
      <c r="E528" s="189"/>
      <c r="F528" s="257" t="s">
        <v>16</v>
      </c>
      <c r="G528" s="272">
        <v>24.5</v>
      </c>
      <c r="H528" s="190" t="s">
        <v>1099</v>
      </c>
      <c r="I528" s="194" t="s">
        <v>457</v>
      </c>
      <c r="J528" s="278" t="s">
        <v>215</v>
      </c>
      <c r="K528" s="192"/>
      <c r="L528" s="193"/>
      <c r="M528" s="289"/>
    </row>
    <row r="529" spans="1:13" hidden="1">
      <c r="A529" s="257"/>
      <c r="B529" s="194" t="s">
        <v>2228</v>
      </c>
      <c r="C529" s="188" t="s">
        <v>1100</v>
      </c>
      <c r="D529" s="195">
        <v>45825</v>
      </c>
      <c r="E529" s="189"/>
      <c r="F529" s="257" t="s">
        <v>16</v>
      </c>
      <c r="G529" s="272">
        <v>25.5</v>
      </c>
      <c r="H529" s="190" t="s">
        <v>1101</v>
      </c>
      <c r="I529" s="194" t="s">
        <v>457</v>
      </c>
      <c r="J529" s="278" t="s">
        <v>215</v>
      </c>
      <c r="K529" s="192"/>
      <c r="L529" s="193"/>
      <c r="M529" s="289"/>
    </row>
    <row r="530" spans="1:13" hidden="1">
      <c r="A530" s="263" t="s">
        <v>13</v>
      </c>
      <c r="B530" s="194" t="s">
        <v>2229</v>
      </c>
      <c r="C530" s="188">
        <v>161</v>
      </c>
      <c r="D530" s="195">
        <v>45688</v>
      </c>
      <c r="E530" s="189">
        <f>D530+60</f>
        <v>45748</v>
      </c>
      <c r="F530" s="257" t="s">
        <v>16</v>
      </c>
      <c r="G530" s="272">
        <v>7210.99</v>
      </c>
      <c r="H530" s="190" t="s">
        <v>1104</v>
      </c>
      <c r="I530" s="194" t="s">
        <v>1105</v>
      </c>
      <c r="J530" s="278" t="s">
        <v>56</v>
      </c>
      <c r="K530" s="192">
        <v>45730</v>
      </c>
      <c r="L530" s="193">
        <v>5000</v>
      </c>
      <c r="M530" s="289" t="s">
        <v>111</v>
      </c>
    </row>
    <row r="531" spans="1:13" hidden="1">
      <c r="A531" s="263" t="s">
        <v>13</v>
      </c>
      <c r="B531" s="194" t="s">
        <v>2229</v>
      </c>
      <c r="C531" s="188">
        <v>161</v>
      </c>
      <c r="D531" s="195">
        <v>45688</v>
      </c>
      <c r="E531" s="189">
        <f>D531+60</f>
        <v>45748</v>
      </c>
      <c r="F531" s="257" t="s">
        <v>16</v>
      </c>
      <c r="G531" s="272">
        <v>7210.99</v>
      </c>
      <c r="H531" s="190" t="s">
        <v>1104</v>
      </c>
      <c r="I531" s="194" t="s">
        <v>1106</v>
      </c>
      <c r="J531" s="278" t="s">
        <v>56</v>
      </c>
      <c r="K531" s="192">
        <v>45945</v>
      </c>
      <c r="L531" s="193">
        <v>2210</v>
      </c>
      <c r="M531" s="289" t="s">
        <v>1107</v>
      </c>
    </row>
    <row r="532" spans="1:13" hidden="1">
      <c r="A532" s="263" t="s">
        <v>13</v>
      </c>
      <c r="B532" s="194" t="s">
        <v>2229</v>
      </c>
      <c r="C532" s="188">
        <v>390</v>
      </c>
      <c r="D532" s="195">
        <v>45716</v>
      </c>
      <c r="E532" s="189"/>
      <c r="F532" s="257" t="s">
        <v>49</v>
      </c>
      <c r="G532" s="272">
        <v>1837.86</v>
      </c>
      <c r="H532" s="190" t="s">
        <v>1109</v>
      </c>
      <c r="I532" s="194" t="s">
        <v>1110</v>
      </c>
      <c r="J532" s="278" t="s">
        <v>56</v>
      </c>
      <c r="K532" s="192">
        <v>45960</v>
      </c>
      <c r="L532" s="193">
        <v>2024</v>
      </c>
      <c r="M532" s="289" t="s">
        <v>1111</v>
      </c>
    </row>
    <row r="533" spans="1:13" hidden="1">
      <c r="A533" s="263" t="s">
        <v>13</v>
      </c>
      <c r="B533" s="194" t="s">
        <v>2229</v>
      </c>
      <c r="C533" s="188">
        <v>581</v>
      </c>
      <c r="D533" s="195">
        <v>45747</v>
      </c>
      <c r="E533" s="189"/>
      <c r="F533" s="257" t="s">
        <v>49</v>
      </c>
      <c r="G533" s="272">
        <v>3010.07</v>
      </c>
      <c r="H533" s="190" t="s">
        <v>1113</v>
      </c>
      <c r="I533" s="194" t="s">
        <v>436</v>
      </c>
      <c r="J533" s="278" t="s">
        <v>56</v>
      </c>
      <c r="K533" s="192">
        <v>45960</v>
      </c>
      <c r="L533" s="193"/>
      <c r="M533" s="289"/>
    </row>
    <row r="534" spans="1:13" hidden="1">
      <c r="A534" s="263" t="s">
        <v>13</v>
      </c>
      <c r="B534" s="194" t="s">
        <v>2229</v>
      </c>
      <c r="C534" s="188">
        <v>1659</v>
      </c>
      <c r="D534" s="195">
        <v>45924</v>
      </c>
      <c r="E534" s="189">
        <v>45924</v>
      </c>
      <c r="F534" s="257" t="s">
        <v>49</v>
      </c>
      <c r="G534" s="272">
        <v>865.96</v>
      </c>
      <c r="H534" s="190" t="s">
        <v>1115</v>
      </c>
      <c r="I534" s="194" t="s">
        <v>1116</v>
      </c>
      <c r="J534" s="278" t="s">
        <v>56</v>
      </c>
      <c r="K534" s="192"/>
      <c r="L534" s="193">
        <f>+L532-G532</f>
        <v>186.1400000000001</v>
      </c>
      <c r="M534" s="289"/>
    </row>
    <row r="535" spans="1:13" hidden="1">
      <c r="A535" s="263" t="s">
        <v>13</v>
      </c>
      <c r="B535" s="194"/>
      <c r="C535" s="188">
        <v>1659</v>
      </c>
      <c r="D535" s="195">
        <v>45924</v>
      </c>
      <c r="E535" s="189">
        <v>45924</v>
      </c>
      <c r="F535" s="257" t="s">
        <v>16</v>
      </c>
      <c r="G535" s="272">
        <f>+G534-L534</f>
        <v>679.81999999999994</v>
      </c>
      <c r="H535" s="190" t="s">
        <v>2230</v>
      </c>
      <c r="I535" s="194" t="s">
        <v>1116</v>
      </c>
      <c r="J535" s="278" t="s">
        <v>330</v>
      </c>
      <c r="K535" s="192">
        <v>46045</v>
      </c>
      <c r="L535" s="193"/>
      <c r="M535" s="289"/>
    </row>
    <row r="536" spans="1:13" hidden="1">
      <c r="A536" s="263" t="s">
        <v>13</v>
      </c>
      <c r="B536" s="216" t="s">
        <v>2229</v>
      </c>
      <c r="C536" s="188" t="s">
        <v>1117</v>
      </c>
      <c r="D536" s="203">
        <v>45930</v>
      </c>
      <c r="E536" s="189">
        <v>45930</v>
      </c>
      <c r="F536" s="257" t="s">
        <v>49</v>
      </c>
      <c r="G536" s="272">
        <v>-3010.07</v>
      </c>
      <c r="H536" s="222" t="s">
        <v>1118</v>
      </c>
      <c r="I536" s="216" t="s">
        <v>1119</v>
      </c>
      <c r="J536" s="278" t="s">
        <v>66</v>
      </c>
      <c r="K536" s="192"/>
      <c r="L536" s="193"/>
      <c r="M536" s="289"/>
    </row>
    <row r="537" spans="1:13" hidden="1">
      <c r="A537" s="263">
        <v>2024</v>
      </c>
      <c r="B537" s="234" t="s">
        <v>2231</v>
      </c>
      <c r="C537" s="188" t="s">
        <v>1121</v>
      </c>
      <c r="D537" s="235">
        <v>45649</v>
      </c>
      <c r="E537" s="189">
        <v>45716</v>
      </c>
      <c r="F537" s="257" t="s">
        <v>16</v>
      </c>
      <c r="G537" s="272">
        <v>1236.1199999999999</v>
      </c>
      <c r="H537" s="208" t="s">
        <v>1122</v>
      </c>
      <c r="I537" s="234" t="s">
        <v>1123</v>
      </c>
      <c r="J537" s="278" t="s">
        <v>56</v>
      </c>
      <c r="K537" s="192">
        <v>45730</v>
      </c>
      <c r="L537" s="193">
        <f>G537</f>
        <v>1236.1199999999999</v>
      </c>
      <c r="M537" s="289" t="s">
        <v>627</v>
      </c>
    </row>
    <row r="538" spans="1:13" hidden="1">
      <c r="A538" s="263" t="s">
        <v>634</v>
      </c>
      <c r="B538" s="234" t="s">
        <v>2231</v>
      </c>
      <c r="C538" s="188" t="s">
        <v>1124</v>
      </c>
      <c r="D538" s="235">
        <v>45716</v>
      </c>
      <c r="E538" s="189">
        <v>45777</v>
      </c>
      <c r="F538" s="257" t="s">
        <v>16</v>
      </c>
      <c r="G538" s="272">
        <v>563.63</v>
      </c>
      <c r="H538" s="208" t="s">
        <v>1125</v>
      </c>
      <c r="I538" s="234" t="s">
        <v>1126</v>
      </c>
      <c r="J538" s="278" t="s">
        <v>66</v>
      </c>
      <c r="K538" s="192">
        <v>45868</v>
      </c>
      <c r="L538" s="287">
        <v>563.63</v>
      </c>
      <c r="M538" s="289" t="s">
        <v>394</v>
      </c>
    </row>
    <row r="539" spans="1:13" hidden="1">
      <c r="A539" s="263" t="s">
        <v>634</v>
      </c>
      <c r="B539" s="234" t="s">
        <v>2231</v>
      </c>
      <c r="C539" s="188" t="s">
        <v>1127</v>
      </c>
      <c r="D539" s="235">
        <v>45747</v>
      </c>
      <c r="E539" s="189">
        <f>D539+60</f>
        <v>45807</v>
      </c>
      <c r="F539" s="257" t="s">
        <v>16</v>
      </c>
      <c r="G539" s="272">
        <v>2300.9</v>
      </c>
      <c r="H539" s="208" t="s">
        <v>1128</v>
      </c>
      <c r="I539" s="234" t="s">
        <v>1129</v>
      </c>
      <c r="J539" s="278" t="s">
        <v>56</v>
      </c>
      <c r="K539" s="192">
        <v>45868</v>
      </c>
      <c r="L539" s="287">
        <v>2300.9</v>
      </c>
      <c r="M539" s="289" t="s">
        <v>394</v>
      </c>
    </row>
    <row r="540" spans="1:13" hidden="1">
      <c r="A540" s="263" t="s">
        <v>634</v>
      </c>
      <c r="B540" s="234" t="s">
        <v>2231</v>
      </c>
      <c r="C540" s="188" t="s">
        <v>1130</v>
      </c>
      <c r="D540" s="235">
        <v>45859</v>
      </c>
      <c r="E540" s="189">
        <v>45930</v>
      </c>
      <c r="F540" s="257" t="s">
        <v>16</v>
      </c>
      <c r="G540" s="272">
        <v>2409.5500000000002</v>
      </c>
      <c r="H540" s="208" t="s">
        <v>1131</v>
      </c>
      <c r="I540" s="234" t="s">
        <v>1132</v>
      </c>
      <c r="J540" s="278" t="s">
        <v>56</v>
      </c>
      <c r="K540" s="192">
        <v>45950</v>
      </c>
      <c r="L540" s="193">
        <v>2409.5500000000002</v>
      </c>
      <c r="M540" s="289" t="s">
        <v>246</v>
      </c>
    </row>
    <row r="541" spans="1:13" hidden="1">
      <c r="A541" s="263"/>
      <c r="B541" s="234" t="s">
        <v>1120</v>
      </c>
      <c r="C541" s="188" t="s">
        <v>3329</v>
      </c>
      <c r="D541" s="235">
        <v>46014</v>
      </c>
      <c r="E541" s="189">
        <v>46014</v>
      </c>
      <c r="F541" s="257"/>
      <c r="G541" s="272">
        <v>10027.799999999999</v>
      </c>
      <c r="H541" s="208"/>
      <c r="I541" s="234" t="s">
        <v>1132</v>
      </c>
      <c r="J541" s="278" t="s">
        <v>83</v>
      </c>
      <c r="K541" s="192"/>
      <c r="L541" s="193"/>
      <c r="M541" s="289"/>
    </row>
    <row r="542" spans="1:13" hidden="1">
      <c r="A542" s="263" t="s">
        <v>13</v>
      </c>
      <c r="B542" s="234" t="s">
        <v>2232</v>
      </c>
      <c r="C542" s="188" t="s">
        <v>1134</v>
      </c>
      <c r="D542" s="235">
        <v>45965</v>
      </c>
      <c r="E542" s="189">
        <v>45965</v>
      </c>
      <c r="F542" s="257" t="s">
        <v>49</v>
      </c>
      <c r="G542" s="272">
        <v>110</v>
      </c>
      <c r="H542" s="208" t="s">
        <v>2230</v>
      </c>
      <c r="I542" s="234" t="s">
        <v>1135</v>
      </c>
      <c r="J542" s="278" t="s">
        <v>425</v>
      </c>
      <c r="K542" s="192">
        <v>45965</v>
      </c>
      <c r="L542" s="193">
        <v>110</v>
      </c>
      <c r="M542" s="289" t="s">
        <v>425</v>
      </c>
    </row>
    <row r="543" spans="1:13" hidden="1">
      <c r="A543" s="257"/>
      <c r="B543" s="234" t="s">
        <v>2233</v>
      </c>
      <c r="C543" s="188" t="s">
        <v>1137</v>
      </c>
      <c r="D543" s="235">
        <v>45815</v>
      </c>
      <c r="E543" s="189">
        <v>45815</v>
      </c>
      <c r="F543" s="257" t="s">
        <v>16</v>
      </c>
      <c r="G543" s="272">
        <v>48.5</v>
      </c>
      <c r="H543" s="208" t="s">
        <v>1138</v>
      </c>
      <c r="I543" s="234" t="s">
        <v>42</v>
      </c>
      <c r="J543" s="278" t="s">
        <v>56</v>
      </c>
      <c r="K543" s="192">
        <v>45733</v>
      </c>
      <c r="L543" s="193"/>
      <c r="M543" s="289"/>
    </row>
    <row r="544" spans="1:13" hidden="1">
      <c r="A544" s="257" t="s">
        <v>13</v>
      </c>
      <c r="B544" s="187" t="s">
        <v>2234</v>
      </c>
      <c r="C544" s="188" t="s">
        <v>1139</v>
      </c>
      <c r="D544" s="189">
        <v>45988</v>
      </c>
      <c r="E544" s="189">
        <v>45988</v>
      </c>
      <c r="F544" s="257" t="s">
        <v>16</v>
      </c>
      <c r="G544" s="272">
        <v>59</v>
      </c>
      <c r="H544" s="190" t="s">
        <v>2230</v>
      </c>
      <c r="I544" s="187" t="s">
        <v>1140</v>
      </c>
      <c r="J544" s="278" t="s">
        <v>1141</v>
      </c>
      <c r="K544" s="192">
        <v>45988</v>
      </c>
      <c r="L544" s="193">
        <v>59</v>
      </c>
      <c r="M544" s="289" t="s">
        <v>1085</v>
      </c>
    </row>
    <row r="545" spans="1:14" hidden="1">
      <c r="A545" s="260" t="s">
        <v>13</v>
      </c>
      <c r="B545" s="234" t="s">
        <v>2235</v>
      </c>
      <c r="C545" s="188" t="s">
        <v>1143</v>
      </c>
      <c r="D545" s="235">
        <v>45952</v>
      </c>
      <c r="E545" s="189">
        <v>45952</v>
      </c>
      <c r="F545" s="257" t="s">
        <v>16</v>
      </c>
      <c r="G545" s="272">
        <v>2500</v>
      </c>
      <c r="H545" s="208" t="s">
        <v>2230</v>
      </c>
      <c r="I545" s="234" t="s">
        <v>1144</v>
      </c>
      <c r="J545" s="278" t="s">
        <v>354</v>
      </c>
      <c r="K545" s="192">
        <v>45951</v>
      </c>
      <c r="L545" s="193">
        <v>2500</v>
      </c>
      <c r="M545" s="289" t="s">
        <v>394</v>
      </c>
    </row>
    <row r="546" spans="1:14" hidden="1">
      <c r="A546" s="196" t="s">
        <v>90</v>
      </c>
      <c r="B546" s="196" t="s">
        <v>4162</v>
      </c>
      <c r="C546" s="196" t="s">
        <v>4163</v>
      </c>
      <c r="D546" s="192">
        <v>46006</v>
      </c>
      <c r="E546" s="192">
        <v>46010</v>
      </c>
      <c r="F546" s="196"/>
      <c r="G546" s="201">
        <v>6145.6</v>
      </c>
      <c r="H546" s="196" t="s">
        <v>4164</v>
      </c>
      <c r="I546" s="196" t="s">
        <v>83</v>
      </c>
      <c r="J546" s="192"/>
      <c r="K546" s="201">
        <v>6145.6</v>
      </c>
      <c r="L546" s="196"/>
      <c r="M546" s="289"/>
    </row>
    <row r="547" spans="1:14" hidden="1">
      <c r="A547" s="263" t="s">
        <v>634</v>
      </c>
      <c r="B547" s="234" t="s">
        <v>2236</v>
      </c>
      <c r="C547" s="188" t="s">
        <v>1146</v>
      </c>
      <c r="D547" s="235">
        <v>45930</v>
      </c>
      <c r="E547" s="189">
        <v>45991</v>
      </c>
      <c r="F547" s="257" t="s">
        <v>16</v>
      </c>
      <c r="G547" s="272">
        <v>187.31</v>
      </c>
      <c r="H547" s="208" t="s">
        <v>1147</v>
      </c>
      <c r="I547" s="234" t="s">
        <v>1148</v>
      </c>
      <c r="J547" s="278" t="s">
        <v>110</v>
      </c>
      <c r="K547" s="192"/>
      <c r="L547" s="193"/>
      <c r="M547" s="289"/>
    </row>
    <row r="548" spans="1:14" hidden="1">
      <c r="A548" s="263" t="s">
        <v>13</v>
      </c>
      <c r="B548" s="187" t="s">
        <v>2237</v>
      </c>
      <c r="C548" s="188">
        <v>1</v>
      </c>
      <c r="D548" s="189">
        <v>45670</v>
      </c>
      <c r="E548" s="189">
        <v>45747</v>
      </c>
      <c r="F548" s="257" t="s">
        <v>16</v>
      </c>
      <c r="G548" s="272">
        <v>3770.8</v>
      </c>
      <c r="H548" s="236" t="s">
        <v>1150</v>
      </c>
      <c r="I548" s="187" t="s">
        <v>312</v>
      </c>
      <c r="J548" s="278" t="s">
        <v>56</v>
      </c>
      <c r="K548" s="192">
        <v>45815</v>
      </c>
      <c r="L548" s="193" t="s">
        <v>111</v>
      </c>
      <c r="M548" s="289"/>
    </row>
    <row r="549" spans="1:14" hidden="1">
      <c r="A549" s="263" t="s">
        <v>13</v>
      </c>
      <c r="B549" s="194" t="s">
        <v>2237</v>
      </c>
      <c r="C549" s="188">
        <v>5</v>
      </c>
      <c r="D549" s="195">
        <v>45705</v>
      </c>
      <c r="E549" s="189">
        <f>D549+60</f>
        <v>45765</v>
      </c>
      <c r="F549" s="257" t="s">
        <v>16</v>
      </c>
      <c r="G549" s="272">
        <v>1734</v>
      </c>
      <c r="H549" s="190" t="s">
        <v>1151</v>
      </c>
      <c r="I549" s="194" t="s">
        <v>312</v>
      </c>
      <c r="J549" s="278" t="s">
        <v>56</v>
      </c>
      <c r="K549" s="192"/>
      <c r="L549" s="193"/>
      <c r="M549" s="289"/>
    </row>
    <row r="550" spans="1:14" hidden="1">
      <c r="A550" s="263" t="s">
        <v>13</v>
      </c>
      <c r="B550" s="194" t="s">
        <v>2238</v>
      </c>
      <c r="C550" s="188">
        <v>59</v>
      </c>
      <c r="D550" s="195">
        <v>45841</v>
      </c>
      <c r="E550" s="189"/>
      <c r="F550" s="257" t="s">
        <v>16</v>
      </c>
      <c r="G550" s="272">
        <v>204.48</v>
      </c>
      <c r="H550" s="190" t="s">
        <v>1154</v>
      </c>
      <c r="I550" s="194" t="s">
        <v>1155</v>
      </c>
      <c r="J550" s="278" t="s">
        <v>1001</v>
      </c>
      <c r="K550" s="192"/>
      <c r="L550" s="193"/>
      <c r="M550" s="289"/>
    </row>
    <row r="551" spans="1:14" hidden="1">
      <c r="A551" s="263" t="s">
        <v>13</v>
      </c>
      <c r="B551" s="194" t="s">
        <v>2239</v>
      </c>
      <c r="C551" s="188">
        <v>100363</v>
      </c>
      <c r="D551" s="195">
        <v>45847</v>
      </c>
      <c r="E551" s="189">
        <v>45847</v>
      </c>
      <c r="F551" s="257" t="s">
        <v>16</v>
      </c>
      <c r="G551" s="272">
        <v>39.99</v>
      </c>
      <c r="H551" s="190" t="s">
        <v>1158</v>
      </c>
      <c r="I551" s="194" t="s">
        <v>1001</v>
      </c>
      <c r="J551" s="278" t="s">
        <v>350</v>
      </c>
      <c r="K551" s="192"/>
      <c r="L551" s="193"/>
      <c r="M551" s="289"/>
    </row>
    <row r="552" spans="1:14" hidden="1">
      <c r="A552" s="263" t="s">
        <v>13</v>
      </c>
      <c r="B552" s="194" t="s">
        <v>2239</v>
      </c>
      <c r="C552" s="188">
        <v>99899</v>
      </c>
      <c r="D552" s="195">
        <v>45847</v>
      </c>
      <c r="E552" s="189">
        <v>45847</v>
      </c>
      <c r="F552" s="257" t="s">
        <v>16</v>
      </c>
      <c r="G552" s="272">
        <v>304.98</v>
      </c>
      <c r="H552" s="190" t="s">
        <v>1160</v>
      </c>
      <c r="I552" s="194" t="s">
        <v>1001</v>
      </c>
      <c r="J552" s="278" t="s">
        <v>215</v>
      </c>
      <c r="K552" s="192"/>
      <c r="L552" s="193"/>
      <c r="M552" s="289"/>
    </row>
    <row r="553" spans="1:14" hidden="1">
      <c r="A553" s="263" t="s">
        <v>13</v>
      </c>
      <c r="B553" s="194" t="s">
        <v>2240</v>
      </c>
      <c r="C553" s="188">
        <v>125000782</v>
      </c>
      <c r="D553" s="195">
        <v>45761</v>
      </c>
      <c r="E553" s="189"/>
      <c r="F553" s="257" t="s">
        <v>16</v>
      </c>
      <c r="G553" s="272">
        <v>52</v>
      </c>
      <c r="H553" s="190" t="s">
        <v>1163</v>
      </c>
      <c r="I553" s="194" t="s">
        <v>42</v>
      </c>
      <c r="J553" s="278" t="s">
        <v>794</v>
      </c>
      <c r="K553" s="192"/>
      <c r="L553" s="193"/>
      <c r="M553" s="289"/>
    </row>
    <row r="554" spans="1:14" hidden="1">
      <c r="A554" s="263" t="s">
        <v>13</v>
      </c>
      <c r="B554" s="194" t="s">
        <v>2240</v>
      </c>
      <c r="C554" s="188">
        <v>125000914</v>
      </c>
      <c r="D554" s="195">
        <v>45789</v>
      </c>
      <c r="E554" s="189"/>
      <c r="F554" s="257" t="s">
        <v>16</v>
      </c>
      <c r="G554" s="272">
        <v>26</v>
      </c>
      <c r="H554" s="190" t="s">
        <v>1165</v>
      </c>
      <c r="I554" s="194" t="s">
        <v>457</v>
      </c>
      <c r="J554" s="278" t="s">
        <v>794</v>
      </c>
      <c r="K554" s="192"/>
      <c r="L554" s="193"/>
      <c r="M554" s="289"/>
    </row>
    <row r="555" spans="1:14" hidden="1">
      <c r="A555" s="263" t="s">
        <v>13</v>
      </c>
      <c r="B555" s="194" t="s">
        <v>2241</v>
      </c>
      <c r="C555" s="188" t="s">
        <v>1167</v>
      </c>
      <c r="D555" s="195">
        <v>45673</v>
      </c>
      <c r="E555" s="189">
        <v>45688</v>
      </c>
      <c r="F555" s="257" t="s">
        <v>16</v>
      </c>
      <c r="G555" s="272">
        <v>1176.4100000000001</v>
      </c>
      <c r="H555" s="190" t="s">
        <v>1168</v>
      </c>
      <c r="I555" s="194" t="s">
        <v>1093</v>
      </c>
      <c r="J555" s="278" t="s">
        <v>150</v>
      </c>
      <c r="K555" s="192"/>
      <c r="L555" s="193"/>
      <c r="M555" s="289"/>
    </row>
    <row r="556" spans="1:14" hidden="1">
      <c r="A556" s="263" t="s">
        <v>13</v>
      </c>
      <c r="B556" s="194" t="s">
        <v>2241</v>
      </c>
      <c r="C556" s="188" t="s">
        <v>1169</v>
      </c>
      <c r="D556" s="195">
        <v>45705</v>
      </c>
      <c r="E556" s="189">
        <f>D557+20</f>
        <v>45750</v>
      </c>
      <c r="F556" s="257" t="s">
        <v>16</v>
      </c>
      <c r="G556" s="272">
        <v>1270</v>
      </c>
      <c r="H556" s="190" t="s">
        <v>1170</v>
      </c>
      <c r="I556" s="194" t="s">
        <v>1093</v>
      </c>
      <c r="J556" s="278" t="s">
        <v>150</v>
      </c>
      <c r="K556" s="192">
        <v>45758</v>
      </c>
      <c r="L556" s="193">
        <f>G556</f>
        <v>1270</v>
      </c>
      <c r="M556" s="289"/>
    </row>
    <row r="557" spans="1:14" hidden="1">
      <c r="A557" s="257"/>
      <c r="B557" s="194" t="s">
        <v>2241</v>
      </c>
      <c r="C557" s="188" t="s">
        <v>2242</v>
      </c>
      <c r="D557" s="195">
        <v>45730</v>
      </c>
      <c r="E557" s="189">
        <v>45747</v>
      </c>
      <c r="F557" s="257"/>
      <c r="G557" s="272">
        <v>1163.22</v>
      </c>
      <c r="H557" s="190" t="s">
        <v>1172</v>
      </c>
      <c r="I557" s="194" t="s">
        <v>279</v>
      </c>
      <c r="J557" s="278" t="s">
        <v>150</v>
      </c>
      <c r="K557" s="192"/>
      <c r="L557" s="193"/>
      <c r="M557" s="289" t="s">
        <v>1173</v>
      </c>
    </row>
    <row r="558" spans="1:14" hidden="1">
      <c r="A558" s="263" t="s">
        <v>13</v>
      </c>
      <c r="B558" s="194" t="s">
        <v>2241</v>
      </c>
      <c r="C558" s="188" t="s">
        <v>2243</v>
      </c>
      <c r="D558" s="195">
        <v>45762</v>
      </c>
      <c r="E558" s="189">
        <v>45777</v>
      </c>
      <c r="F558" s="257" t="s">
        <v>16</v>
      </c>
      <c r="G558" s="272">
        <v>705.49</v>
      </c>
      <c r="H558" s="190" t="s">
        <v>1175</v>
      </c>
      <c r="I558" s="194" t="s">
        <v>279</v>
      </c>
      <c r="J558" s="278" t="s">
        <v>150</v>
      </c>
      <c r="K558" s="192">
        <v>45777</v>
      </c>
      <c r="L558" s="193"/>
      <c r="M558" s="289"/>
    </row>
    <row r="559" spans="1:14" hidden="1">
      <c r="A559" s="263" t="s">
        <v>13</v>
      </c>
      <c r="B559" s="194" t="s">
        <v>2244</v>
      </c>
      <c r="C559" s="188" t="s">
        <v>1177</v>
      </c>
      <c r="D559" s="195">
        <v>45724</v>
      </c>
      <c r="E559" s="189"/>
      <c r="F559" s="257" t="s">
        <v>16</v>
      </c>
      <c r="G559" s="272">
        <v>182.27</v>
      </c>
      <c r="H559" s="190" t="s">
        <v>1178</v>
      </c>
      <c r="I559" s="194" t="s">
        <v>349</v>
      </c>
      <c r="J559" s="278" t="s">
        <v>751</v>
      </c>
      <c r="K559" s="192"/>
      <c r="L559" s="193"/>
      <c r="M559" s="289"/>
    </row>
    <row r="560" spans="1:14" hidden="1">
      <c r="A560" s="263" t="s">
        <v>13</v>
      </c>
      <c r="B560" s="194" t="s">
        <v>2244</v>
      </c>
      <c r="C560" s="188" t="s">
        <v>1179</v>
      </c>
      <c r="D560" s="195">
        <v>45822</v>
      </c>
      <c r="E560" s="189"/>
      <c r="F560" s="257" t="s">
        <v>16</v>
      </c>
      <c r="G560" s="272">
        <v>233.5</v>
      </c>
      <c r="H560" s="190" t="s">
        <v>1180</v>
      </c>
      <c r="I560" s="194" t="s">
        <v>349</v>
      </c>
      <c r="J560" s="278"/>
      <c r="K560" s="192"/>
      <c r="L560" s="193"/>
      <c r="M560" s="289"/>
      <c r="N560" s="179"/>
    </row>
    <row r="561" spans="1:14" hidden="1">
      <c r="A561" s="263" t="s">
        <v>13</v>
      </c>
      <c r="B561" s="194" t="s">
        <v>2244</v>
      </c>
      <c r="C561" s="188" t="s">
        <v>1181</v>
      </c>
      <c r="D561" s="195">
        <v>45860</v>
      </c>
      <c r="E561" s="189"/>
      <c r="F561" s="257" t="s">
        <v>16</v>
      </c>
      <c r="G561" s="272">
        <v>16.64</v>
      </c>
      <c r="H561" s="190" t="s">
        <v>1182</v>
      </c>
      <c r="I561" s="194" t="s">
        <v>349</v>
      </c>
      <c r="J561" s="278" t="s">
        <v>794</v>
      </c>
      <c r="K561" s="192"/>
      <c r="L561" s="193"/>
      <c r="M561" s="289"/>
      <c r="N561" s="237"/>
    </row>
    <row r="562" spans="1:14" hidden="1">
      <c r="A562" s="257" t="s">
        <v>316</v>
      </c>
      <c r="B562" s="187" t="s">
        <v>2245</v>
      </c>
      <c r="C562" s="188" t="s">
        <v>1184</v>
      </c>
      <c r="D562" s="189">
        <v>45987</v>
      </c>
      <c r="E562" s="189">
        <v>46017</v>
      </c>
      <c r="F562" s="257" t="s">
        <v>16</v>
      </c>
      <c r="G562" s="272">
        <v>870</v>
      </c>
      <c r="H562" s="190"/>
      <c r="I562" s="187" t="s">
        <v>1185</v>
      </c>
      <c r="J562" s="278" t="s">
        <v>176</v>
      </c>
      <c r="K562" s="192">
        <v>45987</v>
      </c>
      <c r="L562" s="193">
        <v>870</v>
      </c>
      <c r="M562" s="289" t="s">
        <v>71</v>
      </c>
    </row>
    <row r="563" spans="1:14" hidden="1">
      <c r="A563" s="257"/>
      <c r="B563" s="238" t="s">
        <v>2246</v>
      </c>
      <c r="C563" s="188" t="s">
        <v>1187</v>
      </c>
      <c r="D563" s="239">
        <v>45257</v>
      </c>
      <c r="E563" s="189"/>
      <c r="F563" s="257" t="s">
        <v>16</v>
      </c>
      <c r="G563" s="272">
        <v>73.5</v>
      </c>
      <c r="H563" s="240" t="s">
        <v>2247</v>
      </c>
      <c r="I563" s="238" t="s">
        <v>1188</v>
      </c>
      <c r="J563" s="278" t="s">
        <v>185</v>
      </c>
      <c r="K563" s="192"/>
      <c r="L563" s="193"/>
      <c r="M563" s="289"/>
    </row>
    <row r="564" spans="1:14" hidden="1">
      <c r="A564" s="257"/>
      <c r="B564" s="238" t="s">
        <v>2246</v>
      </c>
      <c r="C564" s="188" t="s">
        <v>1189</v>
      </c>
      <c r="D564" s="239">
        <v>45282</v>
      </c>
      <c r="E564" s="189"/>
      <c r="F564" s="257" t="s">
        <v>16</v>
      </c>
      <c r="G564" s="272">
        <v>110</v>
      </c>
      <c r="H564" s="240" t="s">
        <v>2248</v>
      </c>
      <c r="I564" s="238" t="s">
        <v>1190</v>
      </c>
      <c r="J564" s="278" t="s">
        <v>185</v>
      </c>
      <c r="K564" s="192"/>
      <c r="L564" s="193"/>
      <c r="M564" s="289"/>
    </row>
    <row r="565" spans="1:14" hidden="1">
      <c r="A565" s="257"/>
      <c r="B565" s="238" t="s">
        <v>2246</v>
      </c>
      <c r="C565" s="188" t="s">
        <v>1191</v>
      </c>
      <c r="D565" s="239">
        <v>45412</v>
      </c>
      <c r="E565" s="189"/>
      <c r="F565" s="257" t="s">
        <v>16</v>
      </c>
      <c r="G565" s="272">
        <v>73.599999999999994</v>
      </c>
      <c r="H565" s="240" t="s">
        <v>2249</v>
      </c>
      <c r="I565" s="238" t="s">
        <v>1192</v>
      </c>
      <c r="J565" s="278" t="s">
        <v>185</v>
      </c>
      <c r="K565" s="192"/>
      <c r="L565" s="193"/>
      <c r="M565" s="289"/>
    </row>
    <row r="566" spans="1:14" hidden="1">
      <c r="A566" s="257"/>
      <c r="B566" s="238" t="s">
        <v>2246</v>
      </c>
      <c r="C566" s="188" t="s">
        <v>1193</v>
      </c>
      <c r="D566" s="239">
        <v>45643</v>
      </c>
      <c r="E566" s="189"/>
      <c r="F566" s="257" t="s">
        <v>16</v>
      </c>
      <c r="G566" s="272">
        <v>142.4</v>
      </c>
      <c r="H566" s="240" t="s">
        <v>2249</v>
      </c>
      <c r="I566" s="238" t="s">
        <v>1194</v>
      </c>
      <c r="J566" s="278" t="s">
        <v>185</v>
      </c>
      <c r="K566" s="192"/>
      <c r="L566" s="193"/>
      <c r="M566" s="289"/>
    </row>
    <row r="567" spans="1:14" hidden="1">
      <c r="A567" s="263" t="s">
        <v>13</v>
      </c>
      <c r="B567" s="238" t="s">
        <v>2246</v>
      </c>
      <c r="C567" s="188" t="s">
        <v>1195</v>
      </c>
      <c r="D567" s="239">
        <v>45792</v>
      </c>
      <c r="E567" s="189"/>
      <c r="F567" s="257" t="s">
        <v>16</v>
      </c>
      <c r="G567" s="272">
        <v>165.5</v>
      </c>
      <c r="H567" s="240" t="s">
        <v>1196</v>
      </c>
      <c r="I567" s="238" t="s">
        <v>1197</v>
      </c>
      <c r="J567" s="278" t="s">
        <v>56</v>
      </c>
      <c r="K567" s="192"/>
      <c r="L567" s="193"/>
      <c r="M567" s="289"/>
    </row>
    <row r="568" spans="1:14" hidden="1">
      <c r="A568" s="257"/>
      <c r="B568" s="238" t="s">
        <v>2246</v>
      </c>
      <c r="C568" s="188" t="s">
        <v>1195</v>
      </c>
      <c r="D568" s="239">
        <v>45792</v>
      </c>
      <c r="E568" s="189">
        <v>45824</v>
      </c>
      <c r="F568" s="257" t="s">
        <v>16</v>
      </c>
      <c r="G568" s="272">
        <v>40.799999999999997</v>
      </c>
      <c r="H568" s="240" t="s">
        <v>1196</v>
      </c>
      <c r="I568" s="238" t="s">
        <v>1197</v>
      </c>
      <c r="J568" s="278" t="s">
        <v>1198</v>
      </c>
      <c r="K568" s="192"/>
      <c r="L568" s="193"/>
      <c r="M568" s="289"/>
    </row>
    <row r="569" spans="1:14" hidden="1">
      <c r="A569" s="257"/>
      <c r="B569" s="238" t="s">
        <v>2246</v>
      </c>
      <c r="C569" s="188" t="s">
        <v>1199</v>
      </c>
      <c r="D569" s="195">
        <v>46002</v>
      </c>
      <c r="E569" s="189">
        <v>46053</v>
      </c>
      <c r="F569" s="257" t="s">
        <v>16</v>
      </c>
      <c r="G569" s="272">
        <v>448.4</v>
      </c>
      <c r="H569" s="196"/>
      <c r="I569" s="194" t="s">
        <v>1200</v>
      </c>
      <c r="J569" s="278" t="s">
        <v>83</v>
      </c>
      <c r="K569" s="192"/>
      <c r="L569" s="193"/>
      <c r="M569" s="289"/>
    </row>
    <row r="570" spans="1:14" hidden="1">
      <c r="A570" s="257"/>
      <c r="B570" s="194" t="s">
        <v>1186</v>
      </c>
      <c r="C570" s="188" t="s">
        <v>3331</v>
      </c>
      <c r="D570" s="195">
        <v>46020</v>
      </c>
      <c r="E570" s="189">
        <v>46053</v>
      </c>
      <c r="F570" s="257"/>
      <c r="G570" s="272">
        <v>101.2</v>
      </c>
      <c r="H570" s="196"/>
      <c r="I570" s="194" t="s">
        <v>3382</v>
      </c>
      <c r="J570" s="278" t="s">
        <v>83</v>
      </c>
      <c r="K570" s="192"/>
      <c r="L570" s="193"/>
      <c r="M570" s="289"/>
    </row>
    <row r="571" spans="1:14" hidden="1">
      <c r="A571" s="263" t="s">
        <v>13</v>
      </c>
      <c r="B571" s="238" t="s">
        <v>2251</v>
      </c>
      <c r="C571" s="188" t="s">
        <v>1202</v>
      </c>
      <c r="D571" s="239">
        <v>45725</v>
      </c>
      <c r="E571" s="189"/>
      <c r="F571" s="257" t="s">
        <v>16</v>
      </c>
      <c r="G571" s="272">
        <v>203.7</v>
      </c>
      <c r="H571" s="240" t="s">
        <v>1203</v>
      </c>
      <c r="I571" s="238" t="s">
        <v>42</v>
      </c>
      <c r="J571" s="278" t="s">
        <v>751</v>
      </c>
      <c r="K571" s="192"/>
      <c r="L571" s="193"/>
      <c r="M571" s="289"/>
    </row>
    <row r="572" spans="1:14" hidden="1">
      <c r="A572" s="257"/>
      <c r="B572" s="194" t="s">
        <v>1204</v>
      </c>
      <c r="C572" s="188" t="s">
        <v>4324</v>
      </c>
      <c r="D572" s="195">
        <v>46081</v>
      </c>
      <c r="E572" s="189">
        <v>46112</v>
      </c>
      <c r="F572" s="257"/>
      <c r="G572" s="272">
        <v>153.54</v>
      </c>
      <c r="H572" s="208"/>
      <c r="I572" s="194" t="s">
        <v>4325</v>
      </c>
      <c r="J572" s="278" t="s">
        <v>125</v>
      </c>
      <c r="K572" s="193">
        <v>27.69</v>
      </c>
      <c r="L572" s="192">
        <v>46112</v>
      </c>
      <c r="M572" s="289"/>
    </row>
    <row r="573" spans="1:14" hidden="1">
      <c r="A573" s="263" t="s">
        <v>13</v>
      </c>
      <c r="B573" s="194" t="s">
        <v>2252</v>
      </c>
      <c r="C573" s="188" t="s">
        <v>1205</v>
      </c>
      <c r="D573" s="195">
        <v>45687</v>
      </c>
      <c r="E573" s="189">
        <v>45716</v>
      </c>
      <c r="F573" s="257" t="s">
        <v>16</v>
      </c>
      <c r="G573" s="272">
        <v>419.99</v>
      </c>
      <c r="H573" s="190" t="s">
        <v>1206</v>
      </c>
      <c r="I573" s="194" t="s">
        <v>1207</v>
      </c>
      <c r="J573" s="278" t="s">
        <v>110</v>
      </c>
      <c r="K573" s="192"/>
      <c r="L573" s="193"/>
      <c r="M573" s="289"/>
    </row>
    <row r="574" spans="1:14" hidden="1">
      <c r="A574" s="263" t="s">
        <v>13</v>
      </c>
      <c r="B574" s="238" t="s">
        <v>2252</v>
      </c>
      <c r="C574" s="188" t="s">
        <v>1208</v>
      </c>
      <c r="D574" s="195">
        <v>45716</v>
      </c>
      <c r="E574" s="189">
        <v>45747</v>
      </c>
      <c r="F574" s="257" t="s">
        <v>16</v>
      </c>
      <c r="G574" s="272">
        <v>98.26</v>
      </c>
      <c r="H574" s="190" t="s">
        <v>1209</v>
      </c>
      <c r="I574" s="194" t="s">
        <v>1207</v>
      </c>
      <c r="J574" s="278" t="s">
        <v>110</v>
      </c>
      <c r="K574" s="192"/>
      <c r="L574" s="193"/>
      <c r="M574" s="289"/>
    </row>
    <row r="575" spans="1:14" hidden="1">
      <c r="A575" s="263" t="s">
        <v>13</v>
      </c>
      <c r="B575" s="238" t="s">
        <v>2252</v>
      </c>
      <c r="C575" s="188" t="s">
        <v>1210</v>
      </c>
      <c r="D575" s="195">
        <v>45838</v>
      </c>
      <c r="E575" s="189">
        <v>45869</v>
      </c>
      <c r="F575" s="257" t="s">
        <v>16</v>
      </c>
      <c r="G575" s="272">
        <v>139.68</v>
      </c>
      <c r="H575" s="190" t="s">
        <v>1211</v>
      </c>
      <c r="I575" s="194" t="s">
        <v>1207</v>
      </c>
      <c r="J575" s="278" t="s">
        <v>110</v>
      </c>
      <c r="K575" s="192"/>
      <c r="L575" s="193"/>
      <c r="M575" s="289"/>
    </row>
    <row r="576" spans="1:14" hidden="1">
      <c r="A576" s="257" t="s">
        <v>1212</v>
      </c>
      <c r="B576" s="194" t="s">
        <v>2253</v>
      </c>
      <c r="C576" s="188" t="s">
        <v>1213</v>
      </c>
      <c r="D576" s="195">
        <v>45991</v>
      </c>
      <c r="E576" s="189">
        <v>46022</v>
      </c>
      <c r="F576" s="257" t="s">
        <v>16</v>
      </c>
      <c r="G576" s="272">
        <v>227.51</v>
      </c>
      <c r="H576" s="196"/>
      <c r="I576" s="194" t="s">
        <v>1207</v>
      </c>
      <c r="J576" s="278" t="s">
        <v>110</v>
      </c>
      <c r="K576" s="192"/>
      <c r="L576" s="193">
        <v>227.51</v>
      </c>
      <c r="M576" s="289"/>
    </row>
    <row r="577" spans="1:14" hidden="1">
      <c r="A577" s="263" t="s">
        <v>13</v>
      </c>
      <c r="B577" s="238" t="s">
        <v>2254</v>
      </c>
      <c r="C577" s="188">
        <v>531</v>
      </c>
      <c r="D577" s="195">
        <v>45736</v>
      </c>
      <c r="E577" s="189"/>
      <c r="F577" s="257" t="s">
        <v>16</v>
      </c>
      <c r="G577" s="272">
        <v>222.4</v>
      </c>
      <c r="H577" s="190" t="s">
        <v>1216</v>
      </c>
      <c r="I577" s="194" t="s">
        <v>42</v>
      </c>
      <c r="J577" s="278" t="s">
        <v>794</v>
      </c>
      <c r="K577" s="192"/>
      <c r="L577" s="193"/>
      <c r="M577" s="289"/>
    </row>
    <row r="578" spans="1:14" hidden="1">
      <c r="A578" s="263" t="s">
        <v>13</v>
      </c>
      <c r="B578" s="238" t="s">
        <v>2255</v>
      </c>
      <c r="C578" s="188">
        <v>2201</v>
      </c>
      <c r="D578" s="195">
        <v>45933</v>
      </c>
      <c r="E578" s="189"/>
      <c r="F578" s="257" t="s">
        <v>16</v>
      </c>
      <c r="G578" s="272">
        <v>149.6</v>
      </c>
      <c r="H578" s="190" t="s">
        <v>1218</v>
      </c>
      <c r="I578" s="194" t="s">
        <v>42</v>
      </c>
      <c r="J578" s="278" t="s">
        <v>215</v>
      </c>
      <c r="K578" s="192"/>
      <c r="L578" s="193"/>
      <c r="M578" s="289"/>
    </row>
    <row r="579" spans="1:14" hidden="1">
      <c r="A579" s="263" t="s">
        <v>13</v>
      </c>
      <c r="B579" s="238" t="s">
        <v>2256</v>
      </c>
      <c r="C579" s="188">
        <v>30722800085</v>
      </c>
      <c r="D579" s="195">
        <v>45730</v>
      </c>
      <c r="E579" s="189"/>
      <c r="F579" s="257" t="s">
        <v>16</v>
      </c>
      <c r="G579" s="272">
        <v>89</v>
      </c>
      <c r="H579" s="190" t="s">
        <v>1221</v>
      </c>
      <c r="I579" s="194" t="s">
        <v>1222</v>
      </c>
      <c r="J579" s="278" t="s">
        <v>794</v>
      </c>
      <c r="K579" s="192"/>
      <c r="L579" s="193"/>
      <c r="M579" s="289"/>
    </row>
    <row r="580" spans="1:14" hidden="1">
      <c r="A580" s="263" t="s">
        <v>13</v>
      </c>
      <c r="B580" s="238" t="s">
        <v>2256</v>
      </c>
      <c r="C580" s="188">
        <v>30722800360</v>
      </c>
      <c r="D580" s="195">
        <v>45938</v>
      </c>
      <c r="E580" s="189"/>
      <c r="F580" s="257" t="s">
        <v>16</v>
      </c>
      <c r="G580" s="272">
        <v>239</v>
      </c>
      <c r="H580" s="190" t="s">
        <v>1224</v>
      </c>
      <c r="I580" s="194" t="s">
        <v>1225</v>
      </c>
      <c r="J580" s="278" t="s">
        <v>794</v>
      </c>
      <c r="K580" s="192"/>
      <c r="L580" s="193"/>
      <c r="M580" s="289"/>
    </row>
    <row r="581" spans="1:14" hidden="1">
      <c r="A581" s="263" t="s">
        <v>13</v>
      </c>
      <c r="B581" s="194" t="s">
        <v>2257</v>
      </c>
      <c r="C581" s="188" t="s">
        <v>1227</v>
      </c>
      <c r="D581" s="195">
        <v>45612</v>
      </c>
      <c r="E581" s="189">
        <v>45673</v>
      </c>
      <c r="F581" s="257" t="s">
        <v>16</v>
      </c>
      <c r="G581" s="272">
        <v>4980</v>
      </c>
      <c r="H581" s="200" t="s">
        <v>1228</v>
      </c>
      <c r="I581" s="194" t="s">
        <v>1229</v>
      </c>
      <c r="J581" s="278" t="s">
        <v>66</v>
      </c>
      <c r="K581" s="192">
        <v>45729</v>
      </c>
      <c r="L581" s="193" t="e">
        <f>$H$478+$H$479</f>
        <v>#VALUE!</v>
      </c>
      <c r="M581" s="289" t="s">
        <v>111</v>
      </c>
    </row>
    <row r="582" spans="1:14" hidden="1">
      <c r="A582" s="263" t="s">
        <v>13</v>
      </c>
      <c r="B582" s="194" t="s">
        <v>2257</v>
      </c>
      <c r="C582" s="188" t="s">
        <v>560</v>
      </c>
      <c r="D582" s="195">
        <v>45644</v>
      </c>
      <c r="E582" s="189">
        <v>45674</v>
      </c>
      <c r="F582" s="257" t="s">
        <v>16</v>
      </c>
      <c r="G582" s="272">
        <v>2267</v>
      </c>
      <c r="H582" s="200" t="s">
        <v>1230</v>
      </c>
      <c r="I582" s="194" t="s">
        <v>1231</v>
      </c>
      <c r="J582" s="278" t="s">
        <v>56</v>
      </c>
      <c r="K582" s="192">
        <v>45729</v>
      </c>
      <c r="L582" s="193" t="e">
        <f>$H$478+$H$479</f>
        <v>#VALUE!</v>
      </c>
      <c r="M582" s="289" t="s">
        <v>111</v>
      </c>
    </row>
    <row r="583" spans="1:14" hidden="1">
      <c r="A583" s="257"/>
      <c r="B583" s="194" t="s">
        <v>1226</v>
      </c>
      <c r="C583" s="188" t="s">
        <v>335</v>
      </c>
      <c r="D583" s="195">
        <v>46062</v>
      </c>
      <c r="E583" s="189">
        <v>46062</v>
      </c>
      <c r="F583" s="257"/>
      <c r="G583" s="272">
        <v>900</v>
      </c>
      <c r="H583" s="196"/>
      <c r="I583" s="194" t="s">
        <v>4224</v>
      </c>
      <c r="J583" s="278" t="s">
        <v>3314</v>
      </c>
      <c r="K583" s="193">
        <v>0</v>
      </c>
      <c r="L583" s="192">
        <v>46122</v>
      </c>
      <c r="M583" s="289"/>
    </row>
    <row r="584" spans="1:14" hidden="1">
      <c r="A584" s="257"/>
      <c r="B584" s="238" t="s">
        <v>2258</v>
      </c>
      <c r="C584" s="188" t="s">
        <v>1233</v>
      </c>
      <c r="D584" s="195">
        <v>45930</v>
      </c>
      <c r="E584" s="189">
        <v>45961</v>
      </c>
      <c r="F584" s="257" t="s">
        <v>16</v>
      </c>
      <c r="G584" s="272">
        <v>1067.5</v>
      </c>
      <c r="H584" s="200" t="s">
        <v>1234</v>
      </c>
      <c r="I584" s="194"/>
      <c r="J584" s="278" t="s">
        <v>56</v>
      </c>
      <c r="K584" s="192"/>
      <c r="L584" s="193"/>
      <c r="M584" s="289"/>
    </row>
    <row r="585" spans="1:14" hidden="1">
      <c r="A585" s="257" t="s">
        <v>13</v>
      </c>
      <c r="B585" s="238" t="s">
        <v>3356</v>
      </c>
      <c r="C585" s="188" t="s">
        <v>3333</v>
      </c>
      <c r="D585" s="195">
        <v>46014</v>
      </c>
      <c r="E585" s="189">
        <v>46014</v>
      </c>
      <c r="F585" s="257" t="s">
        <v>16</v>
      </c>
      <c r="G585" s="272">
        <v>668.56</v>
      </c>
      <c r="H585" s="200"/>
      <c r="I585" s="194" t="s">
        <v>705</v>
      </c>
      <c r="J585" s="278" t="s">
        <v>142</v>
      </c>
      <c r="K585" s="192">
        <v>46014</v>
      </c>
      <c r="L585" s="193">
        <v>665.56</v>
      </c>
      <c r="M585" s="289" t="s">
        <v>3383</v>
      </c>
    </row>
    <row r="586" spans="1:14" hidden="1">
      <c r="A586" s="263" t="s">
        <v>13</v>
      </c>
      <c r="B586" s="194" t="s">
        <v>2259</v>
      </c>
      <c r="C586" s="188" t="s">
        <v>1236</v>
      </c>
      <c r="D586" s="195">
        <v>45670</v>
      </c>
      <c r="E586" s="189"/>
      <c r="F586" s="257" t="s">
        <v>16</v>
      </c>
      <c r="G586" s="272">
        <v>123.33</v>
      </c>
      <c r="H586" s="190" t="s">
        <v>1237</v>
      </c>
      <c r="I586" s="194"/>
      <c r="J586" s="278" t="s">
        <v>150</v>
      </c>
      <c r="K586" s="192">
        <v>45715</v>
      </c>
      <c r="L586" s="193"/>
      <c r="M586" s="289"/>
    </row>
    <row r="587" spans="1:14" hidden="1">
      <c r="A587" s="263" t="s">
        <v>13</v>
      </c>
      <c r="B587" s="194" t="s">
        <v>2259</v>
      </c>
      <c r="C587" s="188" t="s">
        <v>1239</v>
      </c>
      <c r="D587" s="195">
        <v>45695</v>
      </c>
      <c r="E587" s="189"/>
      <c r="F587" s="257" t="s">
        <v>16</v>
      </c>
      <c r="G587" s="272">
        <v>127.55</v>
      </c>
      <c r="H587" s="190" t="s">
        <v>1240</v>
      </c>
      <c r="I587" s="194"/>
      <c r="J587" s="278" t="s">
        <v>150</v>
      </c>
      <c r="K587" s="192">
        <v>45715</v>
      </c>
      <c r="L587" s="193"/>
      <c r="M587" s="289"/>
    </row>
    <row r="588" spans="1:14" hidden="1">
      <c r="A588" s="263" t="s">
        <v>13</v>
      </c>
      <c r="B588" s="194" t="s">
        <v>2259</v>
      </c>
      <c r="C588" s="188" t="s">
        <v>1241</v>
      </c>
      <c r="D588" s="195">
        <v>45727</v>
      </c>
      <c r="E588" s="189"/>
      <c r="F588" s="257" t="s">
        <v>16</v>
      </c>
      <c r="G588" s="272">
        <v>64.180000000000007</v>
      </c>
      <c r="H588" s="190" t="s">
        <v>1242</v>
      </c>
      <c r="I588" s="194" t="s">
        <v>279</v>
      </c>
      <c r="J588" s="278" t="s">
        <v>150</v>
      </c>
      <c r="K588" s="192">
        <v>45776</v>
      </c>
      <c r="L588" s="193"/>
      <c r="M588" s="289"/>
    </row>
    <row r="589" spans="1:14" hidden="1">
      <c r="A589" s="263" t="s">
        <v>13</v>
      </c>
      <c r="B589" s="194" t="s">
        <v>2259</v>
      </c>
      <c r="C589" s="188" t="s">
        <v>1244</v>
      </c>
      <c r="D589" s="195">
        <v>45756</v>
      </c>
      <c r="E589" s="189"/>
      <c r="F589" s="257" t="s">
        <v>16</v>
      </c>
      <c r="G589" s="272">
        <v>62.38</v>
      </c>
      <c r="H589" s="190" t="s">
        <v>1245</v>
      </c>
      <c r="I589" s="194" t="s">
        <v>1093</v>
      </c>
      <c r="J589" s="278" t="s">
        <v>150</v>
      </c>
      <c r="K589" s="192"/>
      <c r="L589" s="193"/>
      <c r="M589" s="289"/>
    </row>
    <row r="590" spans="1:14" hidden="1">
      <c r="A590" s="263" t="s">
        <v>13</v>
      </c>
      <c r="B590" s="194" t="s">
        <v>2259</v>
      </c>
      <c r="C590" s="188" t="s">
        <v>1246</v>
      </c>
      <c r="D590" s="195">
        <v>45789</v>
      </c>
      <c r="E590" s="189">
        <v>45811</v>
      </c>
      <c r="F590" s="257" t="s">
        <v>16</v>
      </c>
      <c r="G590" s="272">
        <v>285.48</v>
      </c>
      <c r="H590" s="190" t="s">
        <v>1247</v>
      </c>
      <c r="I590" s="194" t="s">
        <v>279</v>
      </c>
      <c r="J590" s="278" t="s">
        <v>150</v>
      </c>
      <c r="K590" s="192"/>
      <c r="L590" s="193"/>
      <c r="M590" s="289"/>
    </row>
    <row r="591" spans="1:14" hidden="1">
      <c r="A591" s="263" t="s">
        <v>13</v>
      </c>
      <c r="B591" s="194" t="s">
        <v>2259</v>
      </c>
      <c r="C591" s="188" t="s">
        <v>1248</v>
      </c>
      <c r="D591" s="195">
        <v>45789</v>
      </c>
      <c r="E591" s="189">
        <v>45811</v>
      </c>
      <c r="F591" s="257" t="s">
        <v>16</v>
      </c>
      <c r="G591" s="272">
        <v>60.46</v>
      </c>
      <c r="H591" s="190" t="s">
        <v>1249</v>
      </c>
      <c r="I591" s="194" t="s">
        <v>279</v>
      </c>
      <c r="J591" s="278" t="s">
        <v>150</v>
      </c>
      <c r="K591" s="192"/>
      <c r="L591" s="193"/>
      <c r="M591" s="289"/>
      <c r="N591" s="179"/>
    </row>
    <row r="592" spans="1:14" hidden="1">
      <c r="A592" s="263" t="s">
        <v>13</v>
      </c>
      <c r="B592" s="194" t="s">
        <v>2259</v>
      </c>
      <c r="C592" s="188" t="s">
        <v>1252</v>
      </c>
      <c r="D592" s="195">
        <v>45817</v>
      </c>
      <c r="E592" s="189"/>
      <c r="F592" s="257" t="s">
        <v>16</v>
      </c>
      <c r="G592" s="272">
        <v>141.63999999999999</v>
      </c>
      <c r="H592" s="190" t="s">
        <v>1253</v>
      </c>
      <c r="I592" s="194" t="s">
        <v>279</v>
      </c>
      <c r="J592" s="278" t="s">
        <v>150</v>
      </c>
      <c r="K592" s="192"/>
      <c r="L592" s="193"/>
      <c r="M592" s="289"/>
    </row>
    <row r="593" spans="1:13" hidden="1">
      <c r="A593" s="263" t="s">
        <v>13</v>
      </c>
      <c r="B593" s="194" t="s">
        <v>2259</v>
      </c>
      <c r="C593" s="188" t="s">
        <v>1254</v>
      </c>
      <c r="D593" s="195">
        <v>45817</v>
      </c>
      <c r="E593" s="189"/>
      <c r="F593" s="257" t="s">
        <v>16</v>
      </c>
      <c r="G593" s="272">
        <v>60.74</v>
      </c>
      <c r="H593" s="190" t="s">
        <v>1255</v>
      </c>
      <c r="I593" s="194" t="s">
        <v>279</v>
      </c>
      <c r="J593" s="278" t="s">
        <v>150</v>
      </c>
      <c r="K593" s="192"/>
      <c r="L593" s="193"/>
      <c r="M593" s="289"/>
    </row>
    <row r="594" spans="1:13" hidden="1">
      <c r="A594" s="263" t="s">
        <v>13</v>
      </c>
      <c r="B594" s="194" t="s">
        <v>2259</v>
      </c>
      <c r="C594" s="188" t="s">
        <v>1256</v>
      </c>
      <c r="D594" s="195">
        <v>45848</v>
      </c>
      <c r="E594" s="189"/>
      <c r="F594" s="257" t="s">
        <v>16</v>
      </c>
      <c r="G594" s="272">
        <v>195.83</v>
      </c>
      <c r="H594" s="190" t="s">
        <v>1257</v>
      </c>
      <c r="I594" s="194" t="s">
        <v>279</v>
      </c>
      <c r="J594" s="278" t="s">
        <v>150</v>
      </c>
      <c r="K594" s="192"/>
      <c r="L594" s="193"/>
      <c r="M594" s="289"/>
    </row>
    <row r="595" spans="1:13" hidden="1">
      <c r="A595" s="263" t="s">
        <v>13</v>
      </c>
      <c r="B595" s="194" t="s">
        <v>2259</v>
      </c>
      <c r="C595" s="188" t="s">
        <v>1258</v>
      </c>
      <c r="D595" s="195">
        <v>45848</v>
      </c>
      <c r="E595" s="189"/>
      <c r="F595" s="257" t="s">
        <v>16</v>
      </c>
      <c r="G595" s="272">
        <v>61.67</v>
      </c>
      <c r="H595" s="190" t="s">
        <v>1259</v>
      </c>
      <c r="I595" s="194" t="s">
        <v>279</v>
      </c>
      <c r="J595" s="278" t="s">
        <v>150</v>
      </c>
      <c r="K595" s="192"/>
      <c r="L595" s="193"/>
      <c r="M595" s="289"/>
    </row>
    <row r="596" spans="1:13" hidden="1">
      <c r="A596" s="263" t="s">
        <v>13</v>
      </c>
      <c r="B596" s="194" t="s">
        <v>2259</v>
      </c>
      <c r="C596" s="188" t="s">
        <v>1260</v>
      </c>
      <c r="D596" s="195">
        <v>45876</v>
      </c>
      <c r="E596" s="189"/>
      <c r="F596" s="257" t="s">
        <v>16</v>
      </c>
      <c r="G596" s="272">
        <v>204.87</v>
      </c>
      <c r="H596" s="190" t="s">
        <v>1261</v>
      </c>
      <c r="I596" s="194" t="s">
        <v>279</v>
      </c>
      <c r="J596" s="278" t="s">
        <v>150</v>
      </c>
      <c r="K596" s="192"/>
      <c r="L596" s="193"/>
      <c r="M596" s="289"/>
    </row>
    <row r="597" spans="1:13" hidden="1">
      <c r="A597" s="263" t="s">
        <v>13</v>
      </c>
      <c r="B597" s="194" t="s">
        <v>2259</v>
      </c>
      <c r="C597" s="188" t="s">
        <v>1262</v>
      </c>
      <c r="D597" s="195">
        <v>45876</v>
      </c>
      <c r="E597" s="189"/>
      <c r="F597" s="257" t="s">
        <v>16</v>
      </c>
      <c r="G597" s="272">
        <v>62.13</v>
      </c>
      <c r="H597" s="190" t="s">
        <v>1263</v>
      </c>
      <c r="I597" s="194" t="s">
        <v>279</v>
      </c>
      <c r="J597" s="278" t="s">
        <v>150</v>
      </c>
      <c r="K597" s="192"/>
      <c r="L597" s="193"/>
      <c r="M597" s="289"/>
    </row>
    <row r="598" spans="1:13" hidden="1">
      <c r="A598" s="263" t="s">
        <v>13</v>
      </c>
      <c r="B598" s="194" t="s">
        <v>2259</v>
      </c>
      <c r="C598" s="188" t="s">
        <v>1264</v>
      </c>
      <c r="D598" s="195">
        <v>45909</v>
      </c>
      <c r="E598" s="189"/>
      <c r="F598" s="257" t="s">
        <v>16</v>
      </c>
      <c r="G598" s="272">
        <v>153.02000000000001</v>
      </c>
      <c r="H598" s="190" t="s">
        <v>1265</v>
      </c>
      <c r="I598" s="194" t="s">
        <v>279</v>
      </c>
      <c r="J598" s="278" t="s">
        <v>150</v>
      </c>
      <c r="K598" s="192">
        <v>45929</v>
      </c>
      <c r="L598" s="193" t="s">
        <v>345</v>
      </c>
      <c r="M598" s="289"/>
    </row>
    <row r="599" spans="1:13" hidden="1">
      <c r="A599" s="263" t="s">
        <v>13</v>
      </c>
      <c r="B599" s="194" t="s">
        <v>2259</v>
      </c>
      <c r="C599" s="188" t="s">
        <v>1266</v>
      </c>
      <c r="D599" s="195">
        <v>45909</v>
      </c>
      <c r="E599" s="189"/>
      <c r="F599" s="257" t="s">
        <v>16</v>
      </c>
      <c r="G599" s="272">
        <v>67.14</v>
      </c>
      <c r="H599" s="190" t="s">
        <v>1267</v>
      </c>
      <c r="I599" s="194" t="s">
        <v>279</v>
      </c>
      <c r="J599" s="278" t="s">
        <v>150</v>
      </c>
      <c r="K599" s="192">
        <v>45929</v>
      </c>
      <c r="L599" s="193" t="s">
        <v>345</v>
      </c>
      <c r="M599" s="289"/>
    </row>
    <row r="600" spans="1:13" hidden="1">
      <c r="A600" s="263" t="s">
        <v>13</v>
      </c>
      <c r="B600" s="194" t="s">
        <v>2259</v>
      </c>
      <c r="C600" s="188" t="s">
        <v>1268</v>
      </c>
      <c r="D600" s="195">
        <v>45938</v>
      </c>
      <c r="E600" s="189">
        <v>45958</v>
      </c>
      <c r="F600" s="257" t="s">
        <v>16</v>
      </c>
      <c r="G600" s="272">
        <v>149.27000000000001</v>
      </c>
      <c r="H600" s="190" t="s">
        <v>1269</v>
      </c>
      <c r="I600" s="194" t="s">
        <v>279</v>
      </c>
      <c r="J600" s="278" t="s">
        <v>150</v>
      </c>
      <c r="K600" s="192">
        <v>45958</v>
      </c>
      <c r="L600" s="193" t="s">
        <v>345</v>
      </c>
      <c r="M600" s="289"/>
    </row>
    <row r="601" spans="1:13" hidden="1">
      <c r="A601" s="263" t="s">
        <v>13</v>
      </c>
      <c r="B601" s="194" t="s">
        <v>2259</v>
      </c>
      <c r="C601" s="188" t="s">
        <v>1270</v>
      </c>
      <c r="D601" s="195">
        <v>45938</v>
      </c>
      <c r="E601" s="189">
        <v>45958</v>
      </c>
      <c r="F601" s="257" t="s">
        <v>16</v>
      </c>
      <c r="G601" s="272">
        <v>61.22</v>
      </c>
      <c r="H601" s="190" t="s">
        <v>1271</v>
      </c>
      <c r="I601" s="194" t="s">
        <v>279</v>
      </c>
      <c r="J601" s="278" t="s">
        <v>150</v>
      </c>
      <c r="K601" s="192">
        <v>45958</v>
      </c>
      <c r="L601" s="193" t="s">
        <v>345</v>
      </c>
      <c r="M601" s="289"/>
    </row>
    <row r="602" spans="1:13" hidden="1">
      <c r="A602" s="257" t="s">
        <v>13</v>
      </c>
      <c r="B602" s="194" t="s">
        <v>1235</v>
      </c>
      <c r="C602" s="188" t="s">
        <v>1272</v>
      </c>
      <c r="D602" s="189">
        <v>45968</v>
      </c>
      <c r="E602" s="189">
        <v>45989</v>
      </c>
      <c r="F602" s="257" t="s">
        <v>16</v>
      </c>
      <c r="G602" s="272">
        <v>62.11</v>
      </c>
      <c r="H602" s="190"/>
      <c r="I602" s="187" t="s">
        <v>1273</v>
      </c>
      <c r="J602" s="278" t="s">
        <v>150</v>
      </c>
      <c r="K602" s="192"/>
      <c r="L602" s="193"/>
      <c r="M602" s="289"/>
    </row>
    <row r="603" spans="1:13" ht="63" hidden="1" customHeight="1">
      <c r="A603" s="257" t="s">
        <v>13</v>
      </c>
      <c r="B603" s="194" t="s">
        <v>1235</v>
      </c>
      <c r="C603" s="188" t="s">
        <v>1274</v>
      </c>
      <c r="D603" s="189">
        <v>45968</v>
      </c>
      <c r="E603" s="189">
        <v>45989</v>
      </c>
      <c r="F603" s="257" t="s">
        <v>16</v>
      </c>
      <c r="G603" s="272">
        <v>315.44</v>
      </c>
      <c r="H603" s="190"/>
      <c r="I603" s="187" t="s">
        <v>1275</v>
      </c>
      <c r="J603" s="278" t="s">
        <v>1276</v>
      </c>
      <c r="K603" s="192"/>
      <c r="L603" s="193"/>
      <c r="M603" s="194"/>
    </row>
    <row r="604" spans="1:13" hidden="1">
      <c r="A604" s="257" t="s">
        <v>13</v>
      </c>
      <c r="B604" s="194" t="s">
        <v>1235</v>
      </c>
      <c r="C604" s="188" t="s">
        <v>1277</v>
      </c>
      <c r="D604" s="195">
        <v>46001</v>
      </c>
      <c r="E604" s="189">
        <v>46021</v>
      </c>
      <c r="F604" s="257" t="s">
        <v>16</v>
      </c>
      <c r="G604" s="272">
        <v>60.99</v>
      </c>
      <c r="H604" s="196"/>
      <c r="I604" s="194" t="s">
        <v>1278</v>
      </c>
      <c r="J604" s="278" t="s">
        <v>1276</v>
      </c>
      <c r="K604" s="192">
        <v>46021</v>
      </c>
      <c r="L604" s="193">
        <v>60.99</v>
      </c>
      <c r="M604" s="289" t="s">
        <v>71</v>
      </c>
    </row>
    <row r="605" spans="1:13" hidden="1">
      <c r="A605" s="257" t="s">
        <v>13</v>
      </c>
      <c r="B605" s="194" t="s">
        <v>1235</v>
      </c>
      <c r="C605" s="188" t="s">
        <v>1279</v>
      </c>
      <c r="D605" s="195">
        <v>46001</v>
      </c>
      <c r="E605" s="189">
        <v>46021</v>
      </c>
      <c r="F605" s="257" t="s">
        <v>16</v>
      </c>
      <c r="G605" s="272">
        <v>754.95</v>
      </c>
      <c r="H605" s="196"/>
      <c r="I605" s="194" t="s">
        <v>1280</v>
      </c>
      <c r="J605" s="278" t="s">
        <v>1276</v>
      </c>
      <c r="K605" s="192">
        <v>46021</v>
      </c>
      <c r="L605" s="193">
        <v>754.95</v>
      </c>
      <c r="M605" s="289" t="s">
        <v>71</v>
      </c>
    </row>
    <row r="606" spans="1:13" hidden="1">
      <c r="A606" s="196" t="s">
        <v>13</v>
      </c>
      <c r="B606" s="196" t="s">
        <v>1235</v>
      </c>
      <c r="C606" s="196" t="s">
        <v>4117</v>
      </c>
      <c r="D606" s="192">
        <v>46034</v>
      </c>
      <c r="E606" s="192">
        <v>46055</v>
      </c>
      <c r="F606" s="196" t="s">
        <v>16</v>
      </c>
      <c r="G606" s="201">
        <v>887.49</v>
      </c>
      <c r="H606" s="196" t="s">
        <v>4165</v>
      </c>
      <c r="I606" s="196" t="s">
        <v>1276</v>
      </c>
      <c r="J606" s="192">
        <v>46055</v>
      </c>
      <c r="K606" s="201">
        <v>887.49</v>
      </c>
      <c r="L606" s="196" t="s">
        <v>345</v>
      </c>
      <c r="M606" s="289"/>
    </row>
    <row r="607" spans="1:13" hidden="1">
      <c r="A607" s="196" t="s">
        <v>13</v>
      </c>
      <c r="B607" s="196" t="s">
        <v>1235</v>
      </c>
      <c r="C607" s="196" t="s">
        <v>4115</v>
      </c>
      <c r="D607" s="192">
        <v>46034</v>
      </c>
      <c r="E607" s="192">
        <v>46055</v>
      </c>
      <c r="F607" s="196" t="s">
        <v>16</v>
      </c>
      <c r="G607" s="201">
        <v>67.38</v>
      </c>
      <c r="H607" s="196" t="s">
        <v>4166</v>
      </c>
      <c r="I607" s="196" t="s">
        <v>1276</v>
      </c>
      <c r="J607" s="192">
        <v>46055</v>
      </c>
      <c r="K607" s="201">
        <v>67.38</v>
      </c>
      <c r="L607" s="196" t="s">
        <v>345</v>
      </c>
      <c r="M607" s="289"/>
    </row>
    <row r="608" spans="1:13" hidden="1">
      <c r="A608" s="257"/>
      <c r="B608" s="194" t="s">
        <v>1235</v>
      </c>
      <c r="C608" s="188" t="s">
        <v>4243</v>
      </c>
      <c r="D608" s="195">
        <v>46063</v>
      </c>
      <c r="E608" s="189">
        <v>46083</v>
      </c>
      <c r="F608" s="257"/>
      <c r="G608" s="272">
        <v>1139.02</v>
      </c>
      <c r="H608" s="249"/>
      <c r="I608" s="194" t="s">
        <v>4022</v>
      </c>
      <c r="J608" s="278" t="s">
        <v>3309</v>
      </c>
      <c r="K608" s="193">
        <v>205.4</v>
      </c>
      <c r="L608" s="192">
        <v>46083</v>
      </c>
      <c r="M608" s="289"/>
    </row>
    <row r="609" spans="1:14" hidden="1">
      <c r="B609" s="194" t="s">
        <v>1235</v>
      </c>
      <c r="C609" s="209" t="s">
        <v>4242</v>
      </c>
      <c r="D609" s="230">
        <v>46063</v>
      </c>
      <c r="E609" s="210">
        <v>46083</v>
      </c>
      <c r="F609" s="261"/>
      <c r="G609" s="273">
        <v>124.06</v>
      </c>
      <c r="H609" s="249"/>
      <c r="I609" s="138" t="s">
        <v>4022</v>
      </c>
      <c r="J609" s="278" t="s">
        <v>3309</v>
      </c>
      <c r="K609" s="193">
        <v>22.37</v>
      </c>
      <c r="L609" s="192">
        <v>46083</v>
      </c>
      <c r="M609" s="289"/>
    </row>
    <row r="610" spans="1:14" hidden="1">
      <c r="A610" s="265" t="s">
        <v>13</v>
      </c>
      <c r="B610" s="194" t="s">
        <v>2261</v>
      </c>
      <c r="C610" s="209">
        <v>11</v>
      </c>
      <c r="D610" s="230">
        <v>45702</v>
      </c>
      <c r="F610" s="261" t="s">
        <v>16</v>
      </c>
      <c r="G610" s="273">
        <v>106.32</v>
      </c>
      <c r="H610" s="190" t="s">
        <v>1282</v>
      </c>
      <c r="I610" s="138"/>
      <c r="J610" s="278"/>
      <c r="K610" s="192"/>
      <c r="L610" s="193"/>
      <c r="M610" s="289"/>
    </row>
    <row r="611" spans="1:14" hidden="1">
      <c r="A611" s="265" t="s">
        <v>13</v>
      </c>
      <c r="B611" s="194" t="s">
        <v>2262</v>
      </c>
      <c r="C611" s="209">
        <v>465</v>
      </c>
      <c r="D611" s="230">
        <v>45762</v>
      </c>
      <c r="F611" s="261" t="s">
        <v>16</v>
      </c>
      <c r="G611" s="273">
        <v>9</v>
      </c>
      <c r="H611" s="190" t="s">
        <v>1284</v>
      </c>
      <c r="I611" s="138" t="s">
        <v>457</v>
      </c>
      <c r="J611" s="278" t="s">
        <v>215</v>
      </c>
      <c r="K611" s="192"/>
      <c r="L611" s="193"/>
      <c r="M611" s="289"/>
    </row>
    <row r="612" spans="1:14" hidden="1">
      <c r="A612" s="263" t="s">
        <v>13</v>
      </c>
      <c r="B612" s="194" t="s">
        <v>2262</v>
      </c>
      <c r="C612" s="188">
        <v>767</v>
      </c>
      <c r="D612" s="195">
        <v>45826</v>
      </c>
      <c r="E612" s="189"/>
      <c r="F612" s="257" t="s">
        <v>16</v>
      </c>
      <c r="G612" s="272">
        <v>17</v>
      </c>
      <c r="H612" s="190" t="s">
        <v>1286</v>
      </c>
      <c r="I612" s="194" t="s">
        <v>457</v>
      </c>
      <c r="J612" s="278" t="s">
        <v>215</v>
      </c>
      <c r="K612" s="192"/>
      <c r="L612" s="193"/>
      <c r="M612" s="289"/>
    </row>
    <row r="613" spans="1:14" hidden="1">
      <c r="A613" s="257"/>
      <c r="B613" s="194" t="s">
        <v>2263</v>
      </c>
      <c r="C613" s="188" t="s">
        <v>1334</v>
      </c>
      <c r="D613" s="195">
        <v>45933</v>
      </c>
      <c r="E613" s="189">
        <v>45991</v>
      </c>
      <c r="F613" s="257" t="s">
        <v>49</v>
      </c>
      <c r="G613" s="272">
        <v>112.07</v>
      </c>
      <c r="H613" s="190" t="s">
        <v>1335</v>
      </c>
      <c r="I613" s="194" t="s">
        <v>87</v>
      </c>
      <c r="J613" s="278" t="s">
        <v>56</v>
      </c>
      <c r="K613" s="192">
        <v>46002</v>
      </c>
      <c r="L613" s="193"/>
      <c r="M613" s="289"/>
    </row>
    <row r="614" spans="1:14" hidden="1">
      <c r="A614" s="257"/>
      <c r="B614" s="194" t="s">
        <v>2264</v>
      </c>
      <c r="C614" s="188" t="s">
        <v>1336</v>
      </c>
      <c r="D614" s="195">
        <v>46003</v>
      </c>
      <c r="E614" s="189">
        <v>45688</v>
      </c>
      <c r="F614" s="257"/>
      <c r="G614" s="272">
        <v>361.17</v>
      </c>
      <c r="H614" s="196"/>
      <c r="I614" s="194" t="s">
        <v>1337</v>
      </c>
      <c r="J614" s="278" t="s">
        <v>83</v>
      </c>
      <c r="K614" s="192"/>
      <c r="L614" s="193">
        <v>361.07</v>
      </c>
      <c r="M614" s="289"/>
    </row>
    <row r="615" spans="1:14" hidden="1">
      <c r="A615" s="263" t="s">
        <v>13</v>
      </c>
      <c r="B615" s="194" t="s">
        <v>2265</v>
      </c>
      <c r="C615" s="188">
        <v>498</v>
      </c>
      <c r="D615" s="195">
        <v>45912</v>
      </c>
      <c r="E615" s="189"/>
      <c r="F615" s="257" t="s">
        <v>16</v>
      </c>
      <c r="G615" s="272">
        <v>107</v>
      </c>
      <c r="H615" s="190" t="s">
        <v>1289</v>
      </c>
      <c r="I615" s="194"/>
      <c r="J615" s="278" t="s">
        <v>215</v>
      </c>
      <c r="K615" s="192"/>
      <c r="L615" s="193"/>
      <c r="M615" s="289"/>
    </row>
    <row r="616" spans="1:14" hidden="1">
      <c r="A616" s="257"/>
      <c r="B616" s="187" t="s">
        <v>1290</v>
      </c>
      <c r="C616" s="188" t="s">
        <v>4316</v>
      </c>
      <c r="D616" s="189">
        <v>46081</v>
      </c>
      <c r="E616" s="189">
        <v>46081</v>
      </c>
      <c r="F616" s="257" t="s">
        <v>16</v>
      </c>
      <c r="G616" s="272">
        <v>18.7</v>
      </c>
      <c r="H616" s="190"/>
      <c r="I616" s="187" t="s">
        <v>3336</v>
      </c>
      <c r="J616" s="278" t="s">
        <v>3309</v>
      </c>
      <c r="K616" s="193">
        <v>3.37</v>
      </c>
      <c r="L616" s="192">
        <v>46141</v>
      </c>
      <c r="M616" s="289"/>
      <c r="N616" s="56"/>
    </row>
    <row r="617" spans="1:14" hidden="1">
      <c r="A617" s="263" t="s">
        <v>13</v>
      </c>
      <c r="B617" s="194" t="s">
        <v>2266</v>
      </c>
      <c r="C617" s="188" t="s">
        <v>1291</v>
      </c>
      <c r="D617" s="195">
        <v>45687</v>
      </c>
      <c r="E617" s="189">
        <v>45687</v>
      </c>
      <c r="F617" s="257" t="s">
        <v>16</v>
      </c>
      <c r="G617" s="272">
        <v>3.3</v>
      </c>
      <c r="H617" s="190" t="s">
        <v>1292</v>
      </c>
      <c r="I617" s="194" t="s">
        <v>565</v>
      </c>
      <c r="J617" s="278" t="s">
        <v>150</v>
      </c>
      <c r="K617" s="192"/>
      <c r="L617" s="193"/>
      <c r="M617" s="289" t="s">
        <v>1293</v>
      </c>
    </row>
    <row r="618" spans="1:14" hidden="1">
      <c r="A618" s="263" t="s">
        <v>13</v>
      </c>
      <c r="B618" s="194" t="s">
        <v>2266</v>
      </c>
      <c r="C618" s="188" t="s">
        <v>1294</v>
      </c>
      <c r="D618" s="195">
        <v>45687</v>
      </c>
      <c r="E618" s="189">
        <v>45687</v>
      </c>
      <c r="F618" s="257" t="s">
        <v>16</v>
      </c>
      <c r="G618" s="272">
        <v>2.2000000000000002</v>
      </c>
      <c r="H618" s="190" t="s">
        <v>1295</v>
      </c>
      <c r="I618" s="194" t="s">
        <v>565</v>
      </c>
      <c r="J618" s="278" t="s">
        <v>150</v>
      </c>
      <c r="K618" s="192"/>
      <c r="L618" s="193"/>
      <c r="M618" s="289" t="s">
        <v>1293</v>
      </c>
    </row>
    <row r="619" spans="1:14" hidden="1">
      <c r="A619" s="263" t="s">
        <v>13</v>
      </c>
      <c r="B619" s="194" t="s">
        <v>2266</v>
      </c>
      <c r="C619" s="188" t="s">
        <v>1296</v>
      </c>
      <c r="D619" s="195">
        <v>45687</v>
      </c>
      <c r="E619" s="189">
        <v>45687</v>
      </c>
      <c r="F619" s="257" t="s">
        <v>16</v>
      </c>
      <c r="G619" s="272">
        <v>10.5</v>
      </c>
      <c r="H619" s="190" t="s">
        <v>1297</v>
      </c>
      <c r="I619" s="194" t="s">
        <v>565</v>
      </c>
      <c r="J619" s="278" t="s">
        <v>150</v>
      </c>
      <c r="K619" s="192"/>
      <c r="L619" s="193"/>
      <c r="M619" s="289" t="s">
        <v>1293</v>
      </c>
    </row>
    <row r="620" spans="1:14" hidden="1">
      <c r="A620" s="263" t="s">
        <v>13</v>
      </c>
      <c r="B620" s="194" t="s">
        <v>2266</v>
      </c>
      <c r="C620" s="188" t="s">
        <v>1298</v>
      </c>
      <c r="D620" s="195">
        <v>45687</v>
      </c>
      <c r="E620" s="189">
        <v>45687</v>
      </c>
      <c r="F620" s="257" t="s">
        <v>16</v>
      </c>
      <c r="G620" s="272">
        <v>17.600000000000001</v>
      </c>
      <c r="H620" s="190" t="s">
        <v>1299</v>
      </c>
      <c r="I620" s="194" t="s">
        <v>565</v>
      </c>
      <c r="J620" s="278" t="s">
        <v>150</v>
      </c>
      <c r="K620" s="192"/>
      <c r="L620" s="193"/>
      <c r="M620" s="289" t="s">
        <v>1293</v>
      </c>
    </row>
    <row r="621" spans="1:14" hidden="1">
      <c r="A621" s="263" t="s">
        <v>13</v>
      </c>
      <c r="B621" s="194" t="s">
        <v>2266</v>
      </c>
      <c r="C621" s="188" t="s">
        <v>1300</v>
      </c>
      <c r="D621" s="195">
        <v>45716</v>
      </c>
      <c r="E621" s="189"/>
      <c r="F621" s="257" t="s">
        <v>16</v>
      </c>
      <c r="G621" s="272">
        <v>47.6</v>
      </c>
      <c r="H621" s="190" t="s">
        <v>1301</v>
      </c>
      <c r="I621" s="194" t="s">
        <v>1302</v>
      </c>
      <c r="J621" s="278" t="s">
        <v>150</v>
      </c>
      <c r="K621" s="192"/>
      <c r="L621" s="193"/>
      <c r="M621" s="289" t="s">
        <v>1293</v>
      </c>
    </row>
    <row r="622" spans="1:14" hidden="1">
      <c r="A622" s="263" t="s">
        <v>13</v>
      </c>
      <c r="B622" s="194" t="s">
        <v>2266</v>
      </c>
      <c r="C622" s="188" t="s">
        <v>1303</v>
      </c>
      <c r="D622" s="195">
        <v>45746</v>
      </c>
      <c r="E622" s="189"/>
      <c r="F622" s="257" t="s">
        <v>16</v>
      </c>
      <c r="G622" s="272">
        <v>6.6</v>
      </c>
      <c r="H622" s="190" t="s">
        <v>1304</v>
      </c>
      <c r="I622" s="194" t="s">
        <v>565</v>
      </c>
      <c r="J622" s="278" t="s">
        <v>150</v>
      </c>
      <c r="K622" s="192"/>
      <c r="L622" s="193"/>
      <c r="M622" s="289" t="s">
        <v>1293</v>
      </c>
    </row>
    <row r="623" spans="1:14" hidden="1">
      <c r="A623" s="263" t="s">
        <v>13</v>
      </c>
      <c r="B623" s="194" t="s">
        <v>2266</v>
      </c>
      <c r="C623" s="188" t="s">
        <v>1307</v>
      </c>
      <c r="D623" s="195">
        <v>45746</v>
      </c>
      <c r="E623" s="189"/>
      <c r="F623" s="257" t="s">
        <v>16</v>
      </c>
      <c r="G623" s="272">
        <v>103.2</v>
      </c>
      <c r="H623" s="190" t="s">
        <v>1308</v>
      </c>
      <c r="I623" s="194" t="s">
        <v>1309</v>
      </c>
      <c r="J623" s="278" t="s">
        <v>150</v>
      </c>
      <c r="K623" s="192"/>
      <c r="L623" s="193"/>
      <c r="M623" s="289" t="s">
        <v>1293</v>
      </c>
    </row>
    <row r="624" spans="1:14" hidden="1">
      <c r="A624" s="263" t="s">
        <v>13</v>
      </c>
      <c r="B624" s="194" t="s">
        <v>2266</v>
      </c>
      <c r="C624" s="188" t="s">
        <v>1310</v>
      </c>
      <c r="D624" s="195">
        <v>45777</v>
      </c>
      <c r="E624" s="189"/>
      <c r="F624" s="257" t="s">
        <v>16</v>
      </c>
      <c r="G624" s="272">
        <v>60.4</v>
      </c>
      <c r="H624" s="190" t="s">
        <v>1311</v>
      </c>
      <c r="I624" s="194" t="s">
        <v>565</v>
      </c>
      <c r="J624" s="278" t="s">
        <v>150</v>
      </c>
      <c r="K624" s="192"/>
      <c r="L624" s="193"/>
      <c r="M624" s="289" t="s">
        <v>1293</v>
      </c>
    </row>
    <row r="625" spans="1:13" hidden="1">
      <c r="A625" s="263" t="s">
        <v>13</v>
      </c>
      <c r="B625" s="194" t="s">
        <v>2266</v>
      </c>
      <c r="C625" s="188" t="s">
        <v>1314</v>
      </c>
      <c r="D625" s="195">
        <v>45838</v>
      </c>
      <c r="E625" s="189"/>
      <c r="F625" s="257" t="s">
        <v>16</v>
      </c>
      <c r="G625" s="272">
        <v>2.2000000000000002</v>
      </c>
      <c r="H625" s="190" t="s">
        <v>1315</v>
      </c>
      <c r="I625" s="194" t="s">
        <v>1309</v>
      </c>
      <c r="J625" s="278" t="s">
        <v>150</v>
      </c>
      <c r="K625" s="192"/>
      <c r="L625" s="193"/>
      <c r="M625" s="289" t="s">
        <v>1293</v>
      </c>
    </row>
    <row r="626" spans="1:13" hidden="1">
      <c r="A626" s="263" t="s">
        <v>13</v>
      </c>
      <c r="B626" s="194" t="s">
        <v>2266</v>
      </c>
      <c r="C626" s="188" t="s">
        <v>1316</v>
      </c>
      <c r="D626" s="195">
        <v>45838</v>
      </c>
      <c r="E626" s="189"/>
      <c r="F626" s="257" t="s">
        <v>16</v>
      </c>
      <c r="G626" s="272">
        <v>37.6</v>
      </c>
      <c r="H626" s="190" t="s">
        <v>1317</v>
      </c>
      <c r="I626" s="194" t="s">
        <v>1309</v>
      </c>
      <c r="J626" s="278" t="s">
        <v>150</v>
      </c>
      <c r="K626" s="192"/>
      <c r="L626" s="193"/>
      <c r="M626" s="289" t="s">
        <v>1293</v>
      </c>
    </row>
    <row r="627" spans="1:13" hidden="1">
      <c r="A627" s="263" t="s">
        <v>13</v>
      </c>
      <c r="B627" s="194" t="s">
        <v>2266</v>
      </c>
      <c r="C627" s="188" t="s">
        <v>1320</v>
      </c>
      <c r="D627" s="195">
        <v>45899</v>
      </c>
      <c r="E627" s="189"/>
      <c r="F627" s="257" t="s">
        <v>16</v>
      </c>
      <c r="G627" s="272">
        <v>6.6</v>
      </c>
      <c r="H627" s="190" t="s">
        <v>1321</v>
      </c>
      <c r="I627" s="194" t="s">
        <v>1309</v>
      </c>
      <c r="J627" s="278" t="s">
        <v>150</v>
      </c>
      <c r="K627" s="192"/>
      <c r="L627" s="193"/>
      <c r="M627" s="289" t="s">
        <v>1293</v>
      </c>
    </row>
    <row r="628" spans="1:13" hidden="1">
      <c r="A628" s="263" t="s">
        <v>13</v>
      </c>
      <c r="B628" s="194" t="s">
        <v>2266</v>
      </c>
      <c r="C628" s="188" t="s">
        <v>1322</v>
      </c>
      <c r="D628" s="195">
        <v>45899</v>
      </c>
      <c r="E628" s="189"/>
      <c r="F628" s="257" t="s">
        <v>16</v>
      </c>
      <c r="G628" s="272">
        <v>30.4</v>
      </c>
      <c r="H628" s="190" t="s">
        <v>1323</v>
      </c>
      <c r="I628" s="194" t="s">
        <v>1309</v>
      </c>
      <c r="J628" s="278" t="s">
        <v>150</v>
      </c>
      <c r="K628" s="192"/>
      <c r="L628" s="193"/>
      <c r="M628" s="289" t="s">
        <v>1293</v>
      </c>
    </row>
    <row r="629" spans="1:13" hidden="1">
      <c r="A629" s="263" t="s">
        <v>13</v>
      </c>
      <c r="B629" s="194" t="s">
        <v>2266</v>
      </c>
      <c r="C629" s="188" t="s">
        <v>1326</v>
      </c>
      <c r="D629" s="195">
        <v>45930</v>
      </c>
      <c r="E629" s="189"/>
      <c r="F629" s="257" t="s">
        <v>16</v>
      </c>
      <c r="G629" s="272">
        <v>13.2</v>
      </c>
      <c r="H629" s="190" t="s">
        <v>1327</v>
      </c>
      <c r="I629" s="194" t="s">
        <v>1309</v>
      </c>
      <c r="J629" s="278" t="s">
        <v>150</v>
      </c>
      <c r="K629" s="192"/>
      <c r="L629" s="193"/>
      <c r="M629" s="289" t="s">
        <v>1293</v>
      </c>
    </row>
    <row r="630" spans="1:13" hidden="1">
      <c r="A630" s="265" t="s">
        <v>13</v>
      </c>
      <c r="B630" s="194" t="s">
        <v>2266</v>
      </c>
      <c r="C630" s="188" t="s">
        <v>1328</v>
      </c>
      <c r="D630" s="195">
        <v>45960</v>
      </c>
      <c r="F630" s="268" t="s">
        <v>16</v>
      </c>
      <c r="G630" s="273">
        <v>24.2</v>
      </c>
      <c r="H630" s="190"/>
      <c r="I630" s="194" t="s">
        <v>1309</v>
      </c>
      <c r="J630" s="279" t="s">
        <v>150</v>
      </c>
      <c r="K630" s="192"/>
      <c r="L630" s="193"/>
      <c r="M630" s="289" t="s">
        <v>1293</v>
      </c>
    </row>
    <row r="631" spans="1:13" hidden="1">
      <c r="B631" s="187" t="s">
        <v>2267</v>
      </c>
      <c r="C631" s="188" t="s">
        <v>1329</v>
      </c>
      <c r="D631" s="189">
        <v>45991</v>
      </c>
      <c r="F631" s="268" t="s">
        <v>49</v>
      </c>
      <c r="G631" s="273">
        <v>25</v>
      </c>
      <c r="H631" s="190"/>
      <c r="I631" s="187" t="s">
        <v>1309</v>
      </c>
      <c r="J631" s="279" t="s">
        <v>150</v>
      </c>
      <c r="K631" s="192"/>
      <c r="L631" s="193"/>
      <c r="M631" s="289" t="s">
        <v>1293</v>
      </c>
    </row>
    <row r="632" spans="1:13" hidden="1">
      <c r="A632" s="265"/>
      <c r="B632" s="194" t="s">
        <v>1290</v>
      </c>
      <c r="C632" s="188" t="s">
        <v>3384</v>
      </c>
      <c r="D632" s="195">
        <v>46021</v>
      </c>
      <c r="E632" s="210">
        <v>46021</v>
      </c>
      <c r="F632" s="268" t="s">
        <v>16</v>
      </c>
      <c r="G632" s="273">
        <v>5.2</v>
      </c>
      <c r="H632" s="190"/>
      <c r="I632" s="194" t="s">
        <v>1309</v>
      </c>
      <c r="J632" s="279" t="s">
        <v>150</v>
      </c>
      <c r="K632" s="192">
        <v>46021</v>
      </c>
      <c r="L632" s="193">
        <v>5.2</v>
      </c>
      <c r="M632" s="289" t="s">
        <v>1293</v>
      </c>
    </row>
    <row r="633" spans="1:13" hidden="1">
      <c r="A633" s="263"/>
      <c r="B633" s="194" t="s">
        <v>1290</v>
      </c>
      <c r="C633" s="188" t="s">
        <v>3385</v>
      </c>
      <c r="D633" s="195">
        <v>46021</v>
      </c>
      <c r="E633" s="210">
        <v>46021</v>
      </c>
      <c r="F633" s="268" t="s">
        <v>16</v>
      </c>
      <c r="G633" s="273">
        <v>6.6</v>
      </c>
      <c r="H633" s="190"/>
      <c r="I633" s="194" t="s">
        <v>1309</v>
      </c>
      <c r="J633" s="279" t="s">
        <v>150</v>
      </c>
      <c r="K633" s="192">
        <v>46021</v>
      </c>
      <c r="L633" s="193">
        <v>6.6</v>
      </c>
      <c r="M633" s="289" t="s">
        <v>1293</v>
      </c>
    </row>
    <row r="634" spans="1:13" hidden="1">
      <c r="A634" s="263"/>
      <c r="B634" s="194" t="s">
        <v>1290</v>
      </c>
      <c r="C634" s="188" t="s">
        <v>3386</v>
      </c>
      <c r="D634" s="195">
        <v>46021</v>
      </c>
      <c r="E634" s="189">
        <v>46021</v>
      </c>
      <c r="F634" s="257" t="s">
        <v>16</v>
      </c>
      <c r="G634" s="272">
        <v>11</v>
      </c>
      <c r="H634" s="190"/>
      <c r="I634" s="194" t="s">
        <v>1309</v>
      </c>
      <c r="J634" s="278" t="s">
        <v>150</v>
      </c>
      <c r="K634" s="192">
        <v>46021</v>
      </c>
      <c r="L634" s="193">
        <v>11</v>
      </c>
      <c r="M634" s="289" t="s">
        <v>1293</v>
      </c>
    </row>
    <row r="635" spans="1:13" hidden="1">
      <c r="A635" s="257"/>
      <c r="B635" s="194" t="s">
        <v>1290</v>
      </c>
      <c r="C635" s="188" t="s">
        <v>4176</v>
      </c>
      <c r="D635" s="195">
        <v>46052</v>
      </c>
      <c r="E635" s="195">
        <v>46052</v>
      </c>
      <c r="F635" s="257" t="s">
        <v>16</v>
      </c>
      <c r="G635" s="272">
        <v>2.2000000000000002</v>
      </c>
      <c r="H635" s="196"/>
      <c r="I635" s="194" t="s">
        <v>3336</v>
      </c>
      <c r="J635" s="278" t="s">
        <v>3309</v>
      </c>
      <c r="K635" s="193">
        <v>0.4</v>
      </c>
      <c r="L635" s="192">
        <v>46112</v>
      </c>
      <c r="M635" s="289"/>
    </row>
    <row r="636" spans="1:13" hidden="1">
      <c r="A636" s="263" t="s">
        <v>13</v>
      </c>
      <c r="B636" s="194" t="s">
        <v>2268</v>
      </c>
      <c r="C636" s="188" t="s">
        <v>1305</v>
      </c>
      <c r="D636" s="195">
        <v>45746</v>
      </c>
      <c r="E636" s="189"/>
      <c r="F636" s="257" t="s">
        <v>16</v>
      </c>
      <c r="G636" s="272">
        <v>2.2000000000000002</v>
      </c>
      <c r="H636" s="190" t="s">
        <v>1306</v>
      </c>
      <c r="I636" s="194" t="s">
        <v>1302</v>
      </c>
      <c r="J636" s="278" t="s">
        <v>154</v>
      </c>
      <c r="K636" s="192"/>
      <c r="L636" s="193"/>
      <c r="M636" s="289" t="s">
        <v>1293</v>
      </c>
    </row>
    <row r="637" spans="1:13" hidden="1">
      <c r="A637" s="263" t="s">
        <v>13</v>
      </c>
      <c r="B637" s="194" t="s">
        <v>2268</v>
      </c>
      <c r="C637" s="188">
        <v>108015281</v>
      </c>
      <c r="D637" s="195">
        <v>45807</v>
      </c>
      <c r="E637" s="189"/>
      <c r="F637" s="257" t="s">
        <v>16</v>
      </c>
      <c r="G637" s="272">
        <v>90.8</v>
      </c>
      <c r="H637" s="190" t="s">
        <v>1313</v>
      </c>
      <c r="I637" s="194" t="s">
        <v>565</v>
      </c>
      <c r="J637" s="278" t="s">
        <v>150</v>
      </c>
      <c r="K637" s="192"/>
      <c r="L637" s="193"/>
      <c r="M637" s="289" t="s">
        <v>1293</v>
      </c>
    </row>
    <row r="638" spans="1:13" hidden="1">
      <c r="A638" s="263" t="s">
        <v>13</v>
      </c>
      <c r="B638" s="194" t="s">
        <v>2268</v>
      </c>
      <c r="C638" s="188" t="s">
        <v>1318</v>
      </c>
      <c r="D638" s="195">
        <v>45868</v>
      </c>
      <c r="E638" s="189"/>
      <c r="F638" s="257" t="s">
        <v>16</v>
      </c>
      <c r="G638" s="272">
        <v>18.600000000000001</v>
      </c>
      <c r="H638" s="190" t="s">
        <v>1319</v>
      </c>
      <c r="I638" s="194" t="s">
        <v>1309</v>
      </c>
      <c r="J638" s="278" t="s">
        <v>150</v>
      </c>
      <c r="K638" s="192"/>
      <c r="L638" s="193"/>
      <c r="M638" s="289" t="s">
        <v>1293</v>
      </c>
    </row>
    <row r="639" spans="1:13" hidden="1">
      <c r="A639" s="263" t="s">
        <v>13</v>
      </c>
      <c r="B639" s="194" t="s">
        <v>2268</v>
      </c>
      <c r="C639" s="188" t="s">
        <v>1324</v>
      </c>
      <c r="D639" s="195">
        <v>45930</v>
      </c>
      <c r="E639" s="189"/>
      <c r="F639" s="257" t="s">
        <v>16</v>
      </c>
      <c r="G639" s="272">
        <v>2.2000000000000002</v>
      </c>
      <c r="H639" s="190" t="s">
        <v>1325</v>
      </c>
      <c r="I639" s="194" t="s">
        <v>1309</v>
      </c>
      <c r="J639" s="278" t="s">
        <v>150</v>
      </c>
      <c r="K639" s="192"/>
      <c r="L639" s="193"/>
      <c r="M639" s="289" t="s">
        <v>1293</v>
      </c>
    </row>
    <row r="640" spans="1:13" hidden="1">
      <c r="A640" s="263" t="s">
        <v>13</v>
      </c>
      <c r="B640" s="194" t="s">
        <v>2269</v>
      </c>
      <c r="C640" s="188" t="s">
        <v>1331</v>
      </c>
      <c r="D640" s="195">
        <v>45747</v>
      </c>
      <c r="E640" s="189"/>
      <c r="F640" s="257"/>
      <c r="G640" s="272">
        <v>57.2</v>
      </c>
      <c r="H640" s="190" t="s">
        <v>1332</v>
      </c>
      <c r="I640" s="194" t="s">
        <v>279</v>
      </c>
      <c r="J640" s="278" t="s">
        <v>56</v>
      </c>
      <c r="K640" s="192"/>
      <c r="L640" s="193"/>
      <c r="M640" s="289"/>
    </row>
    <row r="641" spans="1:13" hidden="1">
      <c r="A641" s="257"/>
      <c r="B641" s="194" t="s">
        <v>1330</v>
      </c>
      <c r="C641" s="188" t="s">
        <v>3751</v>
      </c>
      <c r="D641" s="195">
        <v>46022</v>
      </c>
      <c r="E641" s="195">
        <v>46053</v>
      </c>
      <c r="F641" s="257"/>
      <c r="G641" s="272">
        <v>41.6</v>
      </c>
      <c r="H641" s="196"/>
      <c r="I641" s="194" t="s">
        <v>3752</v>
      </c>
      <c r="J641" s="278" t="s">
        <v>3314</v>
      </c>
      <c r="K641" s="193">
        <v>0</v>
      </c>
      <c r="L641" s="192">
        <v>46053</v>
      </c>
      <c r="M641" s="289"/>
    </row>
    <row r="642" spans="1:13" hidden="1">
      <c r="A642" s="263" t="s">
        <v>13</v>
      </c>
      <c r="B642" s="194" t="s">
        <v>2270</v>
      </c>
      <c r="C642" s="188" t="s">
        <v>1339</v>
      </c>
      <c r="D642" s="195">
        <v>45684</v>
      </c>
      <c r="E642" s="189">
        <v>45726</v>
      </c>
      <c r="F642" s="257" t="s">
        <v>16</v>
      </c>
      <c r="G642" s="272">
        <v>13000</v>
      </c>
      <c r="H642" s="190" t="s">
        <v>1340</v>
      </c>
      <c r="I642" s="194" t="s">
        <v>55</v>
      </c>
      <c r="J642" s="278" t="s">
        <v>1341</v>
      </c>
      <c r="K642" s="192">
        <v>45945</v>
      </c>
      <c r="L642" s="193">
        <v>13000</v>
      </c>
      <c r="M642" s="289" t="s">
        <v>71</v>
      </c>
    </row>
    <row r="643" spans="1:13" hidden="1">
      <c r="A643" s="263" t="s">
        <v>13</v>
      </c>
      <c r="B643" s="194" t="s">
        <v>2270</v>
      </c>
      <c r="C643" s="188" t="s">
        <v>1339</v>
      </c>
      <c r="D643" s="195">
        <v>45684</v>
      </c>
      <c r="E643" s="189">
        <v>45726</v>
      </c>
      <c r="F643" s="257" t="s">
        <v>16</v>
      </c>
      <c r="G643" s="272">
        <v>13000</v>
      </c>
      <c r="H643" s="196" t="s">
        <v>55</v>
      </c>
      <c r="I643" s="194" t="s">
        <v>55</v>
      </c>
      <c r="J643" s="278" t="s">
        <v>1341</v>
      </c>
      <c r="K643" s="192">
        <v>45945</v>
      </c>
      <c r="L643" s="193">
        <v>13000</v>
      </c>
      <c r="M643" s="289" t="s">
        <v>71</v>
      </c>
    </row>
    <row r="644" spans="1:13" hidden="1">
      <c r="A644" s="257"/>
      <c r="B644" s="194" t="s">
        <v>2270</v>
      </c>
      <c r="C644" s="188" t="s">
        <v>1339</v>
      </c>
      <c r="D644" s="195">
        <v>45684</v>
      </c>
      <c r="E644" s="189">
        <v>45726</v>
      </c>
      <c r="F644" s="257"/>
      <c r="G644" s="272">
        <f>53090-13000-13000</f>
        <v>27090</v>
      </c>
      <c r="H644" s="190" t="s">
        <v>1340</v>
      </c>
      <c r="I644" s="194" t="s">
        <v>55</v>
      </c>
      <c r="J644" s="278" t="s">
        <v>1341</v>
      </c>
      <c r="K644" s="192"/>
      <c r="L644" s="193"/>
      <c r="M644" s="296" t="s">
        <v>2271</v>
      </c>
    </row>
    <row r="645" spans="1:13" hidden="1">
      <c r="A645" s="257"/>
      <c r="B645" s="194" t="s">
        <v>2270</v>
      </c>
      <c r="C645" s="188" t="s">
        <v>1339</v>
      </c>
      <c r="D645" s="195">
        <v>45684</v>
      </c>
      <c r="E645" s="189">
        <v>45757</v>
      </c>
      <c r="F645" s="257"/>
      <c r="G645" s="272">
        <v>53090</v>
      </c>
      <c r="H645" s="190" t="s">
        <v>1340</v>
      </c>
      <c r="I645" s="194" t="s">
        <v>55</v>
      </c>
      <c r="J645" s="278" t="s">
        <v>1341</v>
      </c>
      <c r="K645" s="192"/>
      <c r="L645" s="193"/>
      <c r="M645" s="289"/>
    </row>
    <row r="646" spans="1:13" hidden="1">
      <c r="A646" s="257"/>
      <c r="B646" s="194" t="s">
        <v>3755</v>
      </c>
      <c r="C646" s="188" t="s">
        <v>4172</v>
      </c>
      <c r="D646" s="195">
        <v>46055</v>
      </c>
      <c r="E646" s="195"/>
      <c r="F646" s="257" t="s">
        <v>16</v>
      </c>
      <c r="G646" s="272">
        <v>455</v>
      </c>
      <c r="H646" s="196"/>
      <c r="I646" s="194" t="s">
        <v>3340</v>
      </c>
      <c r="J646" s="278" t="s">
        <v>350</v>
      </c>
      <c r="K646" s="193">
        <v>41.36</v>
      </c>
      <c r="L646" s="192"/>
      <c r="M646" s="289"/>
    </row>
    <row r="647" spans="1:13" hidden="1">
      <c r="A647" s="263" t="s">
        <v>13</v>
      </c>
      <c r="B647" s="187" t="s">
        <v>2272</v>
      </c>
      <c r="C647" s="188" t="s">
        <v>1353</v>
      </c>
      <c r="D647" s="189">
        <v>45870</v>
      </c>
      <c r="E647" s="189"/>
      <c r="F647" s="257" t="s">
        <v>49</v>
      </c>
      <c r="G647" s="272">
        <v>689</v>
      </c>
      <c r="H647" s="208" t="s">
        <v>1354</v>
      </c>
      <c r="I647" s="187" t="s">
        <v>1355</v>
      </c>
      <c r="J647" s="278" t="s">
        <v>56</v>
      </c>
      <c r="K647" s="192"/>
      <c r="L647" s="193"/>
      <c r="M647" s="289"/>
    </row>
    <row r="648" spans="1:13" hidden="1">
      <c r="A648" s="263" t="s">
        <v>13</v>
      </c>
      <c r="B648" s="187" t="s">
        <v>2272</v>
      </c>
      <c r="C648" s="188" t="s">
        <v>1356</v>
      </c>
      <c r="D648" s="189">
        <v>45901</v>
      </c>
      <c r="E648" s="189"/>
      <c r="F648" s="257" t="s">
        <v>16</v>
      </c>
      <c r="G648" s="272">
        <v>416</v>
      </c>
      <c r="H648" s="208" t="s">
        <v>1357</v>
      </c>
      <c r="I648" s="187" t="s">
        <v>1355</v>
      </c>
      <c r="J648" s="278" t="s">
        <v>215</v>
      </c>
      <c r="K648" s="192"/>
      <c r="L648" s="193"/>
      <c r="M648" s="289"/>
    </row>
    <row r="649" spans="1:13" hidden="1">
      <c r="A649" s="263" t="s">
        <v>13</v>
      </c>
      <c r="B649" s="187" t="s">
        <v>2272</v>
      </c>
      <c r="C649" s="188" t="s">
        <v>1358</v>
      </c>
      <c r="D649" s="189">
        <v>45930</v>
      </c>
      <c r="E649" s="189"/>
      <c r="F649" s="257" t="s">
        <v>49</v>
      </c>
      <c r="G649" s="272">
        <v>1066</v>
      </c>
      <c r="H649" s="208" t="s">
        <v>1359</v>
      </c>
      <c r="I649" s="187" t="s">
        <v>1360</v>
      </c>
      <c r="J649" s="278" t="s">
        <v>215</v>
      </c>
      <c r="K649" s="192"/>
      <c r="L649" s="193"/>
      <c r="M649" s="289"/>
    </row>
    <row r="650" spans="1:13" hidden="1">
      <c r="A650" s="257" t="s">
        <v>13</v>
      </c>
      <c r="B650" s="187" t="s">
        <v>2272</v>
      </c>
      <c r="C650" s="188" t="s">
        <v>1365</v>
      </c>
      <c r="D650" s="195">
        <v>45994</v>
      </c>
      <c r="E650" s="189">
        <v>45994</v>
      </c>
      <c r="F650" s="257" t="s">
        <v>49</v>
      </c>
      <c r="G650" s="272">
        <v>520</v>
      </c>
      <c r="H650" s="196"/>
      <c r="I650" s="194" t="s">
        <v>1363</v>
      </c>
      <c r="J650" s="278" t="s">
        <v>215</v>
      </c>
      <c r="K650" s="192"/>
      <c r="L650" s="193">
        <v>520</v>
      </c>
      <c r="M650" s="289" t="s">
        <v>1364</v>
      </c>
    </row>
    <row r="651" spans="1:13" hidden="1">
      <c r="A651" s="257" t="s">
        <v>13</v>
      </c>
      <c r="B651" s="187" t="s">
        <v>2272</v>
      </c>
      <c r="C651" s="188" t="s">
        <v>1361</v>
      </c>
      <c r="D651" s="195">
        <v>45965</v>
      </c>
      <c r="E651" s="189">
        <v>45965</v>
      </c>
      <c r="F651" s="257" t="s">
        <v>49</v>
      </c>
      <c r="G651" s="272">
        <v>611</v>
      </c>
      <c r="H651" s="196"/>
      <c r="I651" s="194" t="s">
        <v>1363</v>
      </c>
      <c r="J651" s="278" t="s">
        <v>215</v>
      </c>
      <c r="K651" s="192"/>
      <c r="L651" s="193">
        <v>611</v>
      </c>
      <c r="M651" s="289" t="s">
        <v>1364</v>
      </c>
    </row>
    <row r="652" spans="1:13" hidden="1">
      <c r="A652" s="257"/>
      <c r="B652" s="187" t="s">
        <v>2272</v>
      </c>
      <c r="C652" s="188" t="s">
        <v>3387</v>
      </c>
      <c r="D652" s="195">
        <v>46022</v>
      </c>
      <c r="E652" s="189"/>
      <c r="F652" s="257" t="s">
        <v>16</v>
      </c>
      <c r="G652" s="272">
        <v>351</v>
      </c>
      <c r="H652" s="196"/>
      <c r="I652" s="194" t="s">
        <v>1363</v>
      </c>
      <c r="J652" s="278" t="s">
        <v>215</v>
      </c>
      <c r="K652" s="192"/>
      <c r="L652" s="193">
        <v>351</v>
      </c>
      <c r="M652" s="289" t="s">
        <v>1364</v>
      </c>
    </row>
    <row r="653" spans="1:13" hidden="1">
      <c r="A653" s="260" t="s">
        <v>2274</v>
      </c>
      <c r="B653" s="187" t="s">
        <v>2275</v>
      </c>
      <c r="C653" s="188" t="s">
        <v>2276</v>
      </c>
      <c r="D653" s="189">
        <v>45951</v>
      </c>
      <c r="E653" s="189">
        <v>45951</v>
      </c>
      <c r="F653" s="257" t="s">
        <v>49</v>
      </c>
      <c r="G653" s="272">
        <v>4200</v>
      </c>
      <c r="H653" s="208"/>
      <c r="I653" s="187" t="s">
        <v>1348</v>
      </c>
      <c r="J653" s="278" t="s">
        <v>83</v>
      </c>
      <c r="K653" s="192">
        <v>45957</v>
      </c>
      <c r="L653" s="193">
        <v>4200</v>
      </c>
      <c r="M653" s="289" t="s">
        <v>246</v>
      </c>
    </row>
    <row r="654" spans="1:13" hidden="1">
      <c r="A654" s="257" t="s">
        <v>13</v>
      </c>
      <c r="B654" s="187" t="s">
        <v>2275</v>
      </c>
      <c r="C654" s="188" t="s">
        <v>1347</v>
      </c>
      <c r="D654" s="189">
        <v>45972</v>
      </c>
      <c r="E654" s="189">
        <v>45972</v>
      </c>
      <c r="F654" s="257" t="s">
        <v>49</v>
      </c>
      <c r="G654" s="272">
        <v>4200</v>
      </c>
      <c r="H654" s="190"/>
      <c r="I654" s="187" t="s">
        <v>1348</v>
      </c>
      <c r="J654" s="278" t="s">
        <v>83</v>
      </c>
      <c r="K654" s="192">
        <v>45957</v>
      </c>
      <c r="L654" s="193">
        <v>4200</v>
      </c>
      <c r="M654" s="289" t="s">
        <v>246</v>
      </c>
    </row>
    <row r="655" spans="1:13" hidden="1">
      <c r="A655" s="257" t="s">
        <v>1349</v>
      </c>
      <c r="B655" s="187" t="s">
        <v>2275</v>
      </c>
      <c r="C655" s="188" t="s">
        <v>1350</v>
      </c>
      <c r="D655" s="189">
        <v>45972</v>
      </c>
      <c r="E655" s="189">
        <v>45972</v>
      </c>
      <c r="F655" s="257" t="s">
        <v>49</v>
      </c>
      <c r="G655" s="272">
        <v>410</v>
      </c>
      <c r="H655" s="190"/>
      <c r="I655" s="187" t="s">
        <v>1351</v>
      </c>
      <c r="J655" s="278" t="s">
        <v>83</v>
      </c>
      <c r="K655" s="192"/>
      <c r="L655" s="193"/>
      <c r="M655" s="289"/>
    </row>
    <row r="656" spans="1:13" hidden="1">
      <c r="A656" s="260" t="s">
        <v>13</v>
      </c>
      <c r="B656" s="187" t="s">
        <v>2277</v>
      </c>
      <c r="C656" s="188" t="s">
        <v>893</v>
      </c>
      <c r="D656" s="189">
        <v>45950</v>
      </c>
      <c r="E656" s="189">
        <v>45950</v>
      </c>
      <c r="F656" s="257" t="s">
        <v>16</v>
      </c>
      <c r="G656" s="272">
        <v>2850</v>
      </c>
      <c r="H656" s="208"/>
      <c r="I656" s="187" t="s">
        <v>1367</v>
      </c>
      <c r="J656" s="278" t="s">
        <v>1368</v>
      </c>
      <c r="K656" s="192">
        <v>45953</v>
      </c>
      <c r="L656" s="193">
        <v>2850</v>
      </c>
      <c r="M656" s="289" t="s">
        <v>70</v>
      </c>
    </row>
    <row r="657" spans="1:13" hidden="1">
      <c r="A657" s="260" t="s">
        <v>13</v>
      </c>
      <c r="B657" s="187" t="s">
        <v>2278</v>
      </c>
      <c r="C657" s="188" t="s">
        <v>893</v>
      </c>
      <c r="D657" s="189">
        <v>45950</v>
      </c>
      <c r="E657" s="189">
        <v>45950</v>
      </c>
      <c r="F657" s="257" t="s">
        <v>16</v>
      </c>
      <c r="G657" s="272">
        <v>2850</v>
      </c>
      <c r="H657" s="208"/>
      <c r="I657" s="187" t="s">
        <v>1367</v>
      </c>
      <c r="J657" s="278" t="s">
        <v>1368</v>
      </c>
      <c r="K657" s="192">
        <v>45953</v>
      </c>
      <c r="L657" s="193">
        <v>2850</v>
      </c>
      <c r="M657" s="289" t="s">
        <v>70</v>
      </c>
    </row>
    <row r="658" spans="1:13" hidden="1">
      <c r="A658" s="257"/>
      <c r="B658" s="194" t="s">
        <v>1372</v>
      </c>
      <c r="C658" s="188" t="s">
        <v>1373</v>
      </c>
      <c r="D658" s="195" t="s">
        <v>1374</v>
      </c>
      <c r="E658" s="189" t="s">
        <v>1374</v>
      </c>
      <c r="F658" s="257" t="s">
        <v>16</v>
      </c>
      <c r="G658" s="272">
        <v>284.89999999999998</v>
      </c>
      <c r="H658" s="190"/>
      <c r="I658" s="194" t="s">
        <v>1375</v>
      </c>
      <c r="J658" s="278" t="s">
        <v>75</v>
      </c>
      <c r="K658" s="192">
        <v>45950</v>
      </c>
      <c r="L658" s="193">
        <v>284.89999999999998</v>
      </c>
      <c r="M658" s="289" t="s">
        <v>19</v>
      </c>
    </row>
    <row r="659" spans="1:13" hidden="1">
      <c r="A659" s="257"/>
      <c r="B659" s="194" t="s">
        <v>1372</v>
      </c>
      <c r="C659" s="188" t="s">
        <v>1376</v>
      </c>
      <c r="D659" s="195" t="s">
        <v>1377</v>
      </c>
      <c r="E659" s="189" t="s">
        <v>1377</v>
      </c>
      <c r="F659" s="257" t="s">
        <v>16</v>
      </c>
      <c r="G659" s="272">
        <v>284.89</v>
      </c>
      <c r="H659" s="190"/>
      <c r="I659" s="194" t="s">
        <v>1375</v>
      </c>
      <c r="J659" s="278" t="s">
        <v>75</v>
      </c>
      <c r="K659" s="192">
        <v>45950</v>
      </c>
      <c r="L659" s="193">
        <v>284.89999999999998</v>
      </c>
      <c r="M659" s="289" t="s">
        <v>19</v>
      </c>
    </row>
    <row r="660" spans="1:13" hidden="1">
      <c r="A660" s="263" t="s">
        <v>13</v>
      </c>
      <c r="B660" s="194" t="s">
        <v>2280</v>
      </c>
      <c r="C660" s="188" t="s">
        <v>1379</v>
      </c>
      <c r="D660" s="195">
        <v>45714</v>
      </c>
      <c r="E660" s="189"/>
      <c r="F660" s="257" t="s">
        <v>49</v>
      </c>
      <c r="G660" s="272">
        <v>47.64</v>
      </c>
      <c r="H660" s="208" t="s">
        <v>1380</v>
      </c>
      <c r="I660" s="194" t="s">
        <v>279</v>
      </c>
      <c r="J660" s="278" t="s">
        <v>597</v>
      </c>
      <c r="K660" s="192">
        <v>45817</v>
      </c>
      <c r="L660" s="193">
        <v>2216.0500000000002</v>
      </c>
      <c r="M660" s="289"/>
    </row>
    <row r="661" spans="1:13" hidden="1">
      <c r="A661" s="263"/>
      <c r="B661" s="194" t="s">
        <v>2281</v>
      </c>
      <c r="C661" s="188" t="s">
        <v>1370</v>
      </c>
      <c r="D661" s="195">
        <v>44000</v>
      </c>
      <c r="E661" s="189"/>
      <c r="F661" s="257" t="s">
        <v>16</v>
      </c>
      <c r="G661" s="272">
        <v>250</v>
      </c>
      <c r="H661" s="208" t="s">
        <v>2282</v>
      </c>
      <c r="I661" s="194" t="s">
        <v>1371</v>
      </c>
      <c r="J661" s="278" t="s">
        <v>185</v>
      </c>
      <c r="K661" s="192"/>
      <c r="L661" s="193"/>
      <c r="M661" s="289"/>
    </row>
    <row r="662" spans="1:13" hidden="1">
      <c r="A662" s="263" t="s">
        <v>13</v>
      </c>
      <c r="B662" s="194" t="s">
        <v>2283</v>
      </c>
      <c r="C662" s="188" t="s">
        <v>1382</v>
      </c>
      <c r="D662" s="195">
        <v>45716</v>
      </c>
      <c r="E662" s="189"/>
      <c r="F662" s="257" t="s">
        <v>16</v>
      </c>
      <c r="G662" s="272">
        <v>2216.0500000000002</v>
      </c>
      <c r="H662" s="208" t="s">
        <v>1383</v>
      </c>
      <c r="I662" s="194" t="s">
        <v>1384</v>
      </c>
      <c r="J662" s="278" t="s">
        <v>125</v>
      </c>
      <c r="K662" s="192">
        <v>45853</v>
      </c>
      <c r="L662" s="193"/>
      <c r="M662" s="289" t="s">
        <v>345</v>
      </c>
    </row>
    <row r="663" spans="1:13" hidden="1">
      <c r="A663" s="263" t="s">
        <v>13</v>
      </c>
      <c r="B663" s="194" t="s">
        <v>2283</v>
      </c>
      <c r="C663" s="188" t="s">
        <v>1382</v>
      </c>
      <c r="D663" s="195">
        <v>45716</v>
      </c>
      <c r="E663" s="189"/>
      <c r="F663" s="257" t="s">
        <v>16</v>
      </c>
      <c r="G663" s="272">
        <v>2216.04</v>
      </c>
      <c r="H663" s="208" t="s">
        <v>1383</v>
      </c>
      <c r="I663" s="194" t="s">
        <v>1384</v>
      </c>
      <c r="J663" s="278" t="s">
        <v>125</v>
      </c>
      <c r="K663" s="192">
        <v>45817</v>
      </c>
      <c r="L663" s="193"/>
      <c r="M663" s="289" t="s">
        <v>111</v>
      </c>
    </row>
    <row r="664" spans="1:13" hidden="1">
      <c r="A664" s="263" t="s">
        <v>13</v>
      </c>
      <c r="B664" s="194" t="s">
        <v>2284</v>
      </c>
      <c r="C664" s="188" t="s">
        <v>1386</v>
      </c>
      <c r="D664" s="195">
        <v>45729</v>
      </c>
      <c r="E664" s="189"/>
      <c r="F664" s="257" t="s">
        <v>16</v>
      </c>
      <c r="G664" s="272">
        <v>28.94</v>
      </c>
      <c r="H664" s="208" t="s">
        <v>1387</v>
      </c>
      <c r="I664" s="194"/>
      <c r="J664" s="278" t="s">
        <v>794</v>
      </c>
      <c r="K664" s="192"/>
      <c r="L664" s="193"/>
      <c r="M664" s="289"/>
    </row>
    <row r="665" spans="1:13" hidden="1">
      <c r="A665" s="263" t="s">
        <v>13</v>
      </c>
      <c r="B665" s="194" t="s">
        <v>2285</v>
      </c>
      <c r="C665" s="188">
        <v>679</v>
      </c>
      <c r="D665" s="195">
        <v>45671</v>
      </c>
      <c r="E665" s="189">
        <v>45716</v>
      </c>
      <c r="F665" s="257" t="s">
        <v>16</v>
      </c>
      <c r="G665" s="272">
        <v>597.79999999999995</v>
      </c>
      <c r="H665" s="190" t="s">
        <v>1390</v>
      </c>
      <c r="I665" s="194" t="s">
        <v>1093</v>
      </c>
      <c r="J665" s="278" t="s">
        <v>110</v>
      </c>
      <c r="K665" s="192"/>
      <c r="L665" s="193"/>
      <c r="M665" s="289"/>
    </row>
    <row r="666" spans="1:13" hidden="1">
      <c r="A666" s="257"/>
      <c r="B666" s="194" t="s">
        <v>2285</v>
      </c>
      <c r="C666" s="188">
        <v>11223</v>
      </c>
      <c r="D666" s="195">
        <v>45828</v>
      </c>
      <c r="E666" s="189"/>
      <c r="F666" s="257" t="s">
        <v>16</v>
      </c>
      <c r="G666" s="272">
        <v>219.6</v>
      </c>
      <c r="H666" s="190" t="s">
        <v>1392</v>
      </c>
      <c r="I666" s="194" t="s">
        <v>279</v>
      </c>
      <c r="J666" s="278" t="s">
        <v>66</v>
      </c>
      <c r="K666" s="192">
        <v>45981</v>
      </c>
      <c r="L666" s="193"/>
      <c r="M666" s="289"/>
    </row>
    <row r="667" spans="1:13" hidden="1">
      <c r="A667" s="263" t="s">
        <v>13</v>
      </c>
      <c r="B667" s="194" t="s">
        <v>2286</v>
      </c>
      <c r="C667" s="188" t="s">
        <v>1394</v>
      </c>
      <c r="D667" s="195">
        <v>45761</v>
      </c>
      <c r="E667" s="189">
        <v>45808</v>
      </c>
      <c r="F667" s="257" t="s">
        <v>16</v>
      </c>
      <c r="G667" s="272">
        <v>1378.6</v>
      </c>
      <c r="H667" s="190" t="s">
        <v>1395</v>
      </c>
      <c r="I667" s="194" t="s">
        <v>312</v>
      </c>
      <c r="J667" s="278" t="s">
        <v>66</v>
      </c>
      <c r="K667" s="192">
        <v>45854</v>
      </c>
      <c r="L667" s="193">
        <v>1378.6</v>
      </c>
      <c r="M667" s="289" t="s">
        <v>345</v>
      </c>
    </row>
    <row r="668" spans="1:13" hidden="1">
      <c r="A668" s="263" t="s">
        <v>13</v>
      </c>
      <c r="B668" s="194" t="s">
        <v>2287</v>
      </c>
      <c r="C668" s="188">
        <v>225</v>
      </c>
      <c r="D668" s="195">
        <v>45857</v>
      </c>
      <c r="E668" s="189">
        <v>45900</v>
      </c>
      <c r="F668" s="257" t="s">
        <v>16</v>
      </c>
      <c r="G668" s="272">
        <v>329.4</v>
      </c>
      <c r="H668" s="190" t="s">
        <v>1398</v>
      </c>
      <c r="I668" s="194" t="s">
        <v>1399</v>
      </c>
      <c r="J668" s="278" t="s">
        <v>491</v>
      </c>
      <c r="K668" s="192"/>
      <c r="L668" s="193"/>
      <c r="M668" s="289"/>
    </row>
    <row r="669" spans="1:13" hidden="1">
      <c r="A669" s="263" t="s">
        <v>13</v>
      </c>
      <c r="B669" s="194" t="s">
        <v>2288</v>
      </c>
      <c r="C669" s="188">
        <v>125000068</v>
      </c>
      <c r="D669" s="195">
        <v>45819</v>
      </c>
      <c r="E669" s="189"/>
      <c r="F669" s="257" t="s">
        <v>16</v>
      </c>
      <c r="G669" s="272">
        <v>120.5</v>
      </c>
      <c r="H669" s="190" t="s">
        <v>1402</v>
      </c>
      <c r="I669" s="194" t="s">
        <v>457</v>
      </c>
      <c r="J669" s="278"/>
      <c r="K669" s="192"/>
      <c r="L669" s="193"/>
      <c r="M669" s="291" t="s">
        <v>1403</v>
      </c>
    </row>
    <row r="670" spans="1:13" hidden="1">
      <c r="A670" s="257"/>
      <c r="B670" s="194" t="s">
        <v>2289</v>
      </c>
      <c r="C670" s="188" t="s">
        <v>1405</v>
      </c>
      <c r="D670" s="195">
        <v>45322</v>
      </c>
      <c r="E670" s="189">
        <v>45422</v>
      </c>
      <c r="F670" s="257"/>
      <c r="G670" s="272">
        <v>13200</v>
      </c>
      <c r="H670" s="208" t="s">
        <v>1406</v>
      </c>
      <c r="I670" s="194" t="s">
        <v>1407</v>
      </c>
      <c r="J670" s="278" t="s">
        <v>1408</v>
      </c>
      <c r="K670" s="198">
        <v>45728</v>
      </c>
      <c r="L670" s="193" t="e">
        <f>$H$545+$H$547+$H$548+$H$549+$H$550+$H$551+$H$553+$H$554</f>
        <v>#VALUE!</v>
      </c>
      <c r="M670" s="295"/>
    </row>
    <row r="671" spans="1:13" hidden="1">
      <c r="A671" s="263" t="s">
        <v>13</v>
      </c>
      <c r="B671" s="194" t="s">
        <v>2289</v>
      </c>
      <c r="C671" s="188" t="s">
        <v>1405</v>
      </c>
      <c r="D671" s="195">
        <v>45322</v>
      </c>
      <c r="E671" s="189">
        <v>45422</v>
      </c>
      <c r="F671" s="257" t="s">
        <v>16</v>
      </c>
      <c r="G671" s="272">
        <f>22560-G670</f>
        <v>9360</v>
      </c>
      <c r="H671" s="208" t="s">
        <v>1406</v>
      </c>
      <c r="I671" s="194" t="s">
        <v>1407</v>
      </c>
      <c r="J671" s="278" t="s">
        <v>56</v>
      </c>
      <c r="K671" s="192"/>
      <c r="L671" s="193"/>
      <c r="M671" s="289"/>
    </row>
    <row r="672" spans="1:13" hidden="1">
      <c r="A672" s="257"/>
      <c r="B672" s="194" t="s">
        <v>2289</v>
      </c>
      <c r="C672" s="188" t="s">
        <v>1405</v>
      </c>
      <c r="D672" s="195">
        <v>45322</v>
      </c>
      <c r="E672" s="189">
        <v>45422</v>
      </c>
      <c r="F672" s="257"/>
      <c r="G672" s="272">
        <v>9928.5</v>
      </c>
      <c r="H672" s="208" t="s">
        <v>1406</v>
      </c>
      <c r="I672" s="194" t="s">
        <v>1407</v>
      </c>
      <c r="J672" s="278" t="s">
        <v>56</v>
      </c>
      <c r="K672" s="198">
        <v>45728</v>
      </c>
      <c r="L672" s="193" t="e">
        <f t="shared" ref="L672:L679" si="0">$H$545+$H$547+$H$548+$H$549+$H$550+$H$551+$H$553+$H$554</f>
        <v>#VALUE!</v>
      </c>
      <c r="M672" s="289"/>
    </row>
    <row r="673" spans="1:14" hidden="1">
      <c r="A673" s="263" t="s">
        <v>13</v>
      </c>
      <c r="B673" s="194" t="s">
        <v>2289</v>
      </c>
      <c r="C673" s="188" t="s">
        <v>1409</v>
      </c>
      <c r="D673" s="195">
        <v>45412</v>
      </c>
      <c r="E673" s="189">
        <v>45514</v>
      </c>
      <c r="F673" s="257" t="s">
        <v>16</v>
      </c>
      <c r="G673" s="272">
        <v>27.95</v>
      </c>
      <c r="H673" s="208" t="s">
        <v>1410</v>
      </c>
      <c r="I673" s="194" t="s">
        <v>1411</v>
      </c>
      <c r="J673" s="278" t="s">
        <v>56</v>
      </c>
      <c r="K673" s="198">
        <v>45728</v>
      </c>
      <c r="L673" s="193" t="e">
        <f t="shared" si="0"/>
        <v>#VALUE!</v>
      </c>
      <c r="M673" s="289"/>
    </row>
    <row r="674" spans="1:14" hidden="1">
      <c r="A674" s="265" t="s">
        <v>13</v>
      </c>
      <c r="B674" s="194" t="s">
        <v>2289</v>
      </c>
      <c r="C674" s="209">
        <v>303</v>
      </c>
      <c r="D674" s="195">
        <v>45443</v>
      </c>
      <c r="E674" s="210">
        <v>45545</v>
      </c>
      <c r="F674" s="268" t="s">
        <v>16</v>
      </c>
      <c r="G674" s="273">
        <v>591.91999999999996</v>
      </c>
      <c r="H674" s="200" t="s">
        <v>1413</v>
      </c>
      <c r="I674" s="194" t="s">
        <v>1414</v>
      </c>
      <c r="J674" s="279" t="s">
        <v>56</v>
      </c>
      <c r="K674" s="198">
        <v>45728</v>
      </c>
      <c r="L674" s="193" t="e">
        <f t="shared" si="0"/>
        <v>#VALUE!</v>
      </c>
      <c r="M674" s="289"/>
    </row>
    <row r="675" spans="1:14" hidden="1">
      <c r="A675" s="263" t="s">
        <v>13</v>
      </c>
      <c r="B675" s="194" t="s">
        <v>2289</v>
      </c>
      <c r="C675" s="188">
        <v>417</v>
      </c>
      <c r="D675" s="195">
        <v>45504</v>
      </c>
      <c r="E675" s="189">
        <v>45575</v>
      </c>
      <c r="F675" s="257" t="s">
        <v>16</v>
      </c>
      <c r="G675" s="272">
        <v>842.53</v>
      </c>
      <c r="H675" s="200" t="s">
        <v>1416</v>
      </c>
      <c r="I675" s="194" t="s">
        <v>484</v>
      </c>
      <c r="J675" s="278" t="s">
        <v>56</v>
      </c>
      <c r="K675" s="198">
        <v>45728</v>
      </c>
      <c r="L675" s="193" t="e">
        <f t="shared" si="0"/>
        <v>#VALUE!</v>
      </c>
      <c r="M675" s="289"/>
    </row>
    <row r="676" spans="1:14" hidden="1">
      <c r="A676" s="263" t="s">
        <v>13</v>
      </c>
      <c r="B676" s="194" t="s">
        <v>2289</v>
      </c>
      <c r="C676" s="188" t="s">
        <v>1417</v>
      </c>
      <c r="D676" s="195">
        <v>45535</v>
      </c>
      <c r="E676" s="189">
        <v>45606</v>
      </c>
      <c r="F676" s="257" t="s">
        <v>16</v>
      </c>
      <c r="G676" s="272">
        <v>1294.52</v>
      </c>
      <c r="H676" s="200" t="s">
        <v>1418</v>
      </c>
      <c r="I676" s="194" t="s">
        <v>342</v>
      </c>
      <c r="J676" s="278" t="s">
        <v>56</v>
      </c>
      <c r="K676" s="198">
        <v>45728</v>
      </c>
      <c r="L676" s="193" t="e">
        <f t="shared" si="0"/>
        <v>#VALUE!</v>
      </c>
      <c r="M676" s="289"/>
      <c r="N676" s="11"/>
    </row>
    <row r="677" spans="1:14" hidden="1">
      <c r="A677" s="263" t="s">
        <v>13</v>
      </c>
      <c r="B677" s="194" t="s">
        <v>2289</v>
      </c>
      <c r="C677" s="188" t="s">
        <v>1419</v>
      </c>
      <c r="D677" s="195">
        <v>45565</v>
      </c>
      <c r="E677" s="189">
        <v>45667</v>
      </c>
      <c r="F677" s="257" t="s">
        <v>16</v>
      </c>
      <c r="G677" s="272">
        <v>280.5</v>
      </c>
      <c r="H677" s="200" t="s">
        <v>1420</v>
      </c>
      <c r="I677" s="194" t="s">
        <v>840</v>
      </c>
      <c r="J677" s="278" t="s">
        <v>597</v>
      </c>
      <c r="K677" s="198">
        <v>45728</v>
      </c>
      <c r="L677" s="193" t="e">
        <f t="shared" si="0"/>
        <v>#VALUE!</v>
      </c>
      <c r="M677" s="289"/>
      <c r="N677" s="11"/>
    </row>
    <row r="678" spans="1:14" hidden="1">
      <c r="A678" s="263" t="s">
        <v>13</v>
      </c>
      <c r="B678" s="194" t="s">
        <v>2289</v>
      </c>
      <c r="C678" s="188" t="s">
        <v>1421</v>
      </c>
      <c r="D678" s="195">
        <v>45626</v>
      </c>
      <c r="E678" s="189">
        <v>45726</v>
      </c>
      <c r="F678" s="257" t="s">
        <v>16</v>
      </c>
      <c r="G678" s="272">
        <v>567.80999999999995</v>
      </c>
      <c r="H678" s="200" t="s">
        <v>1422</v>
      </c>
      <c r="I678" s="194" t="s">
        <v>342</v>
      </c>
      <c r="J678" s="278" t="s">
        <v>56</v>
      </c>
      <c r="K678" s="198">
        <v>45728</v>
      </c>
      <c r="L678" s="193" t="e">
        <f t="shared" si="0"/>
        <v>#VALUE!</v>
      </c>
      <c r="M678" s="289"/>
      <c r="N678" s="11"/>
    </row>
    <row r="679" spans="1:14" hidden="1">
      <c r="A679" s="263" t="s">
        <v>13</v>
      </c>
      <c r="B679" s="194" t="s">
        <v>2289</v>
      </c>
      <c r="C679" s="188" t="s">
        <v>1423</v>
      </c>
      <c r="D679" s="195">
        <v>45656</v>
      </c>
      <c r="E679" s="189">
        <v>45656</v>
      </c>
      <c r="F679" s="257" t="s">
        <v>16</v>
      </c>
      <c r="G679" s="272">
        <v>20.67</v>
      </c>
      <c r="H679" s="200" t="s">
        <v>1424</v>
      </c>
      <c r="I679" s="194" t="s">
        <v>592</v>
      </c>
      <c r="J679" s="278" t="s">
        <v>56</v>
      </c>
      <c r="K679" s="198"/>
      <c r="L679" s="193" t="e">
        <f t="shared" si="0"/>
        <v>#VALUE!</v>
      </c>
      <c r="M679" s="289"/>
    </row>
    <row r="680" spans="1:14" hidden="1">
      <c r="A680" s="257"/>
      <c r="B680" s="194" t="s">
        <v>2289</v>
      </c>
      <c r="C680" s="188" t="s">
        <v>641</v>
      </c>
      <c r="D680" s="195">
        <v>45747</v>
      </c>
      <c r="E680" s="189">
        <v>45747</v>
      </c>
      <c r="F680" s="257"/>
      <c r="G680" s="272">
        <v>3159.26</v>
      </c>
      <c r="H680" s="200" t="s">
        <v>1425</v>
      </c>
      <c r="I680" s="194" t="s">
        <v>655</v>
      </c>
      <c r="J680" s="278" t="s">
        <v>56</v>
      </c>
      <c r="K680" s="198"/>
      <c r="L680" s="193"/>
      <c r="M680" s="289"/>
    </row>
    <row r="681" spans="1:14" hidden="1">
      <c r="A681" s="257"/>
      <c r="B681" s="194" t="s">
        <v>2289</v>
      </c>
      <c r="C681" s="188" t="s">
        <v>1426</v>
      </c>
      <c r="D681" s="195">
        <v>45777</v>
      </c>
      <c r="E681" s="189">
        <v>45879</v>
      </c>
      <c r="F681" s="257"/>
      <c r="G681" s="272">
        <v>4452.29</v>
      </c>
      <c r="H681" s="200" t="s">
        <v>1427</v>
      </c>
      <c r="I681" s="194"/>
      <c r="J681" s="278" t="s">
        <v>56</v>
      </c>
      <c r="K681" s="198"/>
      <c r="L681" s="193"/>
      <c r="M681" s="289"/>
      <c r="N681" s="11"/>
    </row>
    <row r="682" spans="1:14" hidden="1">
      <c r="A682" s="257"/>
      <c r="B682" s="194" t="s">
        <v>2289</v>
      </c>
      <c r="C682" s="188" t="s">
        <v>1428</v>
      </c>
      <c r="D682" s="195">
        <v>45807</v>
      </c>
      <c r="E682" s="189">
        <v>45910</v>
      </c>
      <c r="F682" s="257"/>
      <c r="G682" s="272">
        <v>51.92</v>
      </c>
      <c r="H682" s="200" t="s">
        <v>1429</v>
      </c>
      <c r="I682" s="194" t="s">
        <v>588</v>
      </c>
      <c r="J682" s="278" t="s">
        <v>56</v>
      </c>
      <c r="K682" s="198"/>
      <c r="L682" s="193"/>
      <c r="M682" s="289"/>
    </row>
    <row r="683" spans="1:14" hidden="1">
      <c r="A683" s="257"/>
      <c r="B683" s="194" t="s">
        <v>2289</v>
      </c>
      <c r="C683" s="188" t="s">
        <v>1430</v>
      </c>
      <c r="D683" s="195">
        <v>45838</v>
      </c>
      <c r="E683" s="189">
        <v>45940</v>
      </c>
      <c r="F683" s="257"/>
      <c r="G683" s="272">
        <v>364.54</v>
      </c>
      <c r="H683" s="200" t="s">
        <v>1431</v>
      </c>
      <c r="I683" s="194" t="s">
        <v>1432</v>
      </c>
      <c r="J683" s="278" t="s">
        <v>66</v>
      </c>
      <c r="K683" s="198"/>
      <c r="L683" s="193"/>
      <c r="M683" s="289"/>
    </row>
    <row r="684" spans="1:14" hidden="1">
      <c r="A684" s="257"/>
      <c r="B684" s="194" t="s">
        <v>2289</v>
      </c>
      <c r="C684" s="188" t="s">
        <v>1433</v>
      </c>
      <c r="D684" s="195">
        <v>45838</v>
      </c>
      <c r="E684" s="189">
        <v>45940</v>
      </c>
      <c r="F684" s="257"/>
      <c r="G684" s="272">
        <v>36.6</v>
      </c>
      <c r="H684" s="200" t="s">
        <v>1434</v>
      </c>
      <c r="I684" s="194"/>
      <c r="J684" s="278" t="s">
        <v>66</v>
      </c>
      <c r="K684" s="198"/>
      <c r="L684" s="193"/>
      <c r="M684" s="289"/>
    </row>
    <row r="685" spans="1:14" hidden="1">
      <c r="A685" s="263" t="s">
        <v>13</v>
      </c>
      <c r="B685" s="194" t="s">
        <v>2290</v>
      </c>
      <c r="C685" s="188" t="s">
        <v>1436</v>
      </c>
      <c r="D685" s="195">
        <v>45742</v>
      </c>
      <c r="E685" s="189"/>
      <c r="F685" s="257" t="s">
        <v>16</v>
      </c>
      <c r="G685" s="272">
        <v>87.23</v>
      </c>
      <c r="H685" s="200" t="s">
        <v>1437</v>
      </c>
      <c r="I685" s="194" t="s">
        <v>1093</v>
      </c>
      <c r="J685" s="278"/>
      <c r="K685" s="192"/>
      <c r="L685" s="193"/>
      <c r="M685" s="289"/>
    </row>
    <row r="686" spans="1:14" hidden="1">
      <c r="A686" s="263" t="s">
        <v>13</v>
      </c>
      <c r="B686" s="194" t="s">
        <v>2291</v>
      </c>
      <c r="C686" s="188" t="s">
        <v>1439</v>
      </c>
      <c r="D686" s="195">
        <v>45701</v>
      </c>
      <c r="E686" s="189">
        <v>45713</v>
      </c>
      <c r="F686" s="257" t="s">
        <v>16</v>
      </c>
      <c r="G686" s="272">
        <v>154.22</v>
      </c>
      <c r="H686" s="190" t="s">
        <v>1440</v>
      </c>
      <c r="I686" s="194" t="s">
        <v>1348</v>
      </c>
      <c r="J686" s="278" t="s">
        <v>150</v>
      </c>
      <c r="K686" s="192"/>
      <c r="L686" s="193"/>
      <c r="M686" s="289"/>
    </row>
    <row r="687" spans="1:14" hidden="1">
      <c r="A687" s="263" t="s">
        <v>13</v>
      </c>
      <c r="B687" s="194" t="s">
        <v>2291</v>
      </c>
      <c r="C687" s="188" t="s">
        <v>1441</v>
      </c>
      <c r="D687" s="195">
        <v>45734</v>
      </c>
      <c r="E687" s="189"/>
      <c r="F687" s="257" t="s">
        <v>16</v>
      </c>
      <c r="G687" s="272">
        <v>154.22</v>
      </c>
      <c r="H687" s="190" t="s">
        <v>1442</v>
      </c>
      <c r="I687" s="194" t="s">
        <v>1443</v>
      </c>
      <c r="J687" s="278" t="s">
        <v>150</v>
      </c>
      <c r="K687" s="192"/>
      <c r="L687" s="193"/>
      <c r="M687" s="289"/>
    </row>
    <row r="688" spans="1:14" hidden="1">
      <c r="A688" s="263" t="s">
        <v>13</v>
      </c>
      <c r="B688" s="194" t="s">
        <v>2292</v>
      </c>
      <c r="C688" s="188" t="s">
        <v>335</v>
      </c>
      <c r="D688" s="195">
        <v>45797</v>
      </c>
      <c r="E688" s="189"/>
      <c r="F688" s="257" t="s">
        <v>16</v>
      </c>
      <c r="G688" s="272">
        <v>-8700</v>
      </c>
      <c r="H688" s="200" t="s">
        <v>1452</v>
      </c>
      <c r="I688" s="194" t="s">
        <v>55</v>
      </c>
      <c r="J688" s="278" t="s">
        <v>56</v>
      </c>
      <c r="K688" s="192">
        <v>45833</v>
      </c>
      <c r="L688" s="193">
        <v>4000</v>
      </c>
      <c r="M688" s="289" t="s">
        <v>296</v>
      </c>
    </row>
    <row r="689" spans="1:13" hidden="1">
      <c r="A689" s="263" t="s">
        <v>13</v>
      </c>
      <c r="B689" s="194" t="s">
        <v>2293</v>
      </c>
      <c r="C689" s="188" t="s">
        <v>1445</v>
      </c>
      <c r="D689" s="195">
        <v>45539</v>
      </c>
      <c r="E689" s="189">
        <v>45606</v>
      </c>
      <c r="F689" s="257" t="s">
        <v>16</v>
      </c>
      <c r="G689" s="272">
        <v>5950</v>
      </c>
      <c r="H689" s="200" t="s">
        <v>1446</v>
      </c>
      <c r="I689" s="194" t="s">
        <v>1447</v>
      </c>
      <c r="J689" s="278" t="s">
        <v>56</v>
      </c>
      <c r="K689" s="192"/>
      <c r="L689" s="193"/>
      <c r="M689" s="289"/>
    </row>
    <row r="690" spans="1:13" hidden="1">
      <c r="A690" s="263" t="s">
        <v>13</v>
      </c>
      <c r="B690" s="194" t="s">
        <v>2293</v>
      </c>
      <c r="C690" s="188" t="s">
        <v>1445</v>
      </c>
      <c r="D690" s="195">
        <v>45539</v>
      </c>
      <c r="E690" s="189">
        <v>45636</v>
      </c>
      <c r="F690" s="257" t="s">
        <v>16</v>
      </c>
      <c r="G690" s="272">
        <f>5950-G691</f>
        <v>2750</v>
      </c>
      <c r="H690" s="200" t="s">
        <v>1446</v>
      </c>
      <c r="I690" s="194" t="s">
        <v>1447</v>
      </c>
      <c r="J690" s="278" t="s">
        <v>56</v>
      </c>
      <c r="K690" s="192">
        <v>45729</v>
      </c>
      <c r="L690" s="193" t="e">
        <f>$H$565+$H$566</f>
        <v>#VALUE!</v>
      </c>
      <c r="M690" s="289" t="s">
        <v>111</v>
      </c>
    </row>
    <row r="691" spans="1:13" hidden="1">
      <c r="A691" s="265" t="s">
        <v>13</v>
      </c>
      <c r="B691" s="194" t="s">
        <v>2293</v>
      </c>
      <c r="C691" s="209" t="s">
        <v>1445</v>
      </c>
      <c r="D691" s="195">
        <v>45539</v>
      </c>
      <c r="E691" s="210">
        <v>45636</v>
      </c>
      <c r="F691" s="268" t="s">
        <v>16</v>
      </c>
      <c r="G691" s="273">
        <f>7000-G692</f>
        <v>3200</v>
      </c>
      <c r="H691" s="200" t="s">
        <v>1446</v>
      </c>
      <c r="I691" s="194" t="s">
        <v>1447</v>
      </c>
      <c r="J691" s="279" t="s">
        <v>56</v>
      </c>
      <c r="K691" s="192">
        <v>45729</v>
      </c>
      <c r="L691" s="193" t="e">
        <f>$H$565+$H$566</f>
        <v>#VALUE!</v>
      </c>
      <c r="M691" s="289" t="s">
        <v>111</v>
      </c>
    </row>
    <row r="692" spans="1:13" hidden="1">
      <c r="A692" s="263" t="s">
        <v>13</v>
      </c>
      <c r="B692" s="194" t="s">
        <v>2293</v>
      </c>
      <c r="C692" s="188" t="s">
        <v>1448</v>
      </c>
      <c r="D692" s="195">
        <v>45586</v>
      </c>
      <c r="E692" s="189">
        <v>45667</v>
      </c>
      <c r="F692" s="257" t="s">
        <v>16</v>
      </c>
      <c r="G692" s="272">
        <v>3800</v>
      </c>
      <c r="H692" s="200" t="s">
        <v>1449</v>
      </c>
      <c r="I692" s="194" t="s">
        <v>1450</v>
      </c>
      <c r="J692" s="278" t="s">
        <v>56</v>
      </c>
      <c r="K692" s="192"/>
      <c r="L692" s="193"/>
      <c r="M692" s="289"/>
    </row>
    <row r="693" spans="1:13" hidden="1">
      <c r="A693" s="263" t="s">
        <v>13</v>
      </c>
      <c r="B693" s="194" t="s">
        <v>2294</v>
      </c>
      <c r="C693" s="188" t="s">
        <v>1063</v>
      </c>
      <c r="D693" s="195">
        <v>45751</v>
      </c>
      <c r="E693" s="189"/>
      <c r="F693" s="257" t="s">
        <v>16</v>
      </c>
      <c r="G693" s="272">
        <v>502</v>
      </c>
      <c r="H693" s="200" t="s">
        <v>1459</v>
      </c>
      <c r="I693" s="194" t="s">
        <v>1460</v>
      </c>
      <c r="J693" s="278" t="s">
        <v>56</v>
      </c>
      <c r="K693" s="192"/>
      <c r="L693" s="193"/>
      <c r="M693" s="289"/>
    </row>
    <row r="694" spans="1:13" hidden="1">
      <c r="A694" s="263"/>
      <c r="B694" s="194" t="s">
        <v>2295</v>
      </c>
      <c r="C694" s="188" t="s">
        <v>338</v>
      </c>
      <c r="D694" s="195">
        <v>45833</v>
      </c>
      <c r="E694" s="189"/>
      <c r="F694" s="257" t="s">
        <v>16</v>
      </c>
      <c r="G694" s="272">
        <v>4000</v>
      </c>
      <c r="H694" s="200" t="s">
        <v>1454</v>
      </c>
      <c r="I694" s="194" t="s">
        <v>1455</v>
      </c>
      <c r="J694" s="278" t="s">
        <v>56</v>
      </c>
      <c r="K694" s="192"/>
      <c r="L694" s="193"/>
      <c r="M694" s="289"/>
    </row>
    <row r="695" spans="1:13" hidden="1">
      <c r="A695" s="263" t="s">
        <v>13</v>
      </c>
      <c r="B695" s="194" t="s">
        <v>2295</v>
      </c>
      <c r="C695" s="188" t="s">
        <v>335</v>
      </c>
      <c r="D695" s="195">
        <v>46002</v>
      </c>
      <c r="E695" s="189"/>
      <c r="F695" s="257" t="s">
        <v>49</v>
      </c>
      <c r="G695" s="272">
        <v>1100</v>
      </c>
      <c r="H695" s="200" t="s">
        <v>364</v>
      </c>
      <c r="I695" s="194" t="s">
        <v>75</v>
      </c>
      <c r="J695" s="278">
        <v>45940</v>
      </c>
      <c r="K695" s="192">
        <v>3000</v>
      </c>
      <c r="L695" s="193">
        <v>1100</v>
      </c>
      <c r="M695" s="289" t="s">
        <v>394</v>
      </c>
    </row>
    <row r="696" spans="1:13" hidden="1">
      <c r="A696" s="263" t="s">
        <v>13</v>
      </c>
      <c r="B696" s="194" t="s">
        <v>2295</v>
      </c>
      <c r="C696" s="188" t="s">
        <v>335</v>
      </c>
      <c r="D696" s="195">
        <v>46002</v>
      </c>
      <c r="E696" s="189"/>
      <c r="F696" s="257" t="s">
        <v>49</v>
      </c>
      <c r="G696" s="272">
        <v>3000</v>
      </c>
      <c r="H696" s="200" t="s">
        <v>364</v>
      </c>
      <c r="I696" s="194" t="s">
        <v>75</v>
      </c>
      <c r="J696" s="278">
        <v>45940</v>
      </c>
      <c r="K696" s="192">
        <v>3000</v>
      </c>
      <c r="L696" s="193">
        <v>3000</v>
      </c>
      <c r="M696" s="289" t="s">
        <v>1457</v>
      </c>
    </row>
    <row r="697" spans="1:13" hidden="1">
      <c r="A697" s="263" t="s">
        <v>13</v>
      </c>
      <c r="B697" s="194" t="s">
        <v>2295</v>
      </c>
      <c r="C697" s="188" t="s">
        <v>335</v>
      </c>
      <c r="D697" s="195">
        <v>46002</v>
      </c>
      <c r="E697" s="189"/>
      <c r="F697" s="257" t="s">
        <v>16</v>
      </c>
      <c r="G697" s="272">
        <v>10900</v>
      </c>
      <c r="H697" s="200" t="s">
        <v>364</v>
      </c>
      <c r="I697" s="194" t="s">
        <v>75</v>
      </c>
      <c r="J697" s="278">
        <v>45940</v>
      </c>
      <c r="K697" s="192">
        <v>3000</v>
      </c>
      <c r="L697" s="193">
        <v>10900</v>
      </c>
      <c r="M697" s="289" t="s">
        <v>394</v>
      </c>
    </row>
    <row r="698" spans="1:13" hidden="1">
      <c r="A698" s="263" t="s">
        <v>13</v>
      </c>
      <c r="B698" s="194" t="s">
        <v>2295</v>
      </c>
      <c r="C698" s="188" t="s">
        <v>335</v>
      </c>
      <c r="D698" s="195">
        <v>46002</v>
      </c>
      <c r="E698" s="189"/>
      <c r="F698" s="257" t="s">
        <v>49</v>
      </c>
      <c r="G698" s="272">
        <v>2000</v>
      </c>
      <c r="H698" s="200"/>
      <c r="I698" s="194" t="s">
        <v>364</v>
      </c>
      <c r="J698" s="278" t="s">
        <v>75</v>
      </c>
      <c r="K698" s="192">
        <v>45940</v>
      </c>
      <c r="L698" s="193">
        <v>3000</v>
      </c>
      <c r="M698" s="289" t="s">
        <v>394</v>
      </c>
    </row>
    <row r="699" spans="1:13" hidden="1">
      <c r="A699" s="263" t="s">
        <v>13</v>
      </c>
      <c r="B699" s="194" t="s">
        <v>2295</v>
      </c>
      <c r="C699" s="188" t="s">
        <v>335</v>
      </c>
      <c r="D699" s="195">
        <v>46002</v>
      </c>
      <c r="E699" s="189"/>
      <c r="F699" s="257" t="s">
        <v>16</v>
      </c>
      <c r="G699" s="272">
        <v>3000</v>
      </c>
      <c r="H699" s="200"/>
      <c r="I699" s="194" t="s">
        <v>218</v>
      </c>
      <c r="J699" s="278" t="s">
        <v>354</v>
      </c>
      <c r="K699" s="192">
        <v>45978</v>
      </c>
      <c r="L699" s="193">
        <v>2000</v>
      </c>
      <c r="M699" s="289" t="s">
        <v>394</v>
      </c>
    </row>
    <row r="700" spans="1:13" hidden="1">
      <c r="A700" s="263" t="s">
        <v>13</v>
      </c>
      <c r="B700" s="194" t="s">
        <v>2297</v>
      </c>
      <c r="C700" s="188" t="s">
        <v>1462</v>
      </c>
      <c r="D700" s="195">
        <v>45792</v>
      </c>
      <c r="E700" s="189"/>
      <c r="F700" s="257" t="s">
        <v>16</v>
      </c>
      <c r="G700" s="272">
        <v>39</v>
      </c>
      <c r="H700" s="200" t="s">
        <v>1463</v>
      </c>
      <c r="I700" s="194" t="s">
        <v>42</v>
      </c>
      <c r="J700" s="278"/>
      <c r="K700" s="192"/>
      <c r="L700" s="193"/>
      <c r="M700" s="289"/>
    </row>
    <row r="701" spans="1:13" hidden="1">
      <c r="A701" s="263" t="s">
        <v>13</v>
      </c>
      <c r="B701" s="194" t="s">
        <v>2297</v>
      </c>
      <c r="C701" s="188" t="s">
        <v>1464</v>
      </c>
      <c r="D701" s="195">
        <v>45793</v>
      </c>
      <c r="E701" s="189"/>
      <c r="F701" s="257" t="s">
        <v>16</v>
      </c>
      <c r="G701" s="272">
        <v>39</v>
      </c>
      <c r="H701" s="200" t="s">
        <v>1465</v>
      </c>
      <c r="I701" s="194" t="s">
        <v>457</v>
      </c>
      <c r="J701" s="278"/>
      <c r="K701" s="192"/>
      <c r="L701" s="193"/>
      <c r="M701" s="289"/>
    </row>
    <row r="702" spans="1:13" hidden="1">
      <c r="A702" s="263" t="s">
        <v>13</v>
      </c>
      <c r="B702" s="194" t="s">
        <v>2297</v>
      </c>
      <c r="C702" s="188" t="s">
        <v>1466</v>
      </c>
      <c r="D702" s="195">
        <v>45796</v>
      </c>
      <c r="E702" s="189"/>
      <c r="F702" s="257" t="s">
        <v>16</v>
      </c>
      <c r="G702" s="272">
        <v>26</v>
      </c>
      <c r="H702" s="200" t="s">
        <v>1467</v>
      </c>
      <c r="I702" s="194" t="s">
        <v>457</v>
      </c>
      <c r="J702" s="278"/>
      <c r="K702" s="192"/>
      <c r="L702" s="193"/>
      <c r="M702" s="289"/>
    </row>
    <row r="703" spans="1:13" hidden="1">
      <c r="A703" s="263" t="s">
        <v>13</v>
      </c>
      <c r="B703" s="194" t="s">
        <v>2297</v>
      </c>
      <c r="C703" s="188" t="s">
        <v>1468</v>
      </c>
      <c r="D703" s="195">
        <v>45838</v>
      </c>
      <c r="E703" s="189"/>
      <c r="F703" s="257" t="s">
        <v>16</v>
      </c>
      <c r="G703" s="272">
        <v>26</v>
      </c>
      <c r="H703" s="200" t="s">
        <v>1469</v>
      </c>
      <c r="I703" s="194" t="s">
        <v>457</v>
      </c>
      <c r="J703" s="278"/>
      <c r="K703" s="192"/>
      <c r="L703" s="193"/>
      <c r="M703" s="289"/>
    </row>
    <row r="704" spans="1:13" hidden="1">
      <c r="A704" s="263" t="s">
        <v>13</v>
      </c>
      <c r="B704" s="194" t="s">
        <v>2297</v>
      </c>
      <c r="C704" s="188" t="s">
        <v>1470</v>
      </c>
      <c r="D704" s="195">
        <v>45840</v>
      </c>
      <c r="E704" s="189"/>
      <c r="F704" s="257" t="s">
        <v>16</v>
      </c>
      <c r="G704" s="272">
        <v>13</v>
      </c>
      <c r="H704" s="200" t="s">
        <v>1471</v>
      </c>
      <c r="I704" s="194" t="s">
        <v>457</v>
      </c>
      <c r="J704" s="278"/>
      <c r="K704" s="192">
        <v>45698</v>
      </c>
      <c r="L704" s="193"/>
      <c r="M704" s="289"/>
    </row>
    <row r="705" spans="1:13" hidden="1">
      <c r="A705" s="263" t="s">
        <v>13</v>
      </c>
      <c r="B705" s="194" t="s">
        <v>2298</v>
      </c>
      <c r="C705" s="188" t="s">
        <v>1473</v>
      </c>
      <c r="D705" s="195">
        <v>45693</v>
      </c>
      <c r="E705" s="189"/>
      <c r="F705" s="257" t="s">
        <v>16</v>
      </c>
      <c r="G705" s="272">
        <v>3050</v>
      </c>
      <c r="H705" s="190" t="s">
        <v>1474</v>
      </c>
      <c r="I705" s="194" t="s">
        <v>1475</v>
      </c>
      <c r="J705" s="278" t="s">
        <v>56</v>
      </c>
      <c r="K705" s="192">
        <v>45730</v>
      </c>
      <c r="L705" s="193">
        <f>G706</f>
        <v>2000</v>
      </c>
      <c r="M705" s="289" t="s">
        <v>111</v>
      </c>
    </row>
    <row r="706" spans="1:13" hidden="1">
      <c r="A706" s="263" t="s">
        <v>13</v>
      </c>
      <c r="B706" s="194" t="s">
        <v>2298</v>
      </c>
      <c r="C706" s="188" t="s">
        <v>1476</v>
      </c>
      <c r="D706" s="195">
        <v>45713</v>
      </c>
      <c r="E706" s="189"/>
      <c r="F706" s="257" t="s">
        <v>16</v>
      </c>
      <c r="G706" s="272">
        <v>2000</v>
      </c>
      <c r="H706" s="190" t="s">
        <v>1477</v>
      </c>
      <c r="I706" s="194" t="s">
        <v>87</v>
      </c>
      <c r="J706" s="278" t="s">
        <v>56</v>
      </c>
      <c r="K706" s="192">
        <v>45817</v>
      </c>
      <c r="L706" s="193">
        <v>1500</v>
      </c>
      <c r="M706" s="289" t="s">
        <v>111</v>
      </c>
    </row>
    <row r="707" spans="1:13" hidden="1">
      <c r="A707" s="263" t="s">
        <v>13</v>
      </c>
      <c r="B707" s="194" t="s">
        <v>2298</v>
      </c>
      <c r="C707" s="188" t="s">
        <v>1476</v>
      </c>
      <c r="D707" s="195">
        <v>45713</v>
      </c>
      <c r="E707" s="189"/>
      <c r="F707" s="257" t="s">
        <v>16</v>
      </c>
      <c r="G707" s="272">
        <f>3050-G706</f>
        <v>1050</v>
      </c>
      <c r="H707" s="190" t="s">
        <v>1477</v>
      </c>
      <c r="I707" s="194" t="s">
        <v>87</v>
      </c>
      <c r="J707" s="278" t="s">
        <v>56</v>
      </c>
      <c r="K707" s="192">
        <v>45817</v>
      </c>
      <c r="L707" s="193">
        <v>1500</v>
      </c>
      <c r="M707" s="289" t="s">
        <v>111</v>
      </c>
    </row>
    <row r="708" spans="1:13" hidden="1">
      <c r="A708" s="263" t="s">
        <v>13</v>
      </c>
      <c r="B708" s="194" t="s">
        <v>2298</v>
      </c>
      <c r="C708" s="188" t="s">
        <v>1478</v>
      </c>
      <c r="D708" s="195">
        <v>45743</v>
      </c>
      <c r="E708" s="189"/>
      <c r="F708" s="257" t="s">
        <v>16</v>
      </c>
      <c r="G708" s="272">
        <f>2061.8-G709</f>
        <v>450</v>
      </c>
      <c r="H708" s="190" t="s">
        <v>1479</v>
      </c>
      <c r="I708" s="194" t="s">
        <v>1384</v>
      </c>
      <c r="J708" s="278"/>
      <c r="K708" s="192"/>
      <c r="L708" s="193"/>
      <c r="M708" s="289"/>
    </row>
    <row r="709" spans="1:13" hidden="1">
      <c r="A709" s="263" t="s">
        <v>13</v>
      </c>
      <c r="B709" s="194" t="s">
        <v>2298</v>
      </c>
      <c r="C709" s="188" t="s">
        <v>1478</v>
      </c>
      <c r="D709" s="195">
        <v>45743</v>
      </c>
      <c r="E709" s="189"/>
      <c r="F709" s="257" t="s">
        <v>16</v>
      </c>
      <c r="G709" s="272">
        <f>2061.8-(L706-G707)</f>
        <v>1611.8000000000002</v>
      </c>
      <c r="H709" s="190" t="s">
        <v>1479</v>
      </c>
      <c r="I709" s="194" t="s">
        <v>1384</v>
      </c>
      <c r="J709" s="278"/>
      <c r="K709" s="192"/>
      <c r="L709" s="193"/>
      <c r="M709" s="289"/>
    </row>
    <row r="710" spans="1:13" hidden="1">
      <c r="A710" s="263" t="s">
        <v>13</v>
      </c>
      <c r="B710" s="194" t="s">
        <v>2299</v>
      </c>
      <c r="C710" s="188">
        <v>12090</v>
      </c>
      <c r="D710" s="195">
        <v>45860</v>
      </c>
      <c r="E710" s="189"/>
      <c r="F710" s="257" t="s">
        <v>16</v>
      </c>
      <c r="G710" s="272">
        <v>92.07</v>
      </c>
      <c r="H710" s="190" t="s">
        <v>1482</v>
      </c>
      <c r="I710" s="194"/>
      <c r="J710" s="278" t="s">
        <v>215</v>
      </c>
      <c r="K710" s="192">
        <v>45853</v>
      </c>
      <c r="L710" s="193"/>
      <c r="M710" s="289" t="s">
        <v>345</v>
      </c>
    </row>
    <row r="711" spans="1:13" hidden="1">
      <c r="A711" s="257"/>
      <c r="B711" s="194" t="s">
        <v>3790</v>
      </c>
      <c r="C711" s="188" t="s">
        <v>4230</v>
      </c>
      <c r="D711" s="195">
        <v>46052</v>
      </c>
      <c r="E711" s="189">
        <v>46081</v>
      </c>
      <c r="F711" s="257"/>
      <c r="G711" s="272">
        <v>1400</v>
      </c>
      <c r="H711" s="196"/>
      <c r="I711" s="325" t="s">
        <v>4231</v>
      </c>
      <c r="J711" s="278" t="s">
        <v>3314</v>
      </c>
      <c r="K711" s="195">
        <v>0</v>
      </c>
      <c r="L711" s="192">
        <v>46081</v>
      </c>
      <c r="M711" s="289"/>
    </row>
    <row r="712" spans="1:13" hidden="1">
      <c r="A712" s="263" t="s">
        <v>13</v>
      </c>
      <c r="B712" s="194" t="s">
        <v>3790</v>
      </c>
      <c r="C712" s="188" t="s">
        <v>1484</v>
      </c>
      <c r="D712" s="195">
        <v>45596</v>
      </c>
      <c r="E712" s="189">
        <v>45626</v>
      </c>
      <c r="F712" s="257" t="s">
        <v>16</v>
      </c>
      <c r="G712" s="272">
        <v>1300</v>
      </c>
      <c r="H712" s="200" t="s">
        <v>1485</v>
      </c>
      <c r="I712" s="194" t="s">
        <v>1486</v>
      </c>
      <c r="J712" s="278" t="s">
        <v>56</v>
      </c>
      <c r="K712" s="192">
        <v>45730</v>
      </c>
      <c r="L712" s="193">
        <f>G713</f>
        <v>1300</v>
      </c>
      <c r="M712" s="289" t="s">
        <v>111</v>
      </c>
    </row>
    <row r="713" spans="1:13" hidden="1">
      <c r="A713" s="263" t="s">
        <v>13</v>
      </c>
      <c r="B713" s="194" t="s">
        <v>3790</v>
      </c>
      <c r="C713" s="188" t="s">
        <v>1487</v>
      </c>
      <c r="D713" s="195">
        <v>45656</v>
      </c>
      <c r="E713" s="189">
        <v>45716</v>
      </c>
      <c r="F713" s="257" t="s">
        <v>16</v>
      </c>
      <c r="G713" s="272">
        <v>1300</v>
      </c>
      <c r="H713" s="200" t="s">
        <v>1488</v>
      </c>
      <c r="I713" s="194" t="s">
        <v>1489</v>
      </c>
      <c r="J713" s="278" t="s">
        <v>56</v>
      </c>
      <c r="K713" s="192"/>
      <c r="L713" s="193"/>
      <c r="M713" s="289"/>
    </row>
    <row r="714" spans="1:13" hidden="1">
      <c r="A714" s="257"/>
      <c r="B714" s="194" t="s">
        <v>3790</v>
      </c>
      <c r="C714" s="188" t="s">
        <v>1490</v>
      </c>
      <c r="D714" s="195">
        <v>45991</v>
      </c>
      <c r="E714" s="189">
        <v>46022</v>
      </c>
      <c r="F714" s="257"/>
      <c r="G714" s="272">
        <v>3600</v>
      </c>
      <c r="H714" s="196"/>
      <c r="I714" s="194" t="s">
        <v>790</v>
      </c>
      <c r="J714" s="278" t="s">
        <v>56</v>
      </c>
      <c r="K714" s="192"/>
      <c r="L714" s="193">
        <v>3600</v>
      </c>
      <c r="M714" s="289"/>
    </row>
    <row r="715" spans="1:13" hidden="1">
      <c r="A715" s="257"/>
      <c r="B715" s="194" t="s">
        <v>3790</v>
      </c>
      <c r="C715" s="188" t="s">
        <v>1491</v>
      </c>
      <c r="D715" s="195">
        <v>45991</v>
      </c>
      <c r="E715" s="189">
        <v>46022</v>
      </c>
      <c r="F715" s="257"/>
      <c r="G715" s="272">
        <v>1700</v>
      </c>
      <c r="H715" s="196"/>
      <c r="I715" s="194" t="s">
        <v>1492</v>
      </c>
      <c r="J715" s="278" t="s">
        <v>56</v>
      </c>
      <c r="K715" s="192"/>
      <c r="L715" s="193">
        <v>1700</v>
      </c>
      <c r="M715" s="289"/>
    </row>
    <row r="716" spans="1:13" hidden="1">
      <c r="A716" s="263" t="s">
        <v>13</v>
      </c>
      <c r="B716" s="194" t="s">
        <v>2302</v>
      </c>
      <c r="C716" s="188">
        <v>2</v>
      </c>
      <c r="D716" s="195">
        <v>45673</v>
      </c>
      <c r="E716" s="189">
        <v>45716</v>
      </c>
      <c r="F716" s="257" t="s">
        <v>16</v>
      </c>
      <c r="G716" s="272">
        <v>2500</v>
      </c>
      <c r="H716" s="190" t="s">
        <v>1494</v>
      </c>
      <c r="I716" s="194" t="s">
        <v>1231</v>
      </c>
      <c r="J716" s="278" t="s">
        <v>110</v>
      </c>
      <c r="K716" s="192"/>
      <c r="L716" s="193"/>
      <c r="M716" s="289"/>
    </row>
    <row r="717" spans="1:13" hidden="1">
      <c r="A717" s="263">
        <v>2024</v>
      </c>
      <c r="B717" s="187" t="s">
        <v>2303</v>
      </c>
      <c r="C717" s="188" t="s">
        <v>1496</v>
      </c>
      <c r="D717" s="189">
        <v>45393</v>
      </c>
      <c r="E717" s="189"/>
      <c r="F717" s="257" t="s">
        <v>16</v>
      </c>
      <c r="G717" s="272">
        <v>3928.09</v>
      </c>
      <c r="H717" s="208" t="s">
        <v>1497</v>
      </c>
      <c r="I717" s="276" t="s">
        <v>1498</v>
      </c>
      <c r="J717" s="278" t="s">
        <v>110</v>
      </c>
      <c r="K717" s="192"/>
      <c r="L717" s="193"/>
      <c r="M717" s="289"/>
    </row>
    <row r="718" spans="1:13" hidden="1">
      <c r="A718" s="263" t="s">
        <v>1502</v>
      </c>
      <c r="B718" s="194" t="s">
        <v>1495</v>
      </c>
      <c r="C718" s="188"/>
      <c r="D718" s="195"/>
      <c r="E718" s="189"/>
      <c r="F718" s="257" t="s">
        <v>49</v>
      </c>
      <c r="G718" s="272">
        <v>10000</v>
      </c>
      <c r="H718" s="241"/>
      <c r="I718" s="298"/>
      <c r="J718" s="278" t="s">
        <v>1504</v>
      </c>
      <c r="K718" s="192"/>
      <c r="L718" s="193">
        <v>15000</v>
      </c>
      <c r="M718" s="289" t="s">
        <v>345</v>
      </c>
    </row>
    <row r="719" spans="1:13" hidden="1">
      <c r="A719" s="263">
        <v>2024</v>
      </c>
      <c r="B719" s="187" t="s">
        <v>2303</v>
      </c>
      <c r="C719" s="188" t="s">
        <v>1499</v>
      </c>
      <c r="D719" s="189">
        <v>45393</v>
      </c>
      <c r="E719" s="189"/>
      <c r="F719" s="257" t="s">
        <v>16</v>
      </c>
      <c r="G719" s="272">
        <v>1000</v>
      </c>
      <c r="H719" s="208" t="s">
        <v>1500</v>
      </c>
      <c r="I719" s="276" t="s">
        <v>1501</v>
      </c>
      <c r="J719" s="278" t="s">
        <v>110</v>
      </c>
      <c r="K719" s="192"/>
      <c r="L719" s="193"/>
      <c r="M719" s="289"/>
    </row>
    <row r="720" spans="1:13" hidden="1">
      <c r="A720" s="264" t="s">
        <v>1503</v>
      </c>
      <c r="B720" s="187" t="s">
        <v>2303</v>
      </c>
      <c r="C720" s="188" t="s">
        <v>1505</v>
      </c>
      <c r="D720" s="189">
        <v>45803</v>
      </c>
      <c r="E720" s="189"/>
      <c r="F720" s="257"/>
      <c r="G720" s="272">
        <f>80000-G722-G723-G724-G725</f>
        <v>5000</v>
      </c>
      <c r="H720" s="208" t="s">
        <v>1506</v>
      </c>
      <c r="I720" s="276" t="s">
        <v>312</v>
      </c>
      <c r="J720" s="278"/>
      <c r="K720" s="192"/>
      <c r="L720" s="193"/>
      <c r="M720" s="289"/>
    </row>
    <row r="721" spans="1:13" hidden="1">
      <c r="A721" s="264" t="s">
        <v>1503</v>
      </c>
      <c r="B721" s="187" t="s">
        <v>2303</v>
      </c>
      <c r="C721" s="188" t="s">
        <v>1508</v>
      </c>
      <c r="D721" s="189">
        <v>45803</v>
      </c>
      <c r="E721" s="189"/>
      <c r="F721" s="257"/>
      <c r="G721" s="272">
        <f>45000-G718</f>
        <v>35000</v>
      </c>
      <c r="H721" s="208" t="s">
        <v>1509</v>
      </c>
      <c r="I721" s="276" t="s">
        <v>484</v>
      </c>
      <c r="J721" s="278"/>
      <c r="K721" s="192"/>
      <c r="L721" s="193"/>
      <c r="M721" s="289">
        <f>+G720+G721</f>
        <v>40000</v>
      </c>
    </row>
    <row r="722" spans="1:13" hidden="1">
      <c r="A722" s="257" t="s">
        <v>1511</v>
      </c>
      <c r="B722" s="187" t="s">
        <v>2303</v>
      </c>
      <c r="C722" s="188"/>
      <c r="D722" s="189"/>
      <c r="E722" s="189"/>
      <c r="F722" s="257" t="s">
        <v>16</v>
      </c>
      <c r="G722" s="272">
        <v>25000</v>
      </c>
      <c r="H722" s="208"/>
      <c r="I722" s="276" t="s">
        <v>1512</v>
      </c>
      <c r="J722" s="278" t="s">
        <v>1513</v>
      </c>
      <c r="K722" s="192"/>
      <c r="L722" s="193">
        <v>25000</v>
      </c>
      <c r="M722" s="289">
        <f>+M721-L722</f>
        <v>15000</v>
      </c>
    </row>
    <row r="723" spans="1:13" hidden="1">
      <c r="A723" s="257" t="s">
        <v>1502</v>
      </c>
      <c r="B723" s="187" t="s">
        <v>2303</v>
      </c>
      <c r="C723" s="188"/>
      <c r="D723" s="189"/>
      <c r="E723" s="189"/>
      <c r="F723" s="257" t="s">
        <v>16</v>
      </c>
      <c r="G723" s="272">
        <v>25000</v>
      </c>
      <c r="H723" s="208"/>
      <c r="I723" s="276" t="s">
        <v>1503</v>
      </c>
      <c r="J723" s="278" t="s">
        <v>2304</v>
      </c>
      <c r="K723" s="192">
        <v>45873</v>
      </c>
      <c r="L723" s="193">
        <v>10000</v>
      </c>
      <c r="M723" s="289">
        <f>+M722-L723</f>
        <v>5000</v>
      </c>
    </row>
    <row r="724" spans="1:13" hidden="1">
      <c r="A724" s="257" t="s">
        <v>1502</v>
      </c>
      <c r="B724" s="187" t="s">
        <v>2303</v>
      </c>
      <c r="C724" s="188"/>
      <c r="D724" s="189"/>
      <c r="E724" s="189"/>
      <c r="F724" s="257" t="s">
        <v>16</v>
      </c>
      <c r="G724" s="272">
        <v>13000</v>
      </c>
      <c r="H724" s="208"/>
      <c r="I724" s="276" t="s">
        <v>1503</v>
      </c>
      <c r="J724" s="278" t="s">
        <v>2305</v>
      </c>
      <c r="K724" s="192">
        <v>45960</v>
      </c>
      <c r="L724" s="193">
        <v>13000</v>
      </c>
      <c r="M724" s="289">
        <v>65000</v>
      </c>
    </row>
    <row r="725" spans="1:13" hidden="1">
      <c r="A725" s="257" t="s">
        <v>1502</v>
      </c>
      <c r="B725" s="187" t="s">
        <v>2303</v>
      </c>
      <c r="C725" s="188"/>
      <c r="D725" s="189"/>
      <c r="E725" s="189"/>
      <c r="F725" s="257" t="s">
        <v>16</v>
      </c>
      <c r="G725" s="272">
        <v>12000</v>
      </c>
      <c r="H725" s="208"/>
      <c r="I725" s="276" t="s">
        <v>1503</v>
      </c>
      <c r="J725" s="278" t="s">
        <v>2305</v>
      </c>
      <c r="K725" s="192">
        <v>45991</v>
      </c>
      <c r="L725" s="193">
        <v>12000</v>
      </c>
      <c r="M725" s="289">
        <f>+M723-L725</f>
        <v>-7000</v>
      </c>
    </row>
    <row r="726" spans="1:13" hidden="1">
      <c r="A726" s="263" t="s">
        <v>13</v>
      </c>
      <c r="B726" s="187" t="s">
        <v>2303</v>
      </c>
      <c r="C726" s="188" t="s">
        <v>1515</v>
      </c>
      <c r="D726" s="189">
        <v>45852</v>
      </c>
      <c r="E726" s="189">
        <v>45940</v>
      </c>
      <c r="F726" s="257" t="s">
        <v>16</v>
      </c>
      <c r="G726" s="272">
        <v>366</v>
      </c>
      <c r="H726" s="208" t="s">
        <v>1516</v>
      </c>
      <c r="I726" s="276" t="s">
        <v>1384</v>
      </c>
      <c r="J726" s="278" t="s">
        <v>110</v>
      </c>
      <c r="K726" s="192"/>
      <c r="L726" s="193"/>
      <c r="M726" s="289"/>
    </row>
    <row r="727" spans="1:13" hidden="1">
      <c r="A727" s="257" t="s">
        <v>1502</v>
      </c>
      <c r="B727" s="187" t="s">
        <v>1495</v>
      </c>
      <c r="C727" s="188"/>
      <c r="D727" s="189"/>
      <c r="E727" s="189"/>
      <c r="F727" s="257" t="s">
        <v>49</v>
      </c>
      <c r="G727" s="272">
        <v>10000</v>
      </c>
      <c r="H727" s="208"/>
      <c r="I727" s="276" t="s">
        <v>2365</v>
      </c>
      <c r="J727" s="278" t="s">
        <v>2305</v>
      </c>
      <c r="K727" s="192">
        <v>45957</v>
      </c>
      <c r="L727" s="193">
        <v>13000</v>
      </c>
      <c r="M727" s="289">
        <f>+M725-L727</f>
        <v>-20000</v>
      </c>
    </row>
    <row r="728" spans="1:13" hidden="1">
      <c r="A728" s="257"/>
      <c r="B728" s="194" t="s">
        <v>4189</v>
      </c>
      <c r="C728" s="188" t="s">
        <v>26</v>
      </c>
      <c r="D728" s="195">
        <v>46055</v>
      </c>
      <c r="E728" s="195">
        <v>46055</v>
      </c>
      <c r="F728" s="257" t="s">
        <v>16</v>
      </c>
      <c r="G728" s="272">
        <v>1065</v>
      </c>
      <c r="H728" s="196"/>
      <c r="I728" s="194" t="s">
        <v>4190</v>
      </c>
      <c r="J728" s="278" t="s">
        <v>751</v>
      </c>
      <c r="K728" s="193">
        <v>96.82</v>
      </c>
      <c r="L728" s="192">
        <v>46115</v>
      </c>
      <c r="M728" s="289"/>
    </row>
    <row r="729" spans="1:13" hidden="1">
      <c r="A729" s="263" t="s">
        <v>13</v>
      </c>
      <c r="B729" s="187" t="s">
        <v>2306</v>
      </c>
      <c r="C729" s="188" t="s">
        <v>1519</v>
      </c>
      <c r="D729" s="189">
        <v>45828</v>
      </c>
      <c r="E729" s="189"/>
      <c r="F729" s="257" t="s">
        <v>16</v>
      </c>
      <c r="G729" s="272">
        <v>28.1</v>
      </c>
      <c r="H729" s="208" t="s">
        <v>1520</v>
      </c>
      <c r="I729" s="276" t="s">
        <v>457</v>
      </c>
      <c r="J729" s="278" t="s">
        <v>215</v>
      </c>
      <c r="K729" s="192"/>
      <c r="L729" s="193"/>
      <c r="M729" s="289"/>
    </row>
    <row r="730" spans="1:13" hidden="1">
      <c r="A730" s="263" t="s">
        <v>13</v>
      </c>
      <c r="B730" s="187" t="s">
        <v>2306</v>
      </c>
      <c r="C730" s="188" t="s">
        <v>1521</v>
      </c>
      <c r="D730" s="189">
        <v>45832</v>
      </c>
      <c r="E730" s="189"/>
      <c r="F730" s="257" t="s">
        <v>16</v>
      </c>
      <c r="G730" s="272">
        <v>25.1</v>
      </c>
      <c r="H730" s="208" t="s">
        <v>1522</v>
      </c>
      <c r="I730" s="276" t="s">
        <v>457</v>
      </c>
      <c r="J730" s="278" t="s">
        <v>215</v>
      </c>
      <c r="K730" s="192"/>
      <c r="L730" s="193"/>
      <c r="M730" s="289"/>
    </row>
    <row r="731" spans="1:13" hidden="1">
      <c r="A731" s="263" t="s">
        <v>13</v>
      </c>
      <c r="B731" s="187" t="s">
        <v>2306</v>
      </c>
      <c r="C731" s="188" t="s">
        <v>1523</v>
      </c>
      <c r="D731" s="189">
        <v>45833</v>
      </c>
      <c r="E731" s="189"/>
      <c r="F731" s="257" t="s">
        <v>16</v>
      </c>
      <c r="G731" s="272">
        <v>36.4</v>
      </c>
      <c r="H731" s="208" t="s">
        <v>1524</v>
      </c>
      <c r="I731" s="276" t="s">
        <v>457</v>
      </c>
      <c r="J731" s="278" t="s">
        <v>215</v>
      </c>
      <c r="K731" s="192"/>
      <c r="L731" s="193"/>
      <c r="M731" s="289"/>
    </row>
    <row r="732" spans="1:13" hidden="1">
      <c r="A732" s="263" t="s">
        <v>13</v>
      </c>
      <c r="B732" s="187" t="s">
        <v>2306</v>
      </c>
      <c r="C732" s="188" t="s">
        <v>1525</v>
      </c>
      <c r="D732" s="189">
        <v>45834</v>
      </c>
      <c r="E732" s="189"/>
      <c r="F732" s="257" t="s">
        <v>16</v>
      </c>
      <c r="G732" s="272">
        <v>24.4</v>
      </c>
      <c r="H732" s="208" t="s">
        <v>1526</v>
      </c>
      <c r="I732" s="276" t="s">
        <v>1527</v>
      </c>
      <c r="J732" s="278" t="s">
        <v>215</v>
      </c>
      <c r="K732" s="192"/>
      <c r="L732" s="193"/>
      <c r="M732" s="289"/>
    </row>
    <row r="733" spans="1:13" hidden="1">
      <c r="A733" s="263" t="s">
        <v>13</v>
      </c>
      <c r="B733" s="187" t="s">
        <v>2306</v>
      </c>
      <c r="C733" s="188" t="s">
        <v>1528</v>
      </c>
      <c r="D733" s="189">
        <v>45835</v>
      </c>
      <c r="E733" s="189"/>
      <c r="F733" s="257" t="s">
        <v>16</v>
      </c>
      <c r="G733" s="272">
        <v>24.4</v>
      </c>
      <c r="H733" s="208" t="s">
        <v>1529</v>
      </c>
      <c r="I733" s="276" t="s">
        <v>457</v>
      </c>
      <c r="J733" s="278" t="s">
        <v>215</v>
      </c>
      <c r="K733" s="192"/>
      <c r="L733" s="193"/>
      <c r="M733" s="289"/>
    </row>
    <row r="734" spans="1:13" hidden="1">
      <c r="A734" s="263" t="s">
        <v>13</v>
      </c>
      <c r="B734" s="187" t="s">
        <v>2306</v>
      </c>
      <c r="C734" s="188" t="s">
        <v>1530</v>
      </c>
      <c r="D734" s="189">
        <v>45838</v>
      </c>
      <c r="E734" s="189"/>
      <c r="F734" s="257" t="s">
        <v>16</v>
      </c>
      <c r="G734" s="272">
        <v>33.200000000000003</v>
      </c>
      <c r="H734" s="208" t="s">
        <v>1531</v>
      </c>
      <c r="I734" s="276" t="s">
        <v>457</v>
      </c>
      <c r="J734" s="278" t="s">
        <v>215</v>
      </c>
      <c r="K734" s="192"/>
      <c r="L734" s="193"/>
      <c r="M734" s="289"/>
    </row>
    <row r="735" spans="1:13" hidden="1">
      <c r="A735" s="263" t="s">
        <v>13</v>
      </c>
      <c r="B735" s="187" t="s">
        <v>2306</v>
      </c>
      <c r="C735" s="188" t="s">
        <v>1535</v>
      </c>
      <c r="D735" s="189">
        <v>45840</v>
      </c>
      <c r="E735" s="189"/>
      <c r="F735" s="257" t="s">
        <v>16</v>
      </c>
      <c r="G735" s="272">
        <v>25.2</v>
      </c>
      <c r="H735" s="208" t="s">
        <v>1536</v>
      </c>
      <c r="I735" s="276" t="s">
        <v>457</v>
      </c>
      <c r="J735" s="278" t="s">
        <v>215</v>
      </c>
      <c r="K735" s="192"/>
      <c r="L735" s="193"/>
      <c r="M735" s="289"/>
    </row>
    <row r="736" spans="1:13" hidden="1">
      <c r="A736" s="263" t="s">
        <v>13</v>
      </c>
      <c r="B736" s="187" t="s">
        <v>2306</v>
      </c>
      <c r="C736" s="188" t="s">
        <v>1537</v>
      </c>
      <c r="D736" s="189">
        <v>45841</v>
      </c>
      <c r="E736" s="189"/>
      <c r="F736" s="257" t="s">
        <v>16</v>
      </c>
      <c r="G736" s="272">
        <v>22.7</v>
      </c>
      <c r="H736" s="208" t="s">
        <v>1538</v>
      </c>
      <c r="I736" s="276" t="s">
        <v>457</v>
      </c>
      <c r="J736" s="278" t="s">
        <v>215</v>
      </c>
      <c r="K736" s="192"/>
      <c r="L736" s="193"/>
      <c r="M736" s="289"/>
    </row>
    <row r="737" spans="1:13" hidden="1">
      <c r="A737" s="263" t="s">
        <v>13</v>
      </c>
      <c r="B737" s="187" t="s">
        <v>2306</v>
      </c>
      <c r="C737" s="188" t="s">
        <v>1543</v>
      </c>
      <c r="D737" s="189">
        <v>45869</v>
      </c>
      <c r="E737" s="189"/>
      <c r="F737" s="257" t="s">
        <v>16</v>
      </c>
      <c r="G737" s="272">
        <v>457.6</v>
      </c>
      <c r="H737" s="208" t="s">
        <v>1544</v>
      </c>
      <c r="I737" s="276" t="s">
        <v>457</v>
      </c>
      <c r="J737" s="278" t="s">
        <v>66</v>
      </c>
      <c r="K737" s="192"/>
      <c r="L737" s="193"/>
      <c r="M737" s="289"/>
    </row>
    <row r="738" spans="1:13" hidden="1">
      <c r="A738" s="263" t="s">
        <v>13</v>
      </c>
      <c r="B738" s="187" t="s">
        <v>2306</v>
      </c>
      <c r="C738" s="188" t="s">
        <v>1546</v>
      </c>
      <c r="D738" s="189">
        <v>45898</v>
      </c>
      <c r="E738" s="189"/>
      <c r="F738" s="257" t="s">
        <v>16</v>
      </c>
      <c r="G738" s="272">
        <v>24.4</v>
      </c>
      <c r="H738" s="208" t="s">
        <v>1547</v>
      </c>
      <c r="I738" s="276" t="s">
        <v>457</v>
      </c>
      <c r="J738" s="278" t="s">
        <v>66</v>
      </c>
      <c r="K738" s="192"/>
      <c r="L738" s="193"/>
      <c r="M738" s="289"/>
    </row>
    <row r="739" spans="1:13" hidden="1">
      <c r="A739" s="263" t="s">
        <v>13</v>
      </c>
      <c r="B739" s="187" t="s">
        <v>2307</v>
      </c>
      <c r="C739" s="188" t="s">
        <v>1532</v>
      </c>
      <c r="D739" s="189">
        <v>45839</v>
      </c>
      <c r="E739" s="189"/>
      <c r="F739" s="257" t="s">
        <v>16</v>
      </c>
      <c r="G739" s="272">
        <v>24.7</v>
      </c>
      <c r="H739" s="208" t="s">
        <v>1534</v>
      </c>
      <c r="I739" s="276" t="s">
        <v>457</v>
      </c>
      <c r="J739" s="278" t="s">
        <v>215</v>
      </c>
      <c r="K739" s="192"/>
      <c r="L739" s="193"/>
      <c r="M739" s="289"/>
    </row>
    <row r="740" spans="1:13" hidden="1">
      <c r="A740" s="263" t="s">
        <v>13</v>
      </c>
      <c r="B740" s="187" t="s">
        <v>2307</v>
      </c>
      <c r="C740" s="188" t="s">
        <v>1539</v>
      </c>
      <c r="D740" s="189">
        <v>45842</v>
      </c>
      <c r="E740" s="189"/>
      <c r="F740" s="257" t="s">
        <v>16</v>
      </c>
      <c r="G740" s="272">
        <v>35.1</v>
      </c>
      <c r="H740" s="208" t="s">
        <v>1540</v>
      </c>
      <c r="I740" s="276" t="s">
        <v>457</v>
      </c>
      <c r="J740" s="278" t="s">
        <v>215</v>
      </c>
      <c r="K740" s="192"/>
      <c r="L740" s="193"/>
      <c r="M740" s="289"/>
    </row>
    <row r="741" spans="1:13" hidden="1">
      <c r="A741" s="263" t="s">
        <v>13</v>
      </c>
      <c r="B741" s="187" t="s">
        <v>2307</v>
      </c>
      <c r="C741" s="188" t="s">
        <v>1541</v>
      </c>
      <c r="D741" s="189">
        <v>45845</v>
      </c>
      <c r="E741" s="189"/>
      <c r="F741" s="257" t="s">
        <v>16</v>
      </c>
      <c r="G741" s="272">
        <v>33.700000000000003</v>
      </c>
      <c r="H741" s="208" t="s">
        <v>1542</v>
      </c>
      <c r="I741" s="276" t="s">
        <v>457</v>
      </c>
      <c r="J741" s="278" t="s">
        <v>215</v>
      </c>
      <c r="K741" s="192"/>
      <c r="L741" s="193"/>
      <c r="M741" s="289"/>
    </row>
    <row r="742" spans="1:13" hidden="1">
      <c r="A742" s="257"/>
      <c r="B742" s="216" t="s">
        <v>2308</v>
      </c>
      <c r="C742" s="188">
        <v>1</v>
      </c>
      <c r="D742" s="203">
        <v>45664</v>
      </c>
      <c r="E742" s="189">
        <v>45664</v>
      </c>
      <c r="F742" s="257" t="s">
        <v>16</v>
      </c>
      <c r="G742" s="272">
        <v>-801.94</v>
      </c>
      <c r="H742" s="190" t="s">
        <v>1549</v>
      </c>
      <c r="I742" s="216" t="s">
        <v>1550</v>
      </c>
      <c r="J742" s="278" t="s">
        <v>56</v>
      </c>
      <c r="K742" s="192"/>
      <c r="L742" s="193"/>
      <c r="M742" s="289"/>
    </row>
    <row r="743" spans="1:13" hidden="1">
      <c r="A743" s="260" t="s">
        <v>13</v>
      </c>
      <c r="B743" s="187" t="s">
        <v>2309</v>
      </c>
      <c r="C743" s="188">
        <v>249</v>
      </c>
      <c r="D743" s="189">
        <v>45808</v>
      </c>
      <c r="E743" s="189">
        <v>45869</v>
      </c>
      <c r="F743" s="257" t="s">
        <v>49</v>
      </c>
      <c r="G743" s="272">
        <v>2325</v>
      </c>
      <c r="H743" s="190" t="s">
        <v>1553</v>
      </c>
      <c r="I743" s="187" t="s">
        <v>1554</v>
      </c>
      <c r="J743" s="278" t="s">
        <v>56</v>
      </c>
      <c r="K743" s="192">
        <v>45950</v>
      </c>
      <c r="L743" s="193">
        <v>2325</v>
      </c>
      <c r="M743" s="289" t="s">
        <v>1555</v>
      </c>
    </row>
    <row r="744" spans="1:13" hidden="1">
      <c r="A744" s="260" t="s">
        <v>13</v>
      </c>
      <c r="B744" s="187" t="s">
        <v>2309</v>
      </c>
      <c r="C744" s="188">
        <v>275</v>
      </c>
      <c r="D744" s="189">
        <v>45808</v>
      </c>
      <c r="E744" s="189">
        <v>45869</v>
      </c>
      <c r="F744" s="257" t="s">
        <v>49</v>
      </c>
      <c r="G744" s="272">
        <v>2000</v>
      </c>
      <c r="H744" s="190" t="s">
        <v>1557</v>
      </c>
      <c r="I744" s="187" t="s">
        <v>1558</v>
      </c>
      <c r="J744" s="278" t="s">
        <v>56</v>
      </c>
      <c r="K744" s="192">
        <v>45950</v>
      </c>
      <c r="L744" s="193">
        <f>3395-2325</f>
        <v>1070</v>
      </c>
      <c r="M744" s="289" t="s">
        <v>1555</v>
      </c>
    </row>
    <row r="745" spans="1:13" hidden="1">
      <c r="A745" s="260" t="s">
        <v>13</v>
      </c>
      <c r="B745" s="187" t="s">
        <v>2309</v>
      </c>
      <c r="C745" s="188">
        <v>275</v>
      </c>
      <c r="D745" s="189">
        <v>45808</v>
      </c>
      <c r="E745" s="189">
        <v>45869</v>
      </c>
      <c r="F745" s="257" t="s">
        <v>49</v>
      </c>
      <c r="G745" s="272">
        <f>+G744-L744</f>
        <v>930</v>
      </c>
      <c r="H745" s="190"/>
      <c r="I745" s="187" t="s">
        <v>1558</v>
      </c>
      <c r="J745" s="278" t="s">
        <v>56</v>
      </c>
      <c r="K745" s="192">
        <v>45951</v>
      </c>
      <c r="L745" s="193">
        <v>930</v>
      </c>
      <c r="M745" s="289" t="s">
        <v>1559</v>
      </c>
    </row>
    <row r="746" spans="1:13" hidden="1">
      <c r="A746" s="260" t="s">
        <v>13</v>
      </c>
      <c r="B746" s="187" t="s">
        <v>2309</v>
      </c>
      <c r="C746" s="188">
        <v>416</v>
      </c>
      <c r="D746" s="189">
        <v>45887</v>
      </c>
      <c r="E746" s="189">
        <v>45961</v>
      </c>
      <c r="F746" s="257" t="s">
        <v>49</v>
      </c>
      <c r="G746" s="272">
        <v>1370</v>
      </c>
      <c r="H746" s="190" t="s">
        <v>1561</v>
      </c>
      <c r="I746" s="187" t="s">
        <v>436</v>
      </c>
      <c r="J746" s="278" t="s">
        <v>56</v>
      </c>
      <c r="K746" s="192">
        <v>45951</v>
      </c>
      <c r="L746" s="193">
        <v>1370</v>
      </c>
      <c r="M746" s="289" t="s">
        <v>1559</v>
      </c>
    </row>
    <row r="747" spans="1:13" hidden="1">
      <c r="A747" s="260" t="s">
        <v>1562</v>
      </c>
      <c r="B747" s="187" t="s">
        <v>2310</v>
      </c>
      <c r="C747" s="188" t="s">
        <v>1564</v>
      </c>
      <c r="D747" s="189">
        <v>45954</v>
      </c>
      <c r="E747" s="189">
        <v>45954</v>
      </c>
      <c r="F747" s="257" t="s">
        <v>16</v>
      </c>
      <c r="G747" s="272">
        <v>355.05</v>
      </c>
      <c r="H747" s="190"/>
      <c r="I747" s="187" t="s">
        <v>1565</v>
      </c>
      <c r="J747" s="278" t="s">
        <v>825</v>
      </c>
      <c r="K747" s="192">
        <v>45954</v>
      </c>
      <c r="L747" s="193">
        <v>355.05</v>
      </c>
      <c r="M747" s="289" t="s">
        <v>1566</v>
      </c>
    </row>
    <row r="748" spans="1:13" hidden="1">
      <c r="A748" s="263" t="s">
        <v>2088</v>
      </c>
      <c r="B748" s="194" t="s">
        <v>2311</v>
      </c>
      <c r="C748" s="188" t="s">
        <v>2067</v>
      </c>
      <c r="D748" s="195"/>
      <c r="E748" s="189"/>
      <c r="F748" s="257" t="s">
        <v>2088</v>
      </c>
      <c r="G748" s="272">
        <v>3420</v>
      </c>
      <c r="H748" s="211"/>
      <c r="I748" s="298"/>
      <c r="J748" s="278"/>
      <c r="K748" s="192"/>
      <c r="L748" s="193"/>
      <c r="M748" s="289"/>
    </row>
    <row r="749" spans="1:13" hidden="1">
      <c r="A749" s="260" t="s">
        <v>13</v>
      </c>
      <c r="B749" s="194" t="s">
        <v>2312</v>
      </c>
      <c r="C749" s="188">
        <v>256</v>
      </c>
      <c r="D749" s="195">
        <v>45688</v>
      </c>
      <c r="E749" s="189"/>
      <c r="F749" s="257" t="s">
        <v>16</v>
      </c>
      <c r="G749" s="272">
        <v>3850</v>
      </c>
      <c r="H749" s="190" t="s">
        <v>1569</v>
      </c>
      <c r="I749" s="194" t="s">
        <v>312</v>
      </c>
      <c r="J749" s="278" t="s">
        <v>56</v>
      </c>
      <c r="K749" s="192">
        <v>45765</v>
      </c>
      <c r="L749" s="193">
        <v>3850</v>
      </c>
      <c r="M749" s="289"/>
    </row>
    <row r="750" spans="1:13" hidden="1">
      <c r="A750" s="260" t="s">
        <v>13</v>
      </c>
      <c r="B750" s="194" t="s">
        <v>2312</v>
      </c>
      <c r="C750" s="188">
        <v>256</v>
      </c>
      <c r="D750" s="195">
        <v>45688</v>
      </c>
      <c r="E750" s="189"/>
      <c r="F750" s="257" t="s">
        <v>16</v>
      </c>
      <c r="G750" s="272">
        <f>7076-G749</f>
        <v>3226</v>
      </c>
      <c r="H750" s="190" t="s">
        <v>1569</v>
      </c>
      <c r="I750" s="194" t="s">
        <v>312</v>
      </c>
      <c r="J750" s="278" t="s">
        <v>56</v>
      </c>
      <c r="K750" s="192">
        <v>45792</v>
      </c>
      <c r="L750" s="193">
        <v>3850</v>
      </c>
      <c r="M750" s="289"/>
    </row>
    <row r="751" spans="1:13" hidden="1">
      <c r="A751" s="260" t="s">
        <v>13</v>
      </c>
      <c r="B751" s="194" t="s">
        <v>2312</v>
      </c>
      <c r="C751" s="188">
        <v>257</v>
      </c>
      <c r="D751" s="195">
        <v>45688</v>
      </c>
      <c r="E751" s="189"/>
      <c r="F751" s="257" t="s">
        <v>16</v>
      </c>
      <c r="G751" s="272">
        <v>280.60000000000002</v>
      </c>
      <c r="H751" s="190" t="s">
        <v>1571</v>
      </c>
      <c r="I751" s="194"/>
      <c r="J751" s="278" t="s">
        <v>56</v>
      </c>
      <c r="K751" s="192">
        <v>45792</v>
      </c>
      <c r="L751" s="193">
        <v>3850</v>
      </c>
      <c r="M751" s="289"/>
    </row>
    <row r="752" spans="1:13" hidden="1">
      <c r="A752" s="260" t="s">
        <v>13</v>
      </c>
      <c r="B752" s="194" t="s">
        <v>2312</v>
      </c>
      <c r="C752" s="188" t="s">
        <v>1572</v>
      </c>
      <c r="D752" s="195">
        <v>45596</v>
      </c>
      <c r="E752" s="189">
        <v>45667</v>
      </c>
      <c r="F752" s="257" t="s">
        <v>16</v>
      </c>
      <c r="G752" s="272">
        <f>(L751-(G751+G750))</f>
        <v>343.40000000000009</v>
      </c>
      <c r="H752" s="200" t="s">
        <v>1573</v>
      </c>
      <c r="I752" s="194" t="s">
        <v>1231</v>
      </c>
      <c r="J752" s="278" t="s">
        <v>56</v>
      </c>
      <c r="K752" s="192">
        <v>45817</v>
      </c>
      <c r="L752" s="193">
        <v>3850</v>
      </c>
      <c r="M752" s="289"/>
    </row>
    <row r="753" spans="1:13" hidden="1">
      <c r="A753" s="260" t="s">
        <v>13</v>
      </c>
      <c r="B753" s="194" t="s">
        <v>2312</v>
      </c>
      <c r="C753" s="188" t="s">
        <v>1572</v>
      </c>
      <c r="D753" s="195">
        <v>45596</v>
      </c>
      <c r="E753" s="189">
        <v>45667</v>
      </c>
      <c r="F753" s="257" t="s">
        <v>16</v>
      </c>
      <c r="G753" s="272">
        <f>L751</f>
        <v>3850</v>
      </c>
      <c r="H753" s="200" t="s">
        <v>1573</v>
      </c>
      <c r="I753" s="194" t="s">
        <v>1231</v>
      </c>
      <c r="J753" s="278" t="s">
        <v>56</v>
      </c>
      <c r="K753" s="192">
        <v>45855</v>
      </c>
      <c r="L753" s="193">
        <v>3837.17</v>
      </c>
      <c r="M753" s="289" t="s">
        <v>1574</v>
      </c>
    </row>
    <row r="754" spans="1:13" hidden="1">
      <c r="A754" s="260" t="s">
        <v>13</v>
      </c>
      <c r="B754" s="194" t="s">
        <v>2312</v>
      </c>
      <c r="C754" s="188" t="s">
        <v>1572</v>
      </c>
      <c r="D754" s="195">
        <v>45596</v>
      </c>
      <c r="E754" s="189">
        <v>45667</v>
      </c>
      <c r="F754" s="257" t="s">
        <v>16</v>
      </c>
      <c r="G754" s="272">
        <f>6469.78-(L751-(SUM(G750:G751)))-L752</f>
        <v>2276.3799999999992</v>
      </c>
      <c r="H754" s="200" t="s">
        <v>1573</v>
      </c>
      <c r="I754" s="194" t="s">
        <v>1231</v>
      </c>
      <c r="J754" s="278" t="s">
        <v>56</v>
      </c>
      <c r="K754" s="192">
        <v>45845</v>
      </c>
      <c r="L754" s="193">
        <v>1810</v>
      </c>
      <c r="M754" s="289" t="s">
        <v>1575</v>
      </c>
    </row>
    <row r="755" spans="1:13" hidden="1">
      <c r="A755" s="260" t="s">
        <v>13</v>
      </c>
      <c r="B755" s="194" t="s">
        <v>2312</v>
      </c>
      <c r="C755" s="188" t="s">
        <v>1576</v>
      </c>
      <c r="D755" s="195">
        <v>45716</v>
      </c>
      <c r="E755" s="189"/>
      <c r="F755" s="257" t="s">
        <v>16</v>
      </c>
      <c r="G755" s="272">
        <v>366</v>
      </c>
      <c r="H755" s="200" t="s">
        <v>1577</v>
      </c>
      <c r="I755" s="194" t="s">
        <v>1578</v>
      </c>
      <c r="J755" s="278" t="s">
        <v>56</v>
      </c>
      <c r="K755" s="192">
        <v>45845</v>
      </c>
      <c r="L755" s="193">
        <v>1810</v>
      </c>
      <c r="M755" s="289" t="s">
        <v>1575</v>
      </c>
    </row>
    <row r="756" spans="1:13" hidden="1">
      <c r="A756" s="260" t="s">
        <v>13</v>
      </c>
      <c r="B756" s="194" t="s">
        <v>2312</v>
      </c>
      <c r="C756" s="188" t="s">
        <v>1579</v>
      </c>
      <c r="D756" s="195">
        <v>45747</v>
      </c>
      <c r="E756" s="189"/>
      <c r="F756" s="257" t="s">
        <v>16</v>
      </c>
      <c r="G756" s="272">
        <v>366</v>
      </c>
      <c r="H756" s="200" t="s">
        <v>1580</v>
      </c>
      <c r="I756" s="194" t="s">
        <v>1578</v>
      </c>
      <c r="J756" s="278" t="s">
        <v>56</v>
      </c>
      <c r="K756" s="192">
        <v>45845</v>
      </c>
      <c r="L756" s="193">
        <v>1810</v>
      </c>
      <c r="M756" s="289" t="s">
        <v>1575</v>
      </c>
    </row>
    <row r="757" spans="1:13" hidden="1">
      <c r="A757" s="260" t="s">
        <v>13</v>
      </c>
      <c r="B757" s="194" t="s">
        <v>2312</v>
      </c>
      <c r="C757" s="188" t="s">
        <v>1581</v>
      </c>
      <c r="D757" s="195">
        <v>45777</v>
      </c>
      <c r="E757" s="189"/>
      <c r="F757" s="257" t="s">
        <v>16</v>
      </c>
      <c r="G757" s="272">
        <v>366</v>
      </c>
      <c r="H757" s="200" t="s">
        <v>1582</v>
      </c>
      <c r="I757" s="194" t="s">
        <v>1578</v>
      </c>
      <c r="J757" s="278" t="s">
        <v>56</v>
      </c>
      <c r="K757" s="192">
        <v>45845</v>
      </c>
      <c r="L757" s="193">
        <v>1810</v>
      </c>
      <c r="M757" s="289" t="s">
        <v>1575</v>
      </c>
    </row>
    <row r="758" spans="1:13" hidden="1">
      <c r="A758" s="260" t="s">
        <v>13</v>
      </c>
      <c r="B758" s="194" t="s">
        <v>2312</v>
      </c>
      <c r="C758" s="188" t="s">
        <v>1583</v>
      </c>
      <c r="D758" s="195">
        <v>45808</v>
      </c>
      <c r="E758" s="189">
        <v>45808</v>
      </c>
      <c r="F758" s="257" t="s">
        <v>16</v>
      </c>
      <c r="G758" s="272">
        <v>366</v>
      </c>
      <c r="H758" s="200" t="s">
        <v>1584</v>
      </c>
      <c r="I758" s="194" t="s">
        <v>1578</v>
      </c>
      <c r="J758" s="278" t="s">
        <v>56</v>
      </c>
      <c r="K758" s="192">
        <v>45845</v>
      </c>
      <c r="L758" s="193">
        <v>1810</v>
      </c>
      <c r="M758" s="289" t="s">
        <v>1575</v>
      </c>
    </row>
    <row r="759" spans="1:13" hidden="1">
      <c r="A759" s="260" t="s">
        <v>13</v>
      </c>
      <c r="B759" s="194" t="s">
        <v>2312</v>
      </c>
      <c r="C759" s="188" t="s">
        <v>1585</v>
      </c>
      <c r="D759" s="242">
        <v>45838</v>
      </c>
      <c r="E759" s="189"/>
      <c r="F759" s="257" t="s">
        <v>16</v>
      </c>
      <c r="G759" s="272">
        <v>366</v>
      </c>
      <c r="H759" s="196"/>
      <c r="I759" s="194" t="s">
        <v>1578</v>
      </c>
      <c r="J759" s="278" t="s">
        <v>56</v>
      </c>
      <c r="K759" s="192">
        <v>45730</v>
      </c>
      <c r="L759" s="193">
        <f>G761</f>
        <v>1447.7</v>
      </c>
      <c r="M759" s="289" t="s">
        <v>111</v>
      </c>
    </row>
    <row r="760" spans="1:13" hidden="1">
      <c r="A760" s="257"/>
      <c r="B760" s="194" t="s">
        <v>2313</v>
      </c>
      <c r="C760" s="188" t="s">
        <v>1587</v>
      </c>
      <c r="D760" s="242">
        <v>45898</v>
      </c>
      <c r="E760" s="189"/>
      <c r="F760" s="257" t="s">
        <v>16</v>
      </c>
      <c r="G760" s="272">
        <v>80.06</v>
      </c>
      <c r="H760" s="190" t="s">
        <v>1588</v>
      </c>
      <c r="I760" s="194" t="s">
        <v>889</v>
      </c>
      <c r="J760" s="278" t="s">
        <v>794</v>
      </c>
      <c r="K760" s="192"/>
      <c r="L760" s="193"/>
      <c r="M760" s="289"/>
    </row>
    <row r="761" spans="1:13" hidden="1">
      <c r="A761" s="257"/>
      <c r="B761" s="187" t="s">
        <v>2314</v>
      </c>
      <c r="C761" s="188">
        <v>126</v>
      </c>
      <c r="D761" s="189">
        <v>45761</v>
      </c>
      <c r="E761" s="189">
        <f>D761+60</f>
        <v>45821</v>
      </c>
      <c r="F761" s="257" t="s">
        <v>16</v>
      </c>
      <c r="G761" s="272">
        <v>1447.7</v>
      </c>
      <c r="H761" s="236"/>
      <c r="I761" s="187" t="s">
        <v>1591</v>
      </c>
      <c r="J761" s="278"/>
      <c r="K761" s="192">
        <v>45876</v>
      </c>
      <c r="L761" s="193">
        <v>1476.88</v>
      </c>
      <c r="M761" s="289"/>
    </row>
    <row r="762" spans="1:13" hidden="1">
      <c r="A762" s="257"/>
      <c r="B762" s="187" t="s">
        <v>2314</v>
      </c>
      <c r="C762" s="188">
        <v>281</v>
      </c>
      <c r="D762" s="189">
        <v>45851</v>
      </c>
      <c r="E762" s="189"/>
      <c r="F762" s="257" t="s">
        <v>16</v>
      </c>
      <c r="G762" s="272">
        <f>L761-G761</f>
        <v>29.180000000000064</v>
      </c>
      <c r="H762" s="236"/>
      <c r="I762" s="187" t="s">
        <v>1591</v>
      </c>
      <c r="J762" s="278"/>
      <c r="K762" s="192"/>
      <c r="L762" s="193"/>
      <c r="M762" s="289"/>
    </row>
    <row r="763" spans="1:13" hidden="1">
      <c r="A763" s="257"/>
      <c r="B763" s="187" t="s">
        <v>2314</v>
      </c>
      <c r="C763" s="188">
        <v>283</v>
      </c>
      <c r="D763" s="189">
        <v>45901</v>
      </c>
      <c r="E763" s="189"/>
      <c r="F763" s="257" t="s">
        <v>16</v>
      </c>
      <c r="G763" s="272">
        <f>1390.6-G762</f>
        <v>1361.4199999999998</v>
      </c>
      <c r="H763" s="236"/>
      <c r="I763" s="187" t="s">
        <v>1597</v>
      </c>
      <c r="J763" s="278"/>
      <c r="K763" s="192"/>
      <c r="L763" s="193"/>
      <c r="M763" s="289"/>
    </row>
    <row r="764" spans="1:13" hidden="1">
      <c r="A764" s="257"/>
      <c r="B764" s="194" t="s">
        <v>2315</v>
      </c>
      <c r="C764" s="188" t="s">
        <v>902</v>
      </c>
      <c r="D764" s="195">
        <v>46003</v>
      </c>
      <c r="E764" s="189">
        <v>46003</v>
      </c>
      <c r="F764" s="257" t="s">
        <v>49</v>
      </c>
      <c r="G764" s="272">
        <v>1013.77</v>
      </c>
      <c r="H764" s="196"/>
      <c r="I764" s="194" t="s">
        <v>1598</v>
      </c>
      <c r="J764" s="278" t="s">
        <v>374</v>
      </c>
      <c r="K764" s="192"/>
      <c r="L764" s="193">
        <v>1013.77</v>
      </c>
      <c r="M764" s="289"/>
    </row>
    <row r="765" spans="1:13" hidden="1">
      <c r="A765" s="257"/>
      <c r="B765" s="243" t="s">
        <v>2316</v>
      </c>
      <c r="C765" s="188" t="s">
        <v>1590</v>
      </c>
      <c r="D765" s="244">
        <v>45671</v>
      </c>
      <c r="E765" s="189"/>
      <c r="F765" s="257" t="s">
        <v>16</v>
      </c>
      <c r="G765" s="272">
        <v>1476.88</v>
      </c>
      <c r="H765" s="245"/>
      <c r="I765" s="243" t="s">
        <v>1591</v>
      </c>
      <c r="J765" s="278"/>
      <c r="K765" s="192">
        <v>45730</v>
      </c>
      <c r="L765" s="193">
        <f>G766</f>
        <v>1476.88</v>
      </c>
      <c r="M765" s="289" t="s">
        <v>111</v>
      </c>
    </row>
    <row r="766" spans="1:13" hidden="1">
      <c r="A766" s="257"/>
      <c r="B766" s="187" t="s">
        <v>2317</v>
      </c>
      <c r="C766" s="188">
        <v>262</v>
      </c>
      <c r="D766" s="189">
        <v>45876</v>
      </c>
      <c r="E766" s="189"/>
      <c r="F766" s="257" t="s">
        <v>16</v>
      </c>
      <c r="G766" s="272">
        <v>1476.88</v>
      </c>
      <c r="H766" s="236"/>
      <c r="I766" s="187" t="s">
        <v>1591</v>
      </c>
      <c r="J766" s="278"/>
      <c r="K766" s="192">
        <v>45876</v>
      </c>
      <c r="L766" s="193">
        <v>1476.88</v>
      </c>
      <c r="M766" s="289"/>
    </row>
    <row r="767" spans="1:13" hidden="1">
      <c r="A767" s="257">
        <v>2023</v>
      </c>
      <c r="B767" s="187" t="s">
        <v>2318</v>
      </c>
      <c r="C767" s="188" t="s">
        <v>255</v>
      </c>
      <c r="D767" s="195">
        <v>45226</v>
      </c>
      <c r="E767" s="189">
        <v>45240</v>
      </c>
      <c r="F767" s="257" t="s">
        <v>16</v>
      </c>
      <c r="G767" s="272">
        <v>2000</v>
      </c>
      <c r="H767" s="208" t="s">
        <v>256</v>
      </c>
      <c r="I767" s="194" t="s">
        <v>2319</v>
      </c>
      <c r="J767" s="278" t="s">
        <v>56</v>
      </c>
      <c r="K767" s="192">
        <v>45945</v>
      </c>
      <c r="L767" s="193">
        <v>2000</v>
      </c>
      <c r="M767" s="289"/>
    </row>
    <row r="768" spans="1:13" hidden="1">
      <c r="A768" s="266">
        <v>2023</v>
      </c>
      <c r="B768" s="187" t="s">
        <v>2318</v>
      </c>
      <c r="C768" s="188" t="s">
        <v>255</v>
      </c>
      <c r="D768" s="195">
        <v>45226</v>
      </c>
      <c r="E768" s="189">
        <v>45240</v>
      </c>
      <c r="F768" s="257" t="s">
        <v>16</v>
      </c>
      <c r="G768" s="272">
        <f>2299.59-2000</f>
        <v>299.59000000000015</v>
      </c>
      <c r="H768" s="208" t="s">
        <v>256</v>
      </c>
      <c r="I768" s="194" t="s">
        <v>2319</v>
      </c>
      <c r="J768" s="278" t="s">
        <v>56</v>
      </c>
      <c r="K768" s="192"/>
      <c r="L768" s="193"/>
      <c r="M768" s="289"/>
    </row>
    <row r="769" spans="1:13" hidden="1">
      <c r="A769" s="266">
        <v>2023</v>
      </c>
      <c r="B769" s="187" t="s">
        <v>2318</v>
      </c>
      <c r="C769" s="188" t="s">
        <v>258</v>
      </c>
      <c r="D769" s="195">
        <v>45236</v>
      </c>
      <c r="E769" s="189">
        <v>45270</v>
      </c>
      <c r="F769" s="257" t="s">
        <v>16</v>
      </c>
      <c r="G769" s="272">
        <v>1723.02</v>
      </c>
      <c r="H769" s="208" t="s">
        <v>259</v>
      </c>
      <c r="I769" s="194" t="s">
        <v>2319</v>
      </c>
      <c r="J769" s="278" t="s">
        <v>56</v>
      </c>
      <c r="K769" s="192"/>
      <c r="L769" s="193"/>
      <c r="M769" s="289"/>
    </row>
    <row r="770" spans="1:13" hidden="1">
      <c r="A770" s="266">
        <v>2023</v>
      </c>
      <c r="B770" s="187" t="s">
        <v>2318</v>
      </c>
      <c r="C770" s="188" t="s">
        <v>260</v>
      </c>
      <c r="D770" s="195">
        <v>45250</v>
      </c>
      <c r="E770" s="189">
        <v>45270</v>
      </c>
      <c r="F770" s="257" t="s">
        <v>16</v>
      </c>
      <c r="G770" s="272">
        <v>1519.91</v>
      </c>
      <c r="H770" s="208" t="s">
        <v>261</v>
      </c>
      <c r="I770" s="194" t="s">
        <v>2319</v>
      </c>
      <c r="J770" s="278" t="s">
        <v>56</v>
      </c>
      <c r="K770" s="192"/>
      <c r="L770" s="193"/>
      <c r="M770" s="289"/>
    </row>
    <row r="771" spans="1:13" hidden="1">
      <c r="A771" s="266">
        <v>2023</v>
      </c>
      <c r="B771" s="187" t="s">
        <v>2318</v>
      </c>
      <c r="C771" s="188" t="s">
        <v>262</v>
      </c>
      <c r="D771" s="195">
        <v>45260</v>
      </c>
      <c r="E771" s="189">
        <v>45301</v>
      </c>
      <c r="F771" s="257" t="s">
        <v>16</v>
      </c>
      <c r="G771" s="272">
        <v>1822.6</v>
      </c>
      <c r="H771" s="208" t="s">
        <v>263</v>
      </c>
      <c r="I771" s="194" t="s">
        <v>2319</v>
      </c>
      <c r="J771" s="278" t="s">
        <v>56</v>
      </c>
      <c r="K771" s="192"/>
      <c r="L771" s="193"/>
      <c r="M771" s="289"/>
    </row>
    <row r="772" spans="1:13" hidden="1">
      <c r="A772" s="266" t="s">
        <v>90</v>
      </c>
      <c r="B772" s="187" t="s">
        <v>2318</v>
      </c>
      <c r="C772" s="188">
        <v>139</v>
      </c>
      <c r="D772" s="195">
        <v>45740</v>
      </c>
      <c r="E772" s="189">
        <v>45740</v>
      </c>
      <c r="F772" s="257" t="s">
        <v>16</v>
      </c>
      <c r="G772" s="272">
        <v>1282.19</v>
      </c>
      <c r="H772" s="208" t="s">
        <v>266</v>
      </c>
      <c r="I772" s="194" t="s">
        <v>2319</v>
      </c>
      <c r="J772" s="278" t="s">
        <v>56</v>
      </c>
      <c r="K772" s="192"/>
      <c r="L772" s="193"/>
      <c r="M772" s="289"/>
    </row>
    <row r="773" spans="1:13" hidden="1">
      <c r="A773" s="266"/>
      <c r="B773" s="187" t="s">
        <v>2318</v>
      </c>
      <c r="C773" s="188" t="s">
        <v>1599</v>
      </c>
      <c r="D773" s="189">
        <v>45642</v>
      </c>
      <c r="E773" s="189"/>
      <c r="F773" s="257" t="s">
        <v>16</v>
      </c>
      <c r="G773" s="272">
        <v>3615.15</v>
      </c>
      <c r="H773" s="236"/>
      <c r="I773" s="194" t="s">
        <v>2319</v>
      </c>
      <c r="J773" s="278" t="s">
        <v>56</v>
      </c>
      <c r="K773" s="192"/>
      <c r="L773" s="193"/>
      <c r="M773" s="289"/>
    </row>
    <row r="774" spans="1:13" hidden="1">
      <c r="A774" s="257"/>
      <c r="B774" s="194" t="s">
        <v>2320</v>
      </c>
      <c r="C774" s="188">
        <v>132</v>
      </c>
      <c r="D774" s="195">
        <v>45677</v>
      </c>
      <c r="E774" s="189"/>
      <c r="F774" s="257" t="s">
        <v>16</v>
      </c>
      <c r="G774" s="272">
        <v>300</v>
      </c>
      <c r="H774" s="190" t="s">
        <v>1603</v>
      </c>
      <c r="I774" s="194" t="s">
        <v>1604</v>
      </c>
      <c r="J774" s="278"/>
      <c r="K774" s="192"/>
      <c r="L774" s="193"/>
      <c r="M774" s="289"/>
    </row>
    <row r="775" spans="1:13" hidden="1">
      <c r="A775" s="257"/>
      <c r="B775" s="194" t="s">
        <v>2320</v>
      </c>
      <c r="C775" s="188">
        <v>132</v>
      </c>
      <c r="D775" s="195">
        <v>45677</v>
      </c>
      <c r="E775" s="189"/>
      <c r="F775" s="257" t="s">
        <v>16</v>
      </c>
      <c r="G775" s="272">
        <v>51.06</v>
      </c>
      <c r="H775" s="190" t="s">
        <v>1603</v>
      </c>
      <c r="I775" s="194" t="s">
        <v>1604</v>
      </c>
      <c r="J775" s="278" t="s">
        <v>799</v>
      </c>
      <c r="K775" s="192"/>
      <c r="L775" s="193"/>
      <c r="M775" s="289"/>
    </row>
    <row r="776" spans="1:13" hidden="1">
      <c r="A776" s="257"/>
      <c r="B776" s="194" t="s">
        <v>2320</v>
      </c>
      <c r="C776" s="188" t="s">
        <v>1605</v>
      </c>
      <c r="D776" s="195">
        <v>45511</v>
      </c>
      <c r="E776" s="189"/>
      <c r="F776" s="257" t="s">
        <v>16</v>
      </c>
      <c r="G776" s="272">
        <v>43.06</v>
      </c>
      <c r="H776" s="200" t="s">
        <v>1606</v>
      </c>
      <c r="I776" s="194" t="s">
        <v>1607</v>
      </c>
      <c r="J776" s="278" t="s">
        <v>185</v>
      </c>
      <c r="K776" s="192"/>
      <c r="L776" s="193"/>
      <c r="M776" s="289"/>
    </row>
    <row r="777" spans="1:13" hidden="1">
      <c r="A777" s="257"/>
      <c r="B777" s="194" t="s">
        <v>2320</v>
      </c>
      <c r="C777" s="188" t="s">
        <v>1608</v>
      </c>
      <c r="D777" s="195">
        <v>45650</v>
      </c>
      <c r="E777" s="189">
        <v>45673</v>
      </c>
      <c r="F777" s="257" t="s">
        <v>16</v>
      </c>
      <c r="G777" s="272">
        <v>283.26</v>
      </c>
      <c r="H777" s="200" t="s">
        <v>1609</v>
      </c>
      <c r="I777" s="194" t="s">
        <v>1610</v>
      </c>
      <c r="J777" s="278" t="s">
        <v>185</v>
      </c>
      <c r="K777" s="192"/>
      <c r="L777" s="193"/>
      <c r="M777" s="289"/>
    </row>
    <row r="778" spans="1:13" hidden="1">
      <c r="A778" s="257"/>
      <c r="B778" s="194" t="s">
        <v>2320</v>
      </c>
      <c r="C778" s="188" t="s">
        <v>1611</v>
      </c>
      <c r="D778" s="195">
        <v>45650</v>
      </c>
      <c r="E778" s="189">
        <v>45673</v>
      </c>
      <c r="F778" s="257" t="s">
        <v>16</v>
      </c>
      <c r="G778" s="272">
        <v>320.89999999999998</v>
      </c>
      <c r="H778" s="200" t="s">
        <v>1612</v>
      </c>
      <c r="I778" s="194" t="s">
        <v>1610</v>
      </c>
      <c r="J778" s="278" t="s">
        <v>185</v>
      </c>
      <c r="K778" s="192"/>
      <c r="L778" s="193"/>
      <c r="M778" s="289"/>
    </row>
    <row r="779" spans="1:13" hidden="1">
      <c r="A779" s="257"/>
      <c r="B779" s="194" t="s">
        <v>2320</v>
      </c>
      <c r="C779" s="188" t="s">
        <v>1613</v>
      </c>
      <c r="D779" s="195">
        <v>45650</v>
      </c>
      <c r="E779" s="189">
        <v>45673</v>
      </c>
      <c r="F779" s="257" t="s">
        <v>16</v>
      </c>
      <c r="G779" s="272">
        <v>509.8</v>
      </c>
      <c r="H779" s="200" t="s">
        <v>1614</v>
      </c>
      <c r="I779" s="194"/>
      <c r="J779" s="278" t="s">
        <v>1198</v>
      </c>
      <c r="K779" s="192"/>
      <c r="L779" s="193"/>
      <c r="M779" s="289"/>
    </row>
    <row r="780" spans="1:13" hidden="1">
      <c r="A780" s="257"/>
      <c r="B780" s="194" t="s">
        <v>2320</v>
      </c>
      <c r="C780" s="188" t="s">
        <v>1615</v>
      </c>
      <c r="D780" s="195">
        <v>45650</v>
      </c>
      <c r="E780" s="189">
        <v>45673</v>
      </c>
      <c r="F780" s="257" t="s">
        <v>16</v>
      </c>
      <c r="G780" s="272">
        <v>71.260000000000005</v>
      </c>
      <c r="H780" s="200" t="s">
        <v>1616</v>
      </c>
      <c r="I780" s="194" t="s">
        <v>1610</v>
      </c>
      <c r="J780" s="278" t="s">
        <v>185</v>
      </c>
      <c r="K780" s="192">
        <v>45853</v>
      </c>
      <c r="L780" s="193">
        <f>SUM(G781:G784)</f>
        <v>1464.38</v>
      </c>
      <c r="M780" s="289"/>
    </row>
    <row r="781" spans="1:13" hidden="1">
      <c r="A781" s="257"/>
      <c r="B781" s="194" t="s">
        <v>3816</v>
      </c>
      <c r="C781" s="188" t="s">
        <v>4241</v>
      </c>
      <c r="D781" s="195">
        <v>46065</v>
      </c>
      <c r="E781" s="189">
        <v>46142</v>
      </c>
      <c r="F781" s="257"/>
      <c r="G781" s="272">
        <v>352.1</v>
      </c>
      <c r="H781" s="249"/>
      <c r="I781" s="194" t="s">
        <v>3818</v>
      </c>
      <c r="J781" s="278" t="s">
        <v>125</v>
      </c>
      <c r="K781" s="193">
        <v>63.49</v>
      </c>
      <c r="L781" s="192">
        <v>46142</v>
      </c>
      <c r="M781" s="289"/>
    </row>
    <row r="782" spans="1:13" hidden="1">
      <c r="A782" s="257"/>
      <c r="B782" s="194" t="s">
        <v>2321</v>
      </c>
      <c r="C782" s="188">
        <v>137</v>
      </c>
      <c r="D782" s="195">
        <v>45688</v>
      </c>
      <c r="E782" s="189">
        <v>45747</v>
      </c>
      <c r="F782" s="257" t="s">
        <v>16</v>
      </c>
      <c r="G782" s="272">
        <v>323.58</v>
      </c>
      <c r="H782" s="190" t="s">
        <v>1619</v>
      </c>
      <c r="I782" s="194" t="s">
        <v>279</v>
      </c>
      <c r="J782" s="278" t="s">
        <v>110</v>
      </c>
      <c r="K782" s="192">
        <v>45853</v>
      </c>
      <c r="L782" s="193">
        <f>SUM(G782:G785)</f>
        <v>1378.6000000000001</v>
      </c>
      <c r="M782" s="289" t="s">
        <v>1620</v>
      </c>
    </row>
    <row r="783" spans="1:13" hidden="1">
      <c r="A783" s="257"/>
      <c r="B783" s="194" t="s">
        <v>2321</v>
      </c>
      <c r="C783" s="188" t="s">
        <v>1621</v>
      </c>
      <c r="D783" s="195">
        <v>45443</v>
      </c>
      <c r="E783" s="189">
        <v>45504</v>
      </c>
      <c r="F783" s="257" t="s">
        <v>16</v>
      </c>
      <c r="G783" s="272">
        <v>192.13</v>
      </c>
      <c r="H783" s="200" t="s">
        <v>1622</v>
      </c>
      <c r="I783" s="257" t="s">
        <v>1623</v>
      </c>
      <c r="J783" s="278" t="s">
        <v>110</v>
      </c>
      <c r="K783" s="192">
        <v>45853</v>
      </c>
      <c r="L783" s="193">
        <f>SUM(G782:G785)</f>
        <v>1378.6000000000001</v>
      </c>
      <c r="M783" s="289" t="s">
        <v>1620</v>
      </c>
    </row>
    <row r="784" spans="1:13" hidden="1">
      <c r="A784" s="257"/>
      <c r="B784" s="194" t="s">
        <v>2321</v>
      </c>
      <c r="C784" s="188" t="s">
        <v>1624</v>
      </c>
      <c r="D784" s="195">
        <v>45596</v>
      </c>
      <c r="E784" s="189">
        <v>45667</v>
      </c>
      <c r="F784" s="257" t="s">
        <v>16</v>
      </c>
      <c r="G784" s="272">
        <v>596.57000000000005</v>
      </c>
      <c r="H784" s="190" t="s">
        <v>1625</v>
      </c>
      <c r="I784" s="194" t="s">
        <v>1626</v>
      </c>
      <c r="J784" s="278" t="s">
        <v>110</v>
      </c>
      <c r="K784" s="192">
        <v>45853</v>
      </c>
      <c r="L784" s="193">
        <f>SUM(G782:G785)</f>
        <v>1378.6000000000001</v>
      </c>
      <c r="M784" s="289" t="s">
        <v>1620</v>
      </c>
    </row>
    <row r="785" spans="1:13" hidden="1">
      <c r="A785" s="257"/>
      <c r="B785" s="194" t="s">
        <v>2321</v>
      </c>
      <c r="C785" s="188" t="s">
        <v>1627</v>
      </c>
      <c r="D785" s="195">
        <v>45777</v>
      </c>
      <c r="E785" s="189">
        <v>45838</v>
      </c>
      <c r="F785" s="257" t="s">
        <v>16</v>
      </c>
      <c r="G785" s="272">
        <v>266.32</v>
      </c>
      <c r="H785" s="190" t="s">
        <v>1628</v>
      </c>
      <c r="I785" s="194"/>
      <c r="J785" s="278" t="s">
        <v>110</v>
      </c>
      <c r="K785" s="192">
        <v>45853</v>
      </c>
      <c r="L785" s="193">
        <f>SUM(G783:G786)</f>
        <v>1084.32</v>
      </c>
      <c r="M785" s="289" t="s">
        <v>1620</v>
      </c>
    </row>
    <row r="786" spans="1:13" hidden="1">
      <c r="A786" s="257"/>
      <c r="B786" s="194" t="s">
        <v>2321</v>
      </c>
      <c r="C786" s="188" t="s">
        <v>1627</v>
      </c>
      <c r="D786" s="195">
        <v>45777</v>
      </c>
      <c r="E786" s="189">
        <v>45838</v>
      </c>
      <c r="F786" s="257"/>
      <c r="G786" s="272">
        <v>29.3</v>
      </c>
      <c r="H786" s="190" t="s">
        <v>1628</v>
      </c>
      <c r="I786" s="194"/>
      <c r="J786" s="278" t="s">
        <v>110</v>
      </c>
      <c r="K786" s="192"/>
      <c r="L786" s="193"/>
      <c r="M786" s="289"/>
    </row>
    <row r="787" spans="1:13" hidden="1">
      <c r="A787" s="257"/>
      <c r="B787" s="194" t="s">
        <v>2321</v>
      </c>
      <c r="C787" s="188" t="s">
        <v>1629</v>
      </c>
      <c r="D787" s="195">
        <v>45869</v>
      </c>
      <c r="E787" s="189">
        <v>45930</v>
      </c>
      <c r="F787" s="257"/>
      <c r="G787" s="272">
        <v>408.19</v>
      </c>
      <c r="H787" s="190" t="s">
        <v>1630</v>
      </c>
      <c r="I787" s="194" t="s">
        <v>1631</v>
      </c>
      <c r="J787" s="278" t="s">
        <v>110</v>
      </c>
      <c r="K787" s="192"/>
      <c r="L787" s="193"/>
      <c r="M787" s="289"/>
    </row>
    <row r="788" spans="1:13" hidden="1">
      <c r="A788" s="257"/>
      <c r="B788" s="194" t="s">
        <v>2321</v>
      </c>
      <c r="C788" s="188" t="s">
        <v>1632</v>
      </c>
      <c r="D788" s="189">
        <v>45961</v>
      </c>
      <c r="E788" s="189">
        <v>46032</v>
      </c>
      <c r="F788" s="257" t="s">
        <v>16</v>
      </c>
      <c r="G788" s="272">
        <v>344.93</v>
      </c>
      <c r="H788" s="190"/>
      <c r="I788" s="187" t="s">
        <v>1631</v>
      </c>
      <c r="J788" s="278" t="s">
        <v>125</v>
      </c>
      <c r="K788" s="192">
        <v>46032</v>
      </c>
      <c r="L788" s="193">
        <v>344.93</v>
      </c>
      <c r="M788" s="289"/>
    </row>
    <row r="789" spans="1:13" hidden="1">
      <c r="A789" s="257"/>
      <c r="B789" s="194" t="s">
        <v>2321</v>
      </c>
      <c r="C789" s="188" t="s">
        <v>1633</v>
      </c>
      <c r="D789" s="189">
        <v>45961</v>
      </c>
      <c r="E789" s="189">
        <v>46032</v>
      </c>
      <c r="F789" s="257" t="s">
        <v>16</v>
      </c>
      <c r="G789" s="272">
        <v>207.8</v>
      </c>
      <c r="H789" s="190"/>
      <c r="I789" s="187" t="s">
        <v>1634</v>
      </c>
      <c r="J789" s="278" t="s">
        <v>125</v>
      </c>
      <c r="K789" s="192">
        <v>46032</v>
      </c>
      <c r="L789" s="193">
        <v>207.8</v>
      </c>
      <c r="M789" s="289"/>
    </row>
    <row r="790" spans="1:13" hidden="1">
      <c r="A790" s="260" t="s">
        <v>67</v>
      </c>
      <c r="B790" s="194" t="s">
        <v>2323</v>
      </c>
      <c r="C790" s="188">
        <v>8</v>
      </c>
      <c r="D790" s="195">
        <v>45691</v>
      </c>
      <c r="E790" s="189">
        <v>45691</v>
      </c>
      <c r="F790" s="257" t="s">
        <v>16</v>
      </c>
      <c r="G790" s="273">
        <v>7320</v>
      </c>
      <c r="H790" s="190" t="s">
        <v>1636</v>
      </c>
      <c r="I790" s="194" t="s">
        <v>1637</v>
      </c>
      <c r="J790" s="278" t="s">
        <v>66</v>
      </c>
      <c r="K790" s="192">
        <v>45698</v>
      </c>
      <c r="L790" s="193">
        <v>7320</v>
      </c>
      <c r="M790" s="289" t="s">
        <v>70</v>
      </c>
    </row>
    <row r="791" spans="1:13" hidden="1">
      <c r="A791" s="330" t="s">
        <v>316</v>
      </c>
      <c r="B791" s="194" t="s">
        <v>2323</v>
      </c>
      <c r="C791" s="209">
        <v>52</v>
      </c>
      <c r="D791" s="195">
        <v>45791</v>
      </c>
      <c r="E791" s="210">
        <v>45808</v>
      </c>
      <c r="G791" s="273">
        <f>12180-G792-G793-G794</f>
        <v>3090</v>
      </c>
      <c r="H791" s="190"/>
      <c r="I791" s="194" t="s">
        <v>248</v>
      </c>
      <c r="J791" s="279" t="s">
        <v>354</v>
      </c>
      <c r="K791" s="192"/>
      <c r="L791" s="193">
        <f>+G791-G792-G793</f>
        <v>-3000</v>
      </c>
      <c r="M791" s="289" t="s">
        <v>1639</v>
      </c>
    </row>
    <row r="792" spans="1:13" hidden="1">
      <c r="A792" s="330" t="s">
        <v>316</v>
      </c>
      <c r="B792" s="194" t="s">
        <v>2323</v>
      </c>
      <c r="C792" s="209">
        <v>52</v>
      </c>
      <c r="D792" s="195">
        <v>45791</v>
      </c>
      <c r="E792" s="210">
        <v>45808</v>
      </c>
      <c r="F792" s="268" t="s">
        <v>16</v>
      </c>
      <c r="G792" s="273">
        <v>3045</v>
      </c>
      <c r="H792" s="190" t="s">
        <v>1640</v>
      </c>
      <c r="I792" s="194" t="s">
        <v>2324</v>
      </c>
      <c r="J792" s="279" t="s">
        <v>56</v>
      </c>
      <c r="K792" s="192">
        <v>45945</v>
      </c>
      <c r="L792" s="193">
        <v>3045</v>
      </c>
      <c r="M792" s="194" t="s">
        <v>71</v>
      </c>
    </row>
    <row r="793" spans="1:13" hidden="1">
      <c r="A793" s="330" t="s">
        <v>316</v>
      </c>
      <c r="B793" s="194" t="s">
        <v>2323</v>
      </c>
      <c r="C793" s="209">
        <v>52</v>
      </c>
      <c r="D793" s="195">
        <v>45791</v>
      </c>
      <c r="E793" s="210">
        <v>45808</v>
      </c>
      <c r="F793" s="268" t="s">
        <v>16</v>
      </c>
      <c r="G793" s="273">
        <v>3045</v>
      </c>
      <c r="H793" s="190" t="s">
        <v>1640</v>
      </c>
      <c r="I793" s="194" t="s">
        <v>2325</v>
      </c>
      <c r="J793" s="279" t="s">
        <v>56</v>
      </c>
      <c r="K793" s="192">
        <v>45960</v>
      </c>
      <c r="L793" s="193">
        <v>3045</v>
      </c>
      <c r="M793" s="289" t="s">
        <v>246</v>
      </c>
    </row>
    <row r="794" spans="1:13" hidden="1">
      <c r="A794" s="260" t="s">
        <v>316</v>
      </c>
      <c r="B794" s="187" t="s">
        <v>2323</v>
      </c>
      <c r="C794" s="188">
        <v>52</v>
      </c>
      <c r="D794" s="189">
        <v>45791</v>
      </c>
      <c r="E794" s="189">
        <v>45808</v>
      </c>
      <c r="F794" s="257" t="s">
        <v>16</v>
      </c>
      <c r="G794" s="272">
        <v>3000</v>
      </c>
      <c r="H794" s="190" t="s">
        <v>1640</v>
      </c>
      <c r="I794" s="187" t="s">
        <v>2325</v>
      </c>
      <c r="J794" s="278" t="s">
        <v>56</v>
      </c>
      <c r="K794" s="192">
        <v>45992</v>
      </c>
      <c r="L794" s="193">
        <v>3000</v>
      </c>
      <c r="M794" s="289" t="s">
        <v>246</v>
      </c>
    </row>
    <row r="795" spans="1:13" hidden="1">
      <c r="A795" s="260" t="s">
        <v>316</v>
      </c>
      <c r="B795" s="194" t="s">
        <v>2323</v>
      </c>
      <c r="C795" s="188">
        <v>73</v>
      </c>
      <c r="D795" s="195">
        <v>45807</v>
      </c>
      <c r="E795" s="189">
        <v>45837</v>
      </c>
      <c r="F795" s="257" t="s">
        <v>16</v>
      </c>
      <c r="G795" s="272">
        <v>3081.72</v>
      </c>
      <c r="H795" s="190" t="s">
        <v>1643</v>
      </c>
      <c r="I795" s="194" t="s">
        <v>1644</v>
      </c>
      <c r="J795" s="278" t="s">
        <v>56</v>
      </c>
      <c r="K795" s="192"/>
      <c r="L795" s="193"/>
      <c r="M795" s="289"/>
    </row>
    <row r="796" spans="1:13" hidden="1">
      <c r="A796" s="260" t="s">
        <v>316</v>
      </c>
      <c r="B796" s="194" t="s">
        <v>2323</v>
      </c>
      <c r="C796" s="188">
        <v>2</v>
      </c>
      <c r="D796" s="203">
        <v>45819</v>
      </c>
      <c r="E796" s="189">
        <v>45849</v>
      </c>
      <c r="F796" s="257" t="s">
        <v>16</v>
      </c>
      <c r="G796" s="272">
        <v>-3081.72</v>
      </c>
      <c r="H796" s="222" t="s">
        <v>1645</v>
      </c>
      <c r="I796" s="216" t="s">
        <v>1646</v>
      </c>
      <c r="J796" s="278" t="s">
        <v>56</v>
      </c>
      <c r="K796" s="192">
        <v>45853</v>
      </c>
      <c r="L796" s="193"/>
      <c r="M796" s="289" t="s">
        <v>345</v>
      </c>
    </row>
    <row r="797" spans="1:13" hidden="1">
      <c r="A797" s="260" t="s">
        <v>316</v>
      </c>
      <c r="B797" s="194" t="s">
        <v>2323</v>
      </c>
      <c r="C797" s="188">
        <v>77</v>
      </c>
      <c r="D797" s="189">
        <v>45819</v>
      </c>
      <c r="E797" s="189">
        <v>45849</v>
      </c>
      <c r="F797" s="257" t="s">
        <v>16</v>
      </c>
      <c r="G797" s="272">
        <v>2627.04</v>
      </c>
      <c r="H797" s="190" t="s">
        <v>1648</v>
      </c>
      <c r="I797" s="187" t="s">
        <v>1649</v>
      </c>
      <c r="J797" s="278" t="s">
        <v>56</v>
      </c>
      <c r="K797" s="192">
        <v>45853</v>
      </c>
      <c r="L797" s="193">
        <v>2627.04</v>
      </c>
      <c r="M797" s="289" t="s">
        <v>394</v>
      </c>
    </row>
    <row r="798" spans="1:13" hidden="1">
      <c r="A798" s="260" t="s">
        <v>316</v>
      </c>
      <c r="B798" s="194" t="s">
        <v>2326</v>
      </c>
      <c r="C798" s="188">
        <v>572</v>
      </c>
      <c r="D798" s="195">
        <v>45797</v>
      </c>
      <c r="E798" s="189"/>
      <c r="F798" s="257" t="s">
        <v>16</v>
      </c>
      <c r="G798" s="272">
        <v>42</v>
      </c>
      <c r="H798" s="190" t="s">
        <v>1652</v>
      </c>
      <c r="I798" s="194" t="s">
        <v>457</v>
      </c>
      <c r="J798" s="278" t="s">
        <v>219</v>
      </c>
      <c r="K798" s="192"/>
      <c r="L798" s="193"/>
      <c r="M798" s="289"/>
    </row>
    <row r="799" spans="1:13" hidden="1">
      <c r="A799" s="260" t="s">
        <v>13</v>
      </c>
      <c r="B799" s="194" t="s">
        <v>2327</v>
      </c>
      <c r="C799" s="188">
        <v>2569</v>
      </c>
      <c r="D799" s="195">
        <v>45792</v>
      </c>
      <c r="E799" s="189">
        <f>D799+60</f>
        <v>45852</v>
      </c>
      <c r="F799" s="257" t="s">
        <v>49</v>
      </c>
      <c r="G799" s="272">
        <v>370.39</v>
      </c>
      <c r="H799" s="190" t="s">
        <v>1655</v>
      </c>
      <c r="I799" s="194" t="s">
        <v>1656</v>
      </c>
      <c r="J799" s="278" t="s">
        <v>110</v>
      </c>
      <c r="K799" s="192">
        <v>45950</v>
      </c>
      <c r="L799" s="193">
        <v>370.39</v>
      </c>
      <c r="M799" s="289" t="s">
        <v>246</v>
      </c>
    </row>
    <row r="800" spans="1:13" hidden="1">
      <c r="A800" s="260" t="s">
        <v>13</v>
      </c>
      <c r="B800" s="194" t="s">
        <v>2327</v>
      </c>
      <c r="C800" s="188">
        <v>3183</v>
      </c>
      <c r="D800" s="195">
        <v>45821</v>
      </c>
      <c r="E800" s="189">
        <f>D800+60</f>
        <v>45881</v>
      </c>
      <c r="F800" s="257" t="s">
        <v>49</v>
      </c>
      <c r="G800" s="272">
        <v>1845.37</v>
      </c>
      <c r="H800" s="190" t="s">
        <v>1659</v>
      </c>
      <c r="I800" s="194" t="s">
        <v>1660</v>
      </c>
      <c r="J800" s="278" t="s">
        <v>110</v>
      </c>
      <c r="K800" s="192">
        <v>45950</v>
      </c>
      <c r="L800" s="193">
        <v>1845.37</v>
      </c>
      <c r="M800" s="289" t="s">
        <v>246</v>
      </c>
    </row>
    <row r="801" spans="1:14" hidden="1">
      <c r="A801" s="257"/>
      <c r="B801" s="187" t="s">
        <v>3833</v>
      </c>
      <c r="C801" s="188" t="s">
        <v>4312</v>
      </c>
      <c r="D801" s="189">
        <v>46081</v>
      </c>
      <c r="E801" s="189">
        <v>46081</v>
      </c>
      <c r="F801" s="257" t="s">
        <v>16</v>
      </c>
      <c r="G801" s="272">
        <v>10</v>
      </c>
      <c r="H801" s="190"/>
      <c r="I801" s="187" t="s">
        <v>3837</v>
      </c>
      <c r="J801" s="278" t="s">
        <v>3309</v>
      </c>
      <c r="K801" s="193">
        <v>1.8</v>
      </c>
      <c r="L801" s="192">
        <v>46141</v>
      </c>
      <c r="M801" s="289"/>
      <c r="N801" s="56"/>
    </row>
    <row r="802" spans="1:14" hidden="1">
      <c r="A802" s="257"/>
      <c r="B802" s="187" t="s">
        <v>3833</v>
      </c>
      <c r="C802" s="188" t="s">
        <v>4314</v>
      </c>
      <c r="D802" s="189">
        <v>46081</v>
      </c>
      <c r="E802" s="189">
        <v>46081</v>
      </c>
      <c r="F802" s="257" t="s">
        <v>16</v>
      </c>
      <c r="G802" s="272">
        <v>91.31</v>
      </c>
      <c r="H802" s="190"/>
      <c r="I802" s="187" t="s">
        <v>4315</v>
      </c>
      <c r="J802" s="278" t="s">
        <v>3309</v>
      </c>
      <c r="K802" s="193">
        <v>6.01</v>
      </c>
      <c r="L802" s="192">
        <v>46141</v>
      </c>
      <c r="M802" s="289"/>
      <c r="N802" s="56"/>
    </row>
    <row r="803" spans="1:14" hidden="1">
      <c r="A803" s="257"/>
      <c r="B803" s="194" t="s">
        <v>3833</v>
      </c>
      <c r="C803" s="188" t="s">
        <v>4173</v>
      </c>
      <c r="D803" s="195">
        <v>46052</v>
      </c>
      <c r="E803" s="195">
        <v>46052</v>
      </c>
      <c r="F803" s="257" t="s">
        <v>16</v>
      </c>
      <c r="G803" s="272">
        <v>7</v>
      </c>
      <c r="H803" s="196"/>
      <c r="I803" s="194" t="s">
        <v>3837</v>
      </c>
      <c r="J803" s="278" t="s">
        <v>3309</v>
      </c>
      <c r="K803" s="193">
        <v>1.26</v>
      </c>
      <c r="L803" s="192">
        <v>46112</v>
      </c>
      <c r="M803" s="289"/>
    </row>
    <row r="804" spans="1:14" hidden="1">
      <c r="A804" s="257"/>
      <c r="B804" s="194" t="s">
        <v>3833</v>
      </c>
      <c r="C804" s="188" t="s">
        <v>4175</v>
      </c>
      <c r="D804" s="195">
        <v>46052</v>
      </c>
      <c r="E804" s="195">
        <v>46052</v>
      </c>
      <c r="F804" s="257" t="s">
        <v>16</v>
      </c>
      <c r="G804" s="272">
        <v>33.32</v>
      </c>
      <c r="H804" s="196"/>
      <c r="I804" s="194" t="s">
        <v>1694</v>
      </c>
      <c r="J804" s="278" t="s">
        <v>3309</v>
      </c>
      <c r="K804" s="193">
        <v>6.01</v>
      </c>
      <c r="L804" s="192">
        <v>46112</v>
      </c>
      <c r="M804" s="289"/>
    </row>
    <row r="805" spans="1:14" hidden="1">
      <c r="A805" s="257"/>
      <c r="B805" s="194" t="s">
        <v>2328</v>
      </c>
      <c r="C805" s="188" t="s">
        <v>1663</v>
      </c>
      <c r="D805" s="195">
        <v>45687</v>
      </c>
      <c r="E805" s="189">
        <v>45687</v>
      </c>
      <c r="F805" s="257" t="s">
        <v>16</v>
      </c>
      <c r="G805" s="272">
        <v>21.35</v>
      </c>
      <c r="H805" s="190" t="s">
        <v>1664</v>
      </c>
      <c r="I805" s="194" t="s">
        <v>1665</v>
      </c>
      <c r="J805" s="278" t="s">
        <v>150</v>
      </c>
      <c r="K805" s="192"/>
      <c r="L805" s="193"/>
      <c r="M805" s="289" t="s">
        <v>246</v>
      </c>
    </row>
    <row r="806" spans="1:14" hidden="1">
      <c r="A806" s="257"/>
      <c r="B806" s="194" t="s">
        <v>2328</v>
      </c>
      <c r="C806" s="188">
        <v>80535</v>
      </c>
      <c r="D806" s="195">
        <v>45687</v>
      </c>
      <c r="E806" s="189">
        <v>45687</v>
      </c>
      <c r="F806" s="257" t="s">
        <v>16</v>
      </c>
      <c r="G806" s="272">
        <v>6</v>
      </c>
      <c r="H806" s="190" t="s">
        <v>1667</v>
      </c>
      <c r="I806" s="194" t="s">
        <v>1668</v>
      </c>
      <c r="J806" s="278" t="s">
        <v>150</v>
      </c>
      <c r="K806" s="192"/>
      <c r="L806" s="193"/>
      <c r="M806" s="289" t="s">
        <v>246</v>
      </c>
    </row>
    <row r="807" spans="1:14" hidden="1">
      <c r="A807" s="257"/>
      <c r="B807" s="194" t="s">
        <v>2328</v>
      </c>
      <c r="C807" s="188" t="s">
        <v>1669</v>
      </c>
      <c r="D807" s="195">
        <v>45716</v>
      </c>
      <c r="E807" s="189"/>
      <c r="F807" s="257" t="s">
        <v>16</v>
      </c>
      <c r="G807" s="272">
        <v>52.34</v>
      </c>
      <c r="H807" s="190" t="s">
        <v>1670</v>
      </c>
      <c r="I807" s="194" t="s">
        <v>1665</v>
      </c>
      <c r="J807" s="278" t="s">
        <v>150</v>
      </c>
      <c r="K807" s="192"/>
      <c r="L807" s="193"/>
      <c r="M807" s="289" t="s">
        <v>246</v>
      </c>
    </row>
    <row r="808" spans="1:14" hidden="1">
      <c r="A808" s="257"/>
      <c r="B808" s="194" t="s">
        <v>2328</v>
      </c>
      <c r="C808" s="188">
        <v>3054605</v>
      </c>
      <c r="D808" s="195">
        <v>45746</v>
      </c>
      <c r="E808" s="189"/>
      <c r="F808" s="257" t="s">
        <v>16</v>
      </c>
      <c r="G808" s="272">
        <v>12.5</v>
      </c>
      <c r="H808" s="190" t="s">
        <v>1672</v>
      </c>
      <c r="I808" s="194" t="s">
        <v>1673</v>
      </c>
      <c r="J808" s="278" t="s">
        <v>150</v>
      </c>
      <c r="K808" s="192"/>
      <c r="L808" s="193"/>
      <c r="M808" s="289" t="s">
        <v>246</v>
      </c>
    </row>
    <row r="809" spans="1:14" hidden="1">
      <c r="A809" s="257"/>
      <c r="B809" s="194" t="s">
        <v>2328</v>
      </c>
      <c r="C809" s="188" t="s">
        <v>1675</v>
      </c>
      <c r="D809" s="195">
        <v>45777</v>
      </c>
      <c r="E809" s="189"/>
      <c r="F809" s="257" t="s">
        <v>16</v>
      </c>
      <c r="G809" s="272">
        <v>21.35</v>
      </c>
      <c r="H809" s="190" t="s">
        <v>1676</v>
      </c>
      <c r="I809" s="194" t="s">
        <v>1665</v>
      </c>
      <c r="J809" s="278" t="s">
        <v>150</v>
      </c>
      <c r="K809" s="192"/>
      <c r="L809" s="193"/>
      <c r="M809" s="289" t="s">
        <v>246</v>
      </c>
    </row>
    <row r="810" spans="1:14" hidden="1">
      <c r="A810" s="257"/>
      <c r="B810" s="194" t="s">
        <v>2328</v>
      </c>
      <c r="C810" s="188" t="s">
        <v>1677</v>
      </c>
      <c r="D810" s="195">
        <v>45807</v>
      </c>
      <c r="E810" s="189"/>
      <c r="F810" s="257" t="s">
        <v>16</v>
      </c>
      <c r="G810" s="272">
        <v>21.35</v>
      </c>
      <c r="H810" s="190" t="s">
        <v>1678</v>
      </c>
      <c r="I810" s="194" t="s">
        <v>1665</v>
      </c>
      <c r="J810" s="278" t="s">
        <v>150</v>
      </c>
      <c r="K810" s="192"/>
      <c r="L810" s="193"/>
      <c r="M810" s="289" t="s">
        <v>246</v>
      </c>
    </row>
    <row r="811" spans="1:14" hidden="1">
      <c r="A811" s="257"/>
      <c r="B811" s="194" t="s">
        <v>2328</v>
      </c>
      <c r="C811" s="188" t="s">
        <v>1679</v>
      </c>
      <c r="D811" s="195">
        <v>45838</v>
      </c>
      <c r="E811" s="189"/>
      <c r="F811" s="257" t="s">
        <v>16</v>
      </c>
      <c r="G811" s="272">
        <v>21.35</v>
      </c>
      <c r="H811" s="190" t="s">
        <v>1680</v>
      </c>
      <c r="I811" s="194" t="s">
        <v>1665</v>
      </c>
      <c r="J811" s="278" t="s">
        <v>150</v>
      </c>
      <c r="K811" s="192"/>
      <c r="L811" s="193"/>
      <c r="M811" s="289" t="s">
        <v>246</v>
      </c>
    </row>
    <row r="812" spans="1:14" hidden="1">
      <c r="A812" s="257"/>
      <c r="B812" s="194" t="s">
        <v>2328</v>
      </c>
      <c r="C812" s="188" t="s">
        <v>1683</v>
      </c>
      <c r="D812" s="195">
        <v>45899</v>
      </c>
      <c r="E812" s="189"/>
      <c r="F812" s="257" t="s">
        <v>16</v>
      </c>
      <c r="G812" s="272">
        <v>33.32</v>
      </c>
      <c r="H812" s="190" t="s">
        <v>1684</v>
      </c>
      <c r="I812" s="194" t="s">
        <v>1665</v>
      </c>
      <c r="J812" s="278" t="s">
        <v>150</v>
      </c>
      <c r="K812" s="192"/>
      <c r="L812" s="193"/>
      <c r="M812" s="289" t="s">
        <v>246</v>
      </c>
    </row>
    <row r="813" spans="1:14" hidden="1">
      <c r="A813" s="257"/>
      <c r="B813" s="194" t="s">
        <v>2328</v>
      </c>
      <c r="C813" s="188">
        <v>12048545</v>
      </c>
      <c r="D813" s="195">
        <v>45899</v>
      </c>
      <c r="E813" s="189"/>
      <c r="F813" s="257" t="s">
        <v>16</v>
      </c>
      <c r="G813" s="272">
        <v>1.8</v>
      </c>
      <c r="H813" s="190" t="s">
        <v>1686</v>
      </c>
      <c r="I813" s="194" t="s">
        <v>1665</v>
      </c>
      <c r="J813" s="278" t="s">
        <v>150</v>
      </c>
      <c r="K813" s="192"/>
      <c r="L813" s="193"/>
      <c r="M813" s="289" t="s">
        <v>246</v>
      </c>
    </row>
    <row r="814" spans="1:14" hidden="1">
      <c r="A814" s="257"/>
      <c r="B814" s="194" t="s">
        <v>2328</v>
      </c>
      <c r="C814" s="188" t="s">
        <v>1687</v>
      </c>
      <c r="D814" s="195">
        <v>45930</v>
      </c>
      <c r="E814" s="189"/>
      <c r="F814" s="257" t="s">
        <v>16</v>
      </c>
      <c r="G814" s="272">
        <v>33.32</v>
      </c>
      <c r="H814" s="190" t="s">
        <v>1688</v>
      </c>
      <c r="I814" s="194" t="s">
        <v>1665</v>
      </c>
      <c r="J814" s="278" t="s">
        <v>150</v>
      </c>
      <c r="K814" s="192"/>
      <c r="L814" s="193"/>
      <c r="M814" s="289" t="s">
        <v>246</v>
      </c>
    </row>
    <row r="815" spans="1:14" hidden="1">
      <c r="A815" s="257"/>
      <c r="B815" s="194" t="s">
        <v>2328</v>
      </c>
      <c r="C815" s="188">
        <v>16451475</v>
      </c>
      <c r="D815" s="195">
        <v>45960</v>
      </c>
      <c r="E815" s="189">
        <v>45960</v>
      </c>
      <c r="F815" s="257" t="s">
        <v>16</v>
      </c>
      <c r="G815" s="272">
        <v>2.5</v>
      </c>
      <c r="H815" s="190"/>
      <c r="I815" s="194" t="s">
        <v>1665</v>
      </c>
      <c r="J815" s="278" t="s">
        <v>150</v>
      </c>
      <c r="K815" s="192"/>
      <c r="L815" s="193"/>
      <c r="M815" s="289" t="s">
        <v>246</v>
      </c>
    </row>
    <row r="816" spans="1:14" s="96" customFormat="1" ht="21" hidden="1">
      <c r="A816" s="257"/>
      <c r="B816" s="194" t="s">
        <v>2328</v>
      </c>
      <c r="C816" s="188" t="s">
        <v>1690</v>
      </c>
      <c r="D816" s="195">
        <v>45960</v>
      </c>
      <c r="E816" s="189">
        <v>45960</v>
      </c>
      <c r="F816" s="257" t="s">
        <v>16</v>
      </c>
      <c r="G816" s="272">
        <v>33.32</v>
      </c>
      <c r="H816" s="190"/>
      <c r="I816" s="194" t="s">
        <v>1665</v>
      </c>
      <c r="J816" s="278" t="s">
        <v>150</v>
      </c>
      <c r="K816" s="192"/>
      <c r="L816" s="193"/>
      <c r="M816" s="289" t="s">
        <v>246</v>
      </c>
      <c r="N816"/>
    </row>
    <row r="817" spans="1:14" s="96" customFormat="1" ht="21" hidden="1">
      <c r="A817" s="257"/>
      <c r="B817" s="194" t="s">
        <v>2328</v>
      </c>
      <c r="C817" s="188" t="s">
        <v>1691</v>
      </c>
      <c r="D817" s="189">
        <v>45991</v>
      </c>
      <c r="E817" s="189">
        <v>45991</v>
      </c>
      <c r="F817" s="257" t="s">
        <v>49</v>
      </c>
      <c r="G817" s="272">
        <v>5</v>
      </c>
      <c r="H817" s="190"/>
      <c r="I817" s="187" t="s">
        <v>1692</v>
      </c>
      <c r="J817" s="278" t="s">
        <v>1276</v>
      </c>
      <c r="K817" s="192"/>
      <c r="L817" s="193"/>
      <c r="M817" s="289" t="s">
        <v>246</v>
      </c>
      <c r="N817"/>
    </row>
    <row r="818" spans="1:14" s="96" customFormat="1" ht="21" hidden="1">
      <c r="A818" s="257"/>
      <c r="B818" s="194" t="s">
        <v>2328</v>
      </c>
      <c r="C818" s="188" t="s">
        <v>1693</v>
      </c>
      <c r="D818" s="189">
        <v>45991</v>
      </c>
      <c r="E818" s="189">
        <v>45991</v>
      </c>
      <c r="F818" s="257" t="s">
        <v>49</v>
      </c>
      <c r="G818" s="272">
        <v>33.32</v>
      </c>
      <c r="H818" s="190"/>
      <c r="I818" s="187" t="s">
        <v>1694</v>
      </c>
      <c r="J818" s="278" t="s">
        <v>1276</v>
      </c>
      <c r="K818" s="192"/>
      <c r="L818" s="193"/>
      <c r="M818" s="289" t="s">
        <v>246</v>
      </c>
      <c r="N818"/>
    </row>
    <row r="819" spans="1:14" s="96" customFormat="1" ht="21" hidden="1">
      <c r="A819" s="257"/>
      <c r="B819" s="194" t="s">
        <v>1662</v>
      </c>
      <c r="C819" s="188" t="s">
        <v>3388</v>
      </c>
      <c r="D819" s="195">
        <v>46021</v>
      </c>
      <c r="E819" s="189">
        <v>46021</v>
      </c>
      <c r="F819" s="257" t="s">
        <v>16</v>
      </c>
      <c r="G819" s="272">
        <v>33.32</v>
      </c>
      <c r="H819" s="190"/>
      <c r="I819" s="194" t="s">
        <v>1694</v>
      </c>
      <c r="J819" s="278" t="s">
        <v>1276</v>
      </c>
      <c r="K819" s="192">
        <v>46021</v>
      </c>
      <c r="L819" s="193"/>
      <c r="M819" s="289" t="s">
        <v>246</v>
      </c>
      <c r="N819"/>
    </row>
    <row r="820" spans="1:14" s="96" customFormat="1" ht="21" hidden="1">
      <c r="A820" s="257"/>
      <c r="B820" s="194" t="s">
        <v>2330</v>
      </c>
      <c r="C820" s="188" t="s">
        <v>1674</v>
      </c>
      <c r="D820" s="195">
        <v>45746</v>
      </c>
      <c r="E820" s="189"/>
      <c r="F820" s="257" t="s">
        <v>16</v>
      </c>
      <c r="G820" s="272">
        <v>21.35</v>
      </c>
      <c r="H820" s="190" t="s">
        <v>1672</v>
      </c>
      <c r="I820" s="194" t="s">
        <v>1665</v>
      </c>
      <c r="J820" s="278" t="s">
        <v>150</v>
      </c>
      <c r="K820" s="192"/>
      <c r="L820" s="193"/>
      <c r="M820" s="289" t="s">
        <v>246</v>
      </c>
      <c r="N820"/>
    </row>
    <row r="821" spans="1:14" s="96" customFormat="1" ht="21" hidden="1">
      <c r="A821" s="257"/>
      <c r="B821" s="194" t="s">
        <v>2330</v>
      </c>
      <c r="C821" s="188" t="s">
        <v>1681</v>
      </c>
      <c r="D821" s="195">
        <v>45868</v>
      </c>
      <c r="E821" s="189"/>
      <c r="F821" s="257" t="s">
        <v>16</v>
      </c>
      <c r="G821" s="272">
        <v>33.32</v>
      </c>
      <c r="H821" s="190" t="s">
        <v>1682</v>
      </c>
      <c r="I821" s="194" t="s">
        <v>1665</v>
      </c>
      <c r="J821" s="278" t="s">
        <v>150</v>
      </c>
      <c r="K821" s="192">
        <v>45730</v>
      </c>
      <c r="L821" s="193" t="e">
        <f>$H$680+$H$681</f>
        <v>#VALUE!</v>
      </c>
      <c r="M821" s="289" t="s">
        <v>111</v>
      </c>
      <c r="N821"/>
    </row>
    <row r="822" spans="1:14" s="96" customFormat="1" ht="21">
      <c r="A822" s="257"/>
      <c r="B822" s="187" t="s">
        <v>2331</v>
      </c>
      <c r="C822" s="188" t="s">
        <v>848</v>
      </c>
      <c r="D822" s="195">
        <v>45569</v>
      </c>
      <c r="E822" s="189">
        <v>45667</v>
      </c>
      <c r="F822" s="257" t="s">
        <v>16</v>
      </c>
      <c r="G822" s="272">
        <v>19743.5</v>
      </c>
      <c r="H822" s="200" t="s">
        <v>1696</v>
      </c>
      <c r="I822" s="187" t="s">
        <v>1697</v>
      </c>
      <c r="J822" s="278" t="s">
        <v>66</v>
      </c>
      <c r="K822" s="192">
        <v>45730</v>
      </c>
      <c r="L822" s="193" t="e">
        <f>$H$680+$H$681</f>
        <v>#VALUE!</v>
      </c>
      <c r="M822" s="289" t="s">
        <v>111</v>
      </c>
      <c r="N822"/>
    </row>
    <row r="823" spans="1:14" s="96" customFormat="1" ht="21">
      <c r="A823" s="257"/>
      <c r="B823" s="187" t="s">
        <v>2331</v>
      </c>
      <c r="C823" s="188" t="s">
        <v>848</v>
      </c>
      <c r="D823" s="195">
        <v>45569</v>
      </c>
      <c r="E823" s="189">
        <v>45698</v>
      </c>
      <c r="F823" s="257" t="s">
        <v>16</v>
      </c>
      <c r="G823" s="272">
        <f>30000-G822</f>
        <v>10256.5</v>
      </c>
      <c r="H823" s="200" t="s">
        <v>1696</v>
      </c>
      <c r="I823" s="187" t="s">
        <v>1698</v>
      </c>
      <c r="J823" s="278" t="s">
        <v>66</v>
      </c>
      <c r="K823" s="192"/>
      <c r="L823" s="193"/>
      <c r="M823" s="289"/>
      <c r="N823"/>
    </row>
    <row r="824" spans="1:14" s="96" customFormat="1" ht="21">
      <c r="A824" s="257"/>
      <c r="B824" s="187" t="s">
        <v>2331</v>
      </c>
      <c r="C824" s="188" t="s">
        <v>848</v>
      </c>
      <c r="D824" s="195">
        <v>45569</v>
      </c>
      <c r="E824" s="189">
        <v>45698</v>
      </c>
      <c r="F824" s="257" t="s">
        <v>16</v>
      </c>
      <c r="G824" s="272">
        <f>19743.5-G823</f>
        <v>9487</v>
      </c>
      <c r="H824" s="200" t="s">
        <v>1696</v>
      </c>
      <c r="I824" s="187" t="s">
        <v>1698</v>
      </c>
      <c r="J824" s="278" t="s">
        <v>66</v>
      </c>
      <c r="K824" s="192"/>
      <c r="L824" s="193"/>
      <c r="M824" s="289"/>
      <c r="N824"/>
    </row>
    <row r="825" spans="1:14" s="96" customFormat="1" ht="21">
      <c r="A825" s="257"/>
      <c r="B825" s="187" t="s">
        <v>2331</v>
      </c>
      <c r="C825" s="188" t="s">
        <v>1699</v>
      </c>
      <c r="D825" s="195">
        <v>45624</v>
      </c>
      <c r="E825" s="189">
        <v>45698</v>
      </c>
      <c r="F825" s="257" t="s">
        <v>16</v>
      </c>
      <c r="G825" s="272">
        <v>4907</v>
      </c>
      <c r="H825" s="200" t="s">
        <v>1700</v>
      </c>
      <c r="I825" s="194" t="s">
        <v>1701</v>
      </c>
      <c r="J825" s="278" t="s">
        <v>56</v>
      </c>
      <c r="K825" s="192"/>
      <c r="L825" s="193"/>
      <c r="M825" s="289"/>
      <c r="N825"/>
    </row>
    <row r="826" spans="1:14" s="96" customFormat="1" ht="21">
      <c r="A826" s="257"/>
      <c r="B826" s="187" t="s">
        <v>2331</v>
      </c>
      <c r="C826" s="188" t="s">
        <v>1699</v>
      </c>
      <c r="D826" s="195">
        <v>45624</v>
      </c>
      <c r="E826" s="189">
        <v>45726</v>
      </c>
      <c r="F826" s="257" t="s">
        <v>16</v>
      </c>
      <c r="G826" s="272">
        <v>4907</v>
      </c>
      <c r="H826" s="200" t="s">
        <v>1700</v>
      </c>
      <c r="I826" s="194" t="s">
        <v>1701</v>
      </c>
      <c r="J826" s="278" t="s">
        <v>56</v>
      </c>
      <c r="K826" s="192"/>
      <c r="L826" s="193"/>
      <c r="M826" s="289"/>
      <c r="N826"/>
    </row>
    <row r="827" spans="1:14" s="96" customFormat="1" ht="21">
      <c r="A827" s="257"/>
      <c r="B827" s="187" t="s">
        <v>2331</v>
      </c>
      <c r="C827" s="188" t="s">
        <v>1703</v>
      </c>
      <c r="D827" s="195">
        <v>45656</v>
      </c>
      <c r="E827" s="189">
        <v>45726</v>
      </c>
      <c r="F827" s="257" t="s">
        <v>16</v>
      </c>
      <c r="G827" s="272">
        <v>20000</v>
      </c>
      <c r="H827" s="200" t="s">
        <v>1704</v>
      </c>
      <c r="I827" s="194" t="s">
        <v>1705</v>
      </c>
      <c r="J827" s="278" t="s">
        <v>56</v>
      </c>
      <c r="K827" s="192"/>
      <c r="L827" s="193"/>
      <c r="M827" s="289"/>
      <c r="N827"/>
    </row>
    <row r="828" spans="1:14" s="96" customFormat="1" ht="21">
      <c r="A828" s="257"/>
      <c r="B828" s="187" t="s">
        <v>2331</v>
      </c>
      <c r="C828" s="188" t="s">
        <v>1703</v>
      </c>
      <c r="D828" s="195">
        <v>45656</v>
      </c>
      <c r="E828" s="189">
        <v>45757</v>
      </c>
      <c r="F828" s="257" t="s">
        <v>16</v>
      </c>
      <c r="G828" s="272">
        <v>20000</v>
      </c>
      <c r="H828" s="200" t="s">
        <v>1704</v>
      </c>
      <c r="I828" s="194" t="s">
        <v>1705</v>
      </c>
      <c r="J828" s="278" t="s">
        <v>56</v>
      </c>
      <c r="K828" s="192"/>
      <c r="L828" s="193"/>
      <c r="M828" s="289"/>
      <c r="N828"/>
    </row>
    <row r="829" spans="1:14" s="96" customFormat="1" ht="21">
      <c r="A829" s="257"/>
      <c r="B829" s="187" t="s">
        <v>2331</v>
      </c>
      <c r="C829" s="188" t="s">
        <v>1708</v>
      </c>
      <c r="D829" s="195">
        <v>45656</v>
      </c>
      <c r="E829" s="189">
        <v>45726</v>
      </c>
      <c r="F829" s="257" t="s">
        <v>16</v>
      </c>
      <c r="G829" s="272">
        <v>5013.5</v>
      </c>
      <c r="H829" s="200" t="s">
        <v>1709</v>
      </c>
      <c r="I829" s="194" t="s">
        <v>342</v>
      </c>
      <c r="J829" s="278" t="s">
        <v>56</v>
      </c>
      <c r="K829" s="192"/>
      <c r="L829" s="193"/>
      <c r="M829" s="289"/>
      <c r="N829"/>
    </row>
    <row r="830" spans="1:14" s="96" customFormat="1" ht="21">
      <c r="A830" s="257"/>
      <c r="B830" s="187" t="s">
        <v>2331</v>
      </c>
      <c r="C830" s="188" t="s">
        <v>1708</v>
      </c>
      <c r="D830" s="195">
        <v>45656</v>
      </c>
      <c r="E830" s="189">
        <v>45757</v>
      </c>
      <c r="F830" s="257" t="s">
        <v>16</v>
      </c>
      <c r="G830" s="272">
        <v>5013.5</v>
      </c>
      <c r="H830" s="200" t="s">
        <v>1709</v>
      </c>
      <c r="I830" s="194" t="s">
        <v>342</v>
      </c>
      <c r="J830" s="278" t="s">
        <v>56</v>
      </c>
      <c r="K830" s="192"/>
      <c r="L830" s="193"/>
      <c r="M830" s="289"/>
      <c r="N830"/>
    </row>
    <row r="831" spans="1:14" s="96" customFormat="1" ht="21">
      <c r="A831" s="257"/>
      <c r="B831" s="187" t="s">
        <v>2331</v>
      </c>
      <c r="C831" s="188">
        <v>9</v>
      </c>
      <c r="D831" s="195">
        <v>45687</v>
      </c>
      <c r="E831" s="189">
        <v>45757</v>
      </c>
      <c r="F831" s="257" t="s">
        <v>16</v>
      </c>
      <c r="G831" s="272">
        <v>8123.5</v>
      </c>
      <c r="H831" s="190" t="s">
        <v>1457</v>
      </c>
      <c r="I831" s="194" t="s">
        <v>55</v>
      </c>
      <c r="J831" s="278" t="s">
        <v>56</v>
      </c>
      <c r="K831" s="192"/>
      <c r="L831" s="193"/>
      <c r="M831" s="289"/>
      <c r="N831"/>
    </row>
    <row r="832" spans="1:14" s="96" customFormat="1" ht="21">
      <c r="A832" s="257"/>
      <c r="B832" s="187" t="s">
        <v>2331</v>
      </c>
      <c r="C832" s="188">
        <v>9</v>
      </c>
      <c r="D832" s="195">
        <v>45687</v>
      </c>
      <c r="E832" s="189">
        <v>45787</v>
      </c>
      <c r="F832" s="257" t="s">
        <v>16</v>
      </c>
      <c r="G832" s="272">
        <v>8123.5</v>
      </c>
      <c r="H832" s="190" t="s">
        <v>1457</v>
      </c>
      <c r="I832" s="194" t="s">
        <v>55</v>
      </c>
      <c r="J832" s="278" t="s">
        <v>56</v>
      </c>
      <c r="K832" s="192"/>
      <c r="L832" s="193"/>
      <c r="M832" s="289"/>
      <c r="N832"/>
    </row>
    <row r="833" spans="1:14" s="96" customFormat="1" ht="21">
      <c r="A833" s="257"/>
      <c r="B833" s="216" t="s">
        <v>2331</v>
      </c>
      <c r="C833" s="188">
        <v>2</v>
      </c>
      <c r="D833" s="203">
        <v>45729</v>
      </c>
      <c r="E833" s="189">
        <v>45729</v>
      </c>
      <c r="F833" s="257" t="s">
        <v>16</v>
      </c>
      <c r="G833" s="272">
        <v>-8800</v>
      </c>
      <c r="H833" s="222" t="s">
        <v>1706</v>
      </c>
      <c r="I833" s="216" t="s">
        <v>1767</v>
      </c>
      <c r="J833" s="278" t="s">
        <v>56</v>
      </c>
      <c r="K833" s="192"/>
      <c r="L833" s="193"/>
      <c r="M833" s="289"/>
      <c r="N833"/>
    </row>
    <row r="834" spans="1:14" s="96" customFormat="1" ht="21">
      <c r="A834" s="257"/>
      <c r="B834" s="216" t="s">
        <v>2331</v>
      </c>
      <c r="C834" s="188">
        <v>1</v>
      </c>
      <c r="D834" s="203">
        <v>45729</v>
      </c>
      <c r="E834" s="189">
        <v>45729</v>
      </c>
      <c r="F834" s="257" t="s">
        <v>16</v>
      </c>
      <c r="G834" s="272">
        <v>-7000</v>
      </c>
      <c r="H834" s="222" t="s">
        <v>1710</v>
      </c>
      <c r="I834" s="216" t="s">
        <v>484</v>
      </c>
      <c r="J834" s="278" t="s">
        <v>56</v>
      </c>
      <c r="K834" s="192">
        <v>45817</v>
      </c>
      <c r="L834" s="193">
        <v>1000</v>
      </c>
      <c r="M834" s="289" t="s">
        <v>111</v>
      </c>
      <c r="N834"/>
    </row>
    <row r="835" spans="1:14" s="96" customFormat="1" ht="21">
      <c r="A835" s="257"/>
      <c r="B835" s="187" t="s">
        <v>2331</v>
      </c>
      <c r="C835" s="188">
        <v>90</v>
      </c>
      <c r="D835" s="189">
        <v>45833</v>
      </c>
      <c r="E835" s="189">
        <v>45817</v>
      </c>
      <c r="F835" s="257" t="s">
        <v>16</v>
      </c>
      <c r="G835" s="272">
        <v>1000</v>
      </c>
      <c r="H835" s="190" t="s">
        <v>1713</v>
      </c>
      <c r="I835" s="187" t="s">
        <v>312</v>
      </c>
      <c r="J835" s="278" t="s">
        <v>56</v>
      </c>
      <c r="K835" s="192"/>
      <c r="L835" s="193"/>
      <c r="M835" s="289"/>
      <c r="N835"/>
    </row>
    <row r="836" spans="1:14" s="96" customFormat="1" ht="21">
      <c r="A836" s="257"/>
      <c r="B836" s="187" t="s">
        <v>2331</v>
      </c>
      <c r="C836" s="188">
        <v>90</v>
      </c>
      <c r="D836" s="189">
        <v>45833</v>
      </c>
      <c r="E836" s="189">
        <v>45833</v>
      </c>
      <c r="F836" s="257" t="s">
        <v>16</v>
      </c>
      <c r="G836" s="272">
        <v>1000</v>
      </c>
      <c r="H836" s="190" t="s">
        <v>1713</v>
      </c>
      <c r="I836" s="187" t="s">
        <v>312</v>
      </c>
      <c r="J836" s="278" t="s">
        <v>56</v>
      </c>
      <c r="K836" s="192"/>
      <c r="L836" s="193"/>
      <c r="M836" s="289"/>
      <c r="N836"/>
    </row>
    <row r="837" spans="1:14" s="96" customFormat="1" ht="21">
      <c r="A837" s="257"/>
      <c r="B837" s="187" t="s">
        <v>2331</v>
      </c>
      <c r="C837" s="188">
        <v>95</v>
      </c>
      <c r="D837" s="189">
        <v>45835</v>
      </c>
      <c r="E837" s="189">
        <v>45930</v>
      </c>
      <c r="F837" s="257" t="s">
        <v>16</v>
      </c>
      <c r="G837" s="272">
        <v>1465</v>
      </c>
      <c r="H837" s="190" t="s">
        <v>1714</v>
      </c>
      <c r="I837" s="187" t="s">
        <v>312</v>
      </c>
      <c r="J837" s="278" t="s">
        <v>597</v>
      </c>
      <c r="K837" s="192"/>
      <c r="L837" s="193"/>
      <c r="M837" s="289"/>
      <c r="N837"/>
    </row>
    <row r="838" spans="1:14" s="96" customFormat="1" ht="21">
      <c r="A838" s="257"/>
      <c r="B838" s="187" t="s">
        <v>2331</v>
      </c>
      <c r="C838" s="188">
        <v>109</v>
      </c>
      <c r="D838" s="189">
        <v>45862</v>
      </c>
      <c r="E838" s="189">
        <v>45930</v>
      </c>
      <c r="F838" s="257" t="s">
        <v>16</v>
      </c>
      <c r="G838" s="272">
        <v>1465</v>
      </c>
      <c r="H838" s="190" t="s">
        <v>1717</v>
      </c>
      <c r="I838" s="187" t="s">
        <v>312</v>
      </c>
      <c r="J838" s="278" t="s">
        <v>56</v>
      </c>
      <c r="K838" s="192"/>
      <c r="L838" s="193"/>
      <c r="M838" s="289"/>
      <c r="N838"/>
    </row>
    <row r="839" spans="1:14" s="96" customFormat="1" ht="21">
      <c r="A839" s="257"/>
      <c r="B839" s="187" t="s">
        <v>2331</v>
      </c>
      <c r="C839" s="188" t="s">
        <v>2332</v>
      </c>
      <c r="D839" s="189"/>
      <c r="E839" s="189"/>
      <c r="F839" s="257" t="s">
        <v>16</v>
      </c>
      <c r="G839" s="272">
        <v>19184.5</v>
      </c>
      <c r="H839" s="191" t="s">
        <v>312</v>
      </c>
      <c r="I839" s="194"/>
      <c r="J839" s="278" t="s">
        <v>56</v>
      </c>
      <c r="K839" s="192"/>
      <c r="L839" s="193"/>
      <c r="M839" s="289"/>
      <c r="N839"/>
    </row>
    <row r="840" spans="1:14" s="96" customFormat="1" ht="21">
      <c r="A840" s="257"/>
      <c r="B840" s="187" t="s">
        <v>2331</v>
      </c>
      <c r="C840" s="188">
        <v>6</v>
      </c>
      <c r="D840" s="247">
        <v>45862</v>
      </c>
      <c r="E840" s="189">
        <v>45862</v>
      </c>
      <c r="F840" s="257" t="s">
        <v>16</v>
      </c>
      <c r="G840" s="272">
        <v>-1465</v>
      </c>
      <c r="H840" s="248" t="s">
        <v>1719</v>
      </c>
      <c r="I840" s="246" t="s">
        <v>55</v>
      </c>
      <c r="J840" s="278" t="s">
        <v>56</v>
      </c>
      <c r="K840" s="192"/>
      <c r="L840" s="193"/>
      <c r="M840" s="289" t="s">
        <v>1720</v>
      </c>
      <c r="N840"/>
    </row>
    <row r="841" spans="1:14" s="96" customFormat="1" ht="21">
      <c r="A841" s="257" t="s">
        <v>1702</v>
      </c>
      <c r="B841" s="187" t="s">
        <v>2331</v>
      </c>
      <c r="C841" s="188" t="s">
        <v>1721</v>
      </c>
      <c r="D841" s="189">
        <v>45971</v>
      </c>
      <c r="E841" s="189">
        <v>45971</v>
      </c>
      <c r="F841" s="257" t="s">
        <v>16</v>
      </c>
      <c r="G841" s="272">
        <v>1465</v>
      </c>
      <c r="H841" s="190"/>
      <c r="I841" s="187" t="s">
        <v>312</v>
      </c>
      <c r="J841" s="278" t="s">
        <v>1504</v>
      </c>
      <c r="K841" s="192"/>
      <c r="L841" s="193"/>
      <c r="M841" s="289"/>
      <c r="N841"/>
    </row>
    <row r="842" spans="1:14" s="96" customFormat="1" ht="21">
      <c r="A842" s="257" t="s">
        <v>1702</v>
      </c>
      <c r="B842" s="187" t="s">
        <v>2331</v>
      </c>
      <c r="C842" s="188" t="s">
        <v>1722</v>
      </c>
      <c r="D842" s="189">
        <v>45971</v>
      </c>
      <c r="E842" s="189">
        <v>45971</v>
      </c>
      <c r="F842" s="257" t="s">
        <v>16</v>
      </c>
      <c r="G842" s="272">
        <v>-1465</v>
      </c>
      <c r="H842" s="190"/>
      <c r="I842" s="187" t="s">
        <v>1723</v>
      </c>
      <c r="J842" s="278" t="s">
        <v>1504</v>
      </c>
      <c r="K842" s="192"/>
      <c r="L842" s="193"/>
      <c r="M842" s="289"/>
      <c r="N842"/>
    </row>
    <row r="843" spans="1:14" s="96" customFormat="1" ht="21">
      <c r="A843" s="257" t="s">
        <v>1724</v>
      </c>
      <c r="B843" s="187" t="s">
        <v>2331</v>
      </c>
      <c r="C843" s="188"/>
      <c r="D843" s="189"/>
      <c r="E843" s="189"/>
      <c r="F843" s="257" t="s">
        <v>16</v>
      </c>
      <c r="G843" s="272">
        <v>13000</v>
      </c>
      <c r="H843" s="190"/>
      <c r="I843" s="187" t="s">
        <v>2334</v>
      </c>
      <c r="J843" s="278"/>
      <c r="K843" s="192"/>
      <c r="L843" s="193" t="s">
        <v>2185</v>
      </c>
      <c r="M843" s="289"/>
      <c r="N843"/>
    </row>
    <row r="844" spans="1:14" s="96" customFormat="1" ht="21">
      <c r="A844" s="257" t="s">
        <v>1724</v>
      </c>
      <c r="B844" s="187" t="s">
        <v>2331</v>
      </c>
      <c r="C844" s="188"/>
      <c r="D844" s="195"/>
      <c r="E844" s="189"/>
      <c r="F844" s="257" t="s">
        <v>49</v>
      </c>
      <c r="G844" s="272">
        <v>13000</v>
      </c>
      <c r="H844" s="249">
        <v>45981</v>
      </c>
      <c r="I844" s="194">
        <v>52000</v>
      </c>
      <c r="J844" s="278" t="s">
        <v>246</v>
      </c>
      <c r="K844" s="192"/>
      <c r="L844" s="193"/>
      <c r="M844" s="289"/>
      <c r="N844"/>
    </row>
    <row r="845" spans="1:14" s="96" customFormat="1" ht="21">
      <c r="A845" s="257" t="s">
        <v>1724</v>
      </c>
      <c r="B845" s="187" t="s">
        <v>2331</v>
      </c>
      <c r="C845" s="188"/>
      <c r="D845" s="195"/>
      <c r="E845" s="189"/>
      <c r="F845" s="257"/>
      <c r="G845" s="272">
        <v>13000</v>
      </c>
      <c r="H845" s="249" t="s">
        <v>1504</v>
      </c>
      <c r="I845" s="194">
        <v>45981</v>
      </c>
      <c r="J845" s="278"/>
      <c r="K845" s="192"/>
      <c r="L845" s="193"/>
      <c r="M845" s="289" t="s">
        <v>246</v>
      </c>
      <c r="N845"/>
    </row>
    <row r="846" spans="1:14" s="96" customFormat="1" ht="21">
      <c r="A846" s="257" t="s">
        <v>1724</v>
      </c>
      <c r="B846" s="187" t="s">
        <v>2331</v>
      </c>
      <c r="C846" s="188"/>
      <c r="D846" s="195"/>
      <c r="E846" s="189"/>
      <c r="F846" s="257" t="s">
        <v>49</v>
      </c>
      <c r="G846" s="272">
        <v>13000</v>
      </c>
      <c r="H846" s="213" t="s">
        <v>1725</v>
      </c>
      <c r="I846" s="194" t="s">
        <v>1504</v>
      </c>
      <c r="J846" s="278"/>
      <c r="K846" s="192"/>
      <c r="L846" s="193" t="s">
        <v>246</v>
      </c>
      <c r="M846" s="289"/>
      <c r="N846"/>
    </row>
    <row r="847" spans="1:14" s="96" customFormat="1" ht="21">
      <c r="A847" s="257" t="s">
        <v>1724</v>
      </c>
      <c r="B847" s="187" t="s">
        <v>2331</v>
      </c>
      <c r="C847" s="188"/>
      <c r="D847" s="189"/>
      <c r="E847" s="189"/>
      <c r="F847" s="257" t="s">
        <v>49</v>
      </c>
      <c r="G847" s="272">
        <v>13000</v>
      </c>
      <c r="H847" s="190"/>
      <c r="I847" s="187" t="s">
        <v>1725</v>
      </c>
      <c r="J847" s="278" t="s">
        <v>1504</v>
      </c>
      <c r="K847" s="192">
        <v>45981</v>
      </c>
      <c r="L847" s="193">
        <v>52000</v>
      </c>
      <c r="M847" s="289" t="s">
        <v>246</v>
      </c>
      <c r="N847"/>
    </row>
    <row r="848" spans="1:14" s="96" customFormat="1" ht="21" hidden="1">
      <c r="A848" s="257"/>
      <c r="B848" s="194" t="s">
        <v>3857</v>
      </c>
      <c r="C848" s="188" t="s">
        <v>4254</v>
      </c>
      <c r="D848" s="195">
        <v>46064</v>
      </c>
      <c r="E848" s="189">
        <v>46097</v>
      </c>
      <c r="F848" s="257"/>
      <c r="G848" s="272">
        <v>31.48</v>
      </c>
      <c r="H848" s="249"/>
      <c r="I848" s="194" t="s">
        <v>4255</v>
      </c>
      <c r="J848" s="278" t="s">
        <v>3309</v>
      </c>
      <c r="K848" s="193">
        <v>5.68</v>
      </c>
      <c r="L848" s="192">
        <v>46097</v>
      </c>
      <c r="M848" s="289"/>
      <c r="N848"/>
    </row>
    <row r="849" spans="1:14" s="96" customFormat="1" ht="21" hidden="1">
      <c r="A849" s="257"/>
      <c r="B849" s="194" t="s">
        <v>3857</v>
      </c>
      <c r="C849" s="188" t="s">
        <v>4252</v>
      </c>
      <c r="D849" s="195">
        <v>46064</v>
      </c>
      <c r="E849" s="189">
        <v>46097</v>
      </c>
      <c r="F849" s="257"/>
      <c r="G849" s="272">
        <v>45.65</v>
      </c>
      <c r="H849" s="249"/>
      <c r="I849" s="194" t="s">
        <v>4253</v>
      </c>
      <c r="J849" s="278" t="s">
        <v>3309</v>
      </c>
      <c r="K849" s="193">
        <v>8.23</v>
      </c>
      <c r="L849" s="192">
        <v>46097</v>
      </c>
      <c r="M849" s="289"/>
      <c r="N849"/>
    </row>
    <row r="850" spans="1:14" s="96" customFormat="1" ht="21" hidden="1">
      <c r="A850" s="257"/>
      <c r="B850" s="194" t="s">
        <v>1730</v>
      </c>
      <c r="C850" s="188" t="s">
        <v>1731</v>
      </c>
      <c r="D850" s="195">
        <v>45670</v>
      </c>
      <c r="E850" s="189">
        <v>45701</v>
      </c>
      <c r="F850" s="257" t="s">
        <v>16</v>
      </c>
      <c r="G850" s="272">
        <v>27.94</v>
      </c>
      <c r="H850" s="190" t="s">
        <v>1732</v>
      </c>
      <c r="I850" s="194" t="s">
        <v>279</v>
      </c>
      <c r="J850" s="278"/>
      <c r="K850" s="192"/>
      <c r="L850" s="193"/>
      <c r="M850" s="289"/>
      <c r="N850"/>
    </row>
    <row r="851" spans="1:14" s="96" customFormat="1" ht="21" hidden="1">
      <c r="A851" s="257"/>
      <c r="B851" s="194" t="s">
        <v>1730</v>
      </c>
      <c r="C851" s="188" t="s">
        <v>1734</v>
      </c>
      <c r="D851" s="195">
        <v>45699</v>
      </c>
      <c r="E851" s="189">
        <v>45730</v>
      </c>
      <c r="F851" s="257" t="s">
        <v>16</v>
      </c>
      <c r="G851" s="272">
        <v>27.94</v>
      </c>
      <c r="H851" s="190" t="s">
        <v>1735</v>
      </c>
      <c r="I851" s="194" t="s">
        <v>279</v>
      </c>
      <c r="J851" s="278" t="s">
        <v>150</v>
      </c>
      <c r="K851" s="192"/>
      <c r="L851" s="193"/>
      <c r="M851" s="289"/>
      <c r="N851"/>
    </row>
    <row r="852" spans="1:14" s="96" customFormat="1" ht="21" hidden="1">
      <c r="A852" s="257"/>
      <c r="B852" s="194" t="s">
        <v>1730</v>
      </c>
      <c r="C852" s="188" t="s">
        <v>1736</v>
      </c>
      <c r="D852" s="195">
        <v>45727</v>
      </c>
      <c r="E852" s="189">
        <v>45758</v>
      </c>
      <c r="F852" s="257" t="s">
        <v>16</v>
      </c>
      <c r="G852" s="272">
        <v>27.94</v>
      </c>
      <c r="H852" s="190" t="s">
        <v>1737</v>
      </c>
      <c r="I852" s="194" t="s">
        <v>279</v>
      </c>
      <c r="J852" s="278" t="s">
        <v>1738</v>
      </c>
      <c r="K852" s="192"/>
      <c r="L852" s="193"/>
      <c r="M852" s="289"/>
      <c r="N852"/>
    </row>
    <row r="853" spans="1:14" s="96" customFormat="1" ht="21" hidden="1">
      <c r="A853" s="257"/>
      <c r="B853" s="194" t="s">
        <v>1730</v>
      </c>
      <c r="C853" s="188" t="s">
        <v>1739</v>
      </c>
      <c r="D853" s="195">
        <v>45757</v>
      </c>
      <c r="E853" s="189">
        <v>45789</v>
      </c>
      <c r="F853" s="257" t="s">
        <v>16</v>
      </c>
      <c r="G853" s="272">
        <v>27.94</v>
      </c>
      <c r="H853" s="190" t="s">
        <v>1740</v>
      </c>
      <c r="I853" s="194" t="s">
        <v>279</v>
      </c>
      <c r="J853" s="278" t="s">
        <v>150</v>
      </c>
      <c r="K853" s="192"/>
      <c r="L853" s="193"/>
      <c r="M853" s="289"/>
      <c r="N853"/>
    </row>
    <row r="854" spans="1:14" s="96" customFormat="1" ht="21" hidden="1">
      <c r="A854" s="257"/>
      <c r="B854" s="194" t="s">
        <v>1730</v>
      </c>
      <c r="C854" s="188" t="s">
        <v>1741</v>
      </c>
      <c r="D854" s="195">
        <v>45787</v>
      </c>
      <c r="E854" s="189">
        <v>45818</v>
      </c>
      <c r="F854" s="257" t="s">
        <v>16</v>
      </c>
      <c r="G854" s="272">
        <v>27.94</v>
      </c>
      <c r="H854" s="190" t="s">
        <v>1742</v>
      </c>
      <c r="I854" s="194" t="s">
        <v>279</v>
      </c>
      <c r="J854" s="278" t="s">
        <v>150</v>
      </c>
      <c r="K854" s="192"/>
      <c r="L854" s="193"/>
      <c r="M854" s="289"/>
      <c r="N854"/>
    </row>
    <row r="855" spans="1:14" s="96" customFormat="1" ht="21" hidden="1">
      <c r="A855" s="257"/>
      <c r="B855" s="194" t="s">
        <v>1730</v>
      </c>
      <c r="C855" s="188" t="s">
        <v>1743</v>
      </c>
      <c r="D855" s="195">
        <v>45848</v>
      </c>
      <c r="E855" s="189">
        <v>45880</v>
      </c>
      <c r="F855" s="257" t="s">
        <v>16</v>
      </c>
      <c r="G855" s="272">
        <v>30.52</v>
      </c>
      <c r="H855" s="190" t="s">
        <v>1744</v>
      </c>
      <c r="I855" s="194" t="s">
        <v>279</v>
      </c>
      <c r="J855" s="278" t="s">
        <v>150</v>
      </c>
      <c r="K855" s="192"/>
      <c r="L855" s="193"/>
      <c r="M855" s="289"/>
      <c r="N855"/>
    </row>
    <row r="856" spans="1:14" s="96" customFormat="1" ht="21" hidden="1">
      <c r="A856" s="257"/>
      <c r="B856" s="194" t="s">
        <v>1730</v>
      </c>
      <c r="C856" s="188" t="s">
        <v>1746</v>
      </c>
      <c r="D856" s="195">
        <v>45819</v>
      </c>
      <c r="E856" s="189">
        <v>45852</v>
      </c>
      <c r="F856" s="257" t="s">
        <v>16</v>
      </c>
      <c r="G856" s="272">
        <v>27.94</v>
      </c>
      <c r="H856" s="190" t="s">
        <v>1747</v>
      </c>
      <c r="I856" s="194" t="s">
        <v>279</v>
      </c>
      <c r="J856" s="278" t="s">
        <v>150</v>
      </c>
      <c r="K856" s="192"/>
      <c r="L856" s="193"/>
      <c r="M856" s="289"/>
      <c r="N856"/>
    </row>
    <row r="857" spans="1:14" s="96" customFormat="1" ht="21" hidden="1">
      <c r="A857" s="257"/>
      <c r="B857" s="194" t="s">
        <v>1730</v>
      </c>
      <c r="C857" s="188" t="s">
        <v>1748</v>
      </c>
      <c r="D857" s="195">
        <v>45880</v>
      </c>
      <c r="E857" s="189">
        <v>45880</v>
      </c>
      <c r="F857" s="257" t="s">
        <v>16</v>
      </c>
      <c r="G857" s="272">
        <v>27.94</v>
      </c>
      <c r="H857" s="190" t="s">
        <v>1749</v>
      </c>
      <c r="I857" s="194" t="s">
        <v>279</v>
      </c>
      <c r="J857" s="278" t="s">
        <v>1750</v>
      </c>
      <c r="K857" s="192"/>
      <c r="L857" s="193"/>
      <c r="M857" s="289"/>
      <c r="N857"/>
    </row>
    <row r="858" spans="1:14" s="96" customFormat="1" ht="21" hidden="1">
      <c r="A858" s="257"/>
      <c r="B858" s="194" t="s">
        <v>1730</v>
      </c>
      <c r="C858" s="188" t="s">
        <v>1751</v>
      </c>
      <c r="D858" s="195">
        <v>45911</v>
      </c>
      <c r="E858" s="189">
        <v>45943</v>
      </c>
      <c r="F858" s="257" t="s">
        <v>16</v>
      </c>
      <c r="G858" s="272">
        <v>28.51</v>
      </c>
      <c r="H858" s="190" t="s">
        <v>1752</v>
      </c>
      <c r="I858" s="194" t="s">
        <v>279</v>
      </c>
      <c r="J858" s="278" t="s">
        <v>150</v>
      </c>
      <c r="K858" s="192"/>
      <c r="L858" s="193"/>
      <c r="M858" s="289"/>
      <c r="N858"/>
    </row>
    <row r="859" spans="1:14" s="96" customFormat="1" ht="21" hidden="1">
      <c r="A859" s="257"/>
      <c r="B859" s="194" t="s">
        <v>1730</v>
      </c>
      <c r="C859" s="188" t="s">
        <v>1753</v>
      </c>
      <c r="D859" s="195">
        <v>45939</v>
      </c>
      <c r="E859" s="189">
        <v>45971</v>
      </c>
      <c r="F859" s="257" t="s">
        <v>16</v>
      </c>
      <c r="G859" s="272">
        <v>27.94</v>
      </c>
      <c r="H859" s="190" t="s">
        <v>1754</v>
      </c>
      <c r="I859" s="194" t="s">
        <v>279</v>
      </c>
      <c r="J859" s="278" t="s">
        <v>150</v>
      </c>
      <c r="K859" s="192"/>
      <c r="L859" s="193"/>
      <c r="M859" s="289"/>
      <c r="N859"/>
    </row>
    <row r="860" spans="1:14" s="96" customFormat="1" ht="21" hidden="1">
      <c r="A860" s="257"/>
      <c r="B860" s="194" t="s">
        <v>1730</v>
      </c>
      <c r="C860" s="188" t="s">
        <v>1755</v>
      </c>
      <c r="D860" s="189">
        <v>45972</v>
      </c>
      <c r="E860" s="189">
        <v>46002</v>
      </c>
      <c r="F860" s="257" t="s">
        <v>16</v>
      </c>
      <c r="G860" s="272">
        <v>22.95</v>
      </c>
      <c r="H860" s="190"/>
      <c r="I860" s="187" t="s">
        <v>1745</v>
      </c>
      <c r="J860" s="278" t="s">
        <v>1757</v>
      </c>
      <c r="K860" s="192"/>
      <c r="L860" s="193"/>
      <c r="M860" s="289" t="s">
        <v>345</v>
      </c>
      <c r="N860"/>
    </row>
    <row r="861" spans="1:14" s="96" customFormat="1" ht="21" hidden="1">
      <c r="A861" s="257"/>
      <c r="B861" s="194" t="s">
        <v>1730</v>
      </c>
      <c r="C861" s="188" t="s">
        <v>1758</v>
      </c>
      <c r="D861" s="189">
        <v>45972</v>
      </c>
      <c r="E861" s="189">
        <v>46002</v>
      </c>
      <c r="F861" s="257" t="s">
        <v>16</v>
      </c>
      <c r="G861" s="272">
        <v>27.94</v>
      </c>
      <c r="H861" s="190"/>
      <c r="I861" s="187" t="s">
        <v>1733</v>
      </c>
      <c r="J861" s="278"/>
      <c r="K861" s="192"/>
      <c r="L861" s="193"/>
      <c r="M861" s="289" t="s">
        <v>345</v>
      </c>
      <c r="N861"/>
    </row>
    <row r="862" spans="1:14" s="96" customFormat="1" ht="21" hidden="1">
      <c r="A862" s="257"/>
      <c r="B862" s="194" t="s">
        <v>1730</v>
      </c>
      <c r="C862" s="188" t="s">
        <v>1760</v>
      </c>
      <c r="D862" s="195">
        <v>46004</v>
      </c>
      <c r="E862" s="189">
        <v>46035</v>
      </c>
      <c r="F862" s="257" t="s">
        <v>49</v>
      </c>
      <c r="G862" s="272">
        <v>56.33</v>
      </c>
      <c r="H862" s="196"/>
      <c r="I862" s="194" t="s">
        <v>1761</v>
      </c>
      <c r="J862" s="278" t="s">
        <v>1757</v>
      </c>
      <c r="K862" s="192"/>
      <c r="L862" s="193"/>
      <c r="M862" s="289" t="s">
        <v>345</v>
      </c>
      <c r="N862"/>
    </row>
    <row r="863" spans="1:14" s="96" customFormat="1" ht="21" hidden="1">
      <c r="A863" s="257"/>
      <c r="B863" s="194" t="s">
        <v>1730</v>
      </c>
      <c r="C863" s="188" t="s">
        <v>1762</v>
      </c>
      <c r="D863" s="195">
        <v>46004</v>
      </c>
      <c r="E863" s="189">
        <v>46035</v>
      </c>
      <c r="F863" s="257" t="s">
        <v>49</v>
      </c>
      <c r="G863" s="272">
        <v>27.94</v>
      </c>
      <c r="H863" s="196"/>
      <c r="I863" s="194" t="s">
        <v>1763</v>
      </c>
      <c r="J863" s="278" t="s">
        <v>1757</v>
      </c>
      <c r="K863" s="192"/>
      <c r="L863" s="193"/>
      <c r="M863" s="289" t="s">
        <v>345</v>
      </c>
      <c r="N863"/>
    </row>
    <row r="864" spans="1:14" s="96" customFormat="1" ht="21" hidden="1">
      <c r="A864" s="196"/>
      <c r="B864" s="196" t="s">
        <v>1730</v>
      </c>
      <c r="C864" s="196" t="s">
        <v>1760</v>
      </c>
      <c r="D864" s="192">
        <v>46004</v>
      </c>
      <c r="E864" s="192">
        <v>46035</v>
      </c>
      <c r="F864" s="196" t="s">
        <v>16</v>
      </c>
      <c r="G864" s="201">
        <v>56.33</v>
      </c>
      <c r="H864" s="196" t="s">
        <v>1761</v>
      </c>
      <c r="I864" s="196" t="s">
        <v>1757</v>
      </c>
      <c r="J864" s="192"/>
      <c r="K864" s="201"/>
      <c r="L864" s="196" t="s">
        <v>345</v>
      </c>
      <c r="M864" s="289"/>
      <c r="N864"/>
    </row>
    <row r="865" spans="1:14" s="96" customFormat="1" ht="21" hidden="1">
      <c r="A865" s="196"/>
      <c r="B865" s="196" t="s">
        <v>1730</v>
      </c>
      <c r="C865" s="196" t="s">
        <v>1762</v>
      </c>
      <c r="D865" s="192">
        <v>46004</v>
      </c>
      <c r="E865" s="192">
        <v>46035</v>
      </c>
      <c r="F865" s="196" t="s">
        <v>16</v>
      </c>
      <c r="G865" s="201">
        <v>27.94</v>
      </c>
      <c r="H865" s="196" t="s">
        <v>1763</v>
      </c>
      <c r="I865" s="196" t="s">
        <v>1757</v>
      </c>
      <c r="J865" s="192"/>
      <c r="K865" s="201"/>
      <c r="L865" s="196" t="s">
        <v>345</v>
      </c>
      <c r="M865" s="289"/>
      <c r="N865"/>
    </row>
    <row r="866" spans="1:14" s="96" customFormat="1" ht="21" hidden="1">
      <c r="A866" s="196"/>
      <c r="B866" s="196" t="s">
        <v>1730</v>
      </c>
      <c r="C866" s="196" t="s">
        <v>4124</v>
      </c>
      <c r="D866" s="192">
        <v>46035</v>
      </c>
      <c r="E866" s="192">
        <v>46066</v>
      </c>
      <c r="F866" s="196" t="s">
        <v>16</v>
      </c>
      <c r="G866" s="201">
        <v>29.39</v>
      </c>
      <c r="H866" s="196" t="s">
        <v>4167</v>
      </c>
      <c r="I866" s="196" t="s">
        <v>1757</v>
      </c>
      <c r="J866" s="192"/>
      <c r="K866" s="201"/>
      <c r="L866" s="196" t="s">
        <v>345</v>
      </c>
      <c r="M866" s="289"/>
      <c r="N866"/>
    </row>
    <row r="867" spans="1:14" s="96" customFormat="1" ht="21" hidden="1">
      <c r="A867" s="196"/>
      <c r="B867" s="196" t="s">
        <v>1730</v>
      </c>
      <c r="C867" s="196" t="s">
        <v>4126</v>
      </c>
      <c r="D867" s="192">
        <v>46035</v>
      </c>
      <c r="E867" s="192">
        <v>46066</v>
      </c>
      <c r="F867" s="196"/>
      <c r="G867" s="201">
        <v>27.94</v>
      </c>
      <c r="H867" s="196" t="s">
        <v>4168</v>
      </c>
      <c r="I867" s="196" t="s">
        <v>1757</v>
      </c>
      <c r="J867" s="192"/>
      <c r="K867" s="201"/>
      <c r="L867" s="196" t="s">
        <v>345</v>
      </c>
      <c r="M867" s="289"/>
      <c r="N867"/>
    </row>
    <row r="868" spans="1:14" s="96" customFormat="1" ht="21" hidden="1">
      <c r="A868" s="257"/>
      <c r="B868" s="194" t="s">
        <v>2337</v>
      </c>
      <c r="C868" s="188" t="s">
        <v>1765</v>
      </c>
      <c r="D868" s="195">
        <v>45693</v>
      </c>
      <c r="E868" s="189">
        <v>45716</v>
      </c>
      <c r="F868" s="257" t="s">
        <v>16</v>
      </c>
      <c r="G868" s="272">
        <v>5130.24</v>
      </c>
      <c r="H868" s="190" t="s">
        <v>1766</v>
      </c>
      <c r="I868" s="194" t="s">
        <v>1767</v>
      </c>
      <c r="J868" s="278" t="s">
        <v>56</v>
      </c>
      <c r="K868" s="192"/>
      <c r="L868" s="193"/>
      <c r="M868" s="289"/>
      <c r="N868"/>
    </row>
    <row r="869" spans="1:14" s="96" customFormat="1" ht="21" hidden="1">
      <c r="A869" s="257"/>
      <c r="B869" s="194" t="s">
        <v>2338</v>
      </c>
      <c r="C869" s="188">
        <v>342</v>
      </c>
      <c r="D869" s="195">
        <v>45730</v>
      </c>
      <c r="E869" s="189"/>
      <c r="F869" s="257" t="s">
        <v>16</v>
      </c>
      <c r="G869" s="272">
        <v>20</v>
      </c>
      <c r="H869" s="190" t="s">
        <v>1770</v>
      </c>
      <c r="I869" s="194" t="s">
        <v>519</v>
      </c>
      <c r="J869" s="278" t="s">
        <v>215</v>
      </c>
      <c r="K869" s="192"/>
      <c r="L869" s="193"/>
      <c r="M869" s="289"/>
      <c r="N869"/>
    </row>
    <row r="870" spans="1:14" s="96" customFormat="1" ht="21" hidden="1">
      <c r="A870" s="257"/>
      <c r="B870" s="187" t="s">
        <v>2338</v>
      </c>
      <c r="C870" s="188">
        <v>957</v>
      </c>
      <c r="D870" s="195">
        <v>45849</v>
      </c>
      <c r="E870" s="189"/>
      <c r="F870" s="257" t="s">
        <v>16</v>
      </c>
      <c r="G870" s="272">
        <v>20</v>
      </c>
      <c r="H870" s="190" t="s">
        <v>1772</v>
      </c>
      <c r="I870" s="194" t="s">
        <v>1773</v>
      </c>
      <c r="J870" s="278" t="s">
        <v>215</v>
      </c>
      <c r="K870" s="192"/>
      <c r="L870" s="193"/>
      <c r="M870" s="289"/>
      <c r="N870"/>
    </row>
    <row r="871" spans="1:14" s="96" customFormat="1" ht="21" hidden="1">
      <c r="A871" s="257"/>
      <c r="B871" s="187" t="s">
        <v>2338</v>
      </c>
      <c r="C871" s="188">
        <v>1533</v>
      </c>
      <c r="D871" s="195">
        <v>45966</v>
      </c>
      <c r="E871" s="189">
        <v>45966</v>
      </c>
      <c r="F871" s="257" t="s">
        <v>49</v>
      </c>
      <c r="G871" s="272">
        <v>20</v>
      </c>
      <c r="H871" s="190"/>
      <c r="I871" s="194" t="s">
        <v>1775</v>
      </c>
      <c r="J871" s="278" t="s">
        <v>215</v>
      </c>
      <c r="K871" s="192"/>
      <c r="L871" s="193"/>
      <c r="M871" s="289"/>
      <c r="N871"/>
    </row>
    <row r="872" spans="1:14" s="96" customFormat="1" ht="21" hidden="1">
      <c r="A872" s="257"/>
      <c r="B872" s="187" t="s">
        <v>2339</v>
      </c>
      <c r="C872" s="188">
        <v>151</v>
      </c>
      <c r="D872" s="195">
        <v>45838</v>
      </c>
      <c r="E872" s="189">
        <v>45845</v>
      </c>
      <c r="F872" s="257" t="s">
        <v>16</v>
      </c>
      <c r="G872" s="272">
        <v>30000</v>
      </c>
      <c r="H872" s="190" t="s">
        <v>1778</v>
      </c>
      <c r="I872" s="194" t="s">
        <v>1779</v>
      </c>
      <c r="J872" s="278" t="s">
        <v>56</v>
      </c>
      <c r="K872" s="192"/>
      <c r="L872" s="193"/>
      <c r="M872" s="289" t="s">
        <v>2340</v>
      </c>
      <c r="N872"/>
    </row>
    <row r="873" spans="1:14" s="96" customFormat="1" ht="21" hidden="1">
      <c r="A873" s="257"/>
      <c r="B873" s="187" t="s">
        <v>2339</v>
      </c>
      <c r="C873" s="188">
        <v>150</v>
      </c>
      <c r="D873" s="195">
        <v>45838</v>
      </c>
      <c r="E873" s="189">
        <v>45845</v>
      </c>
      <c r="F873" s="257"/>
      <c r="G873" s="272">
        <f>70000</f>
        <v>70000</v>
      </c>
      <c r="H873" s="190" t="s">
        <v>1781</v>
      </c>
      <c r="I873" s="194" t="s">
        <v>312</v>
      </c>
      <c r="J873" s="278" t="s">
        <v>56</v>
      </c>
      <c r="K873" s="192"/>
      <c r="L873" s="193"/>
      <c r="M873" s="289" t="s">
        <v>2340</v>
      </c>
      <c r="N873"/>
    </row>
    <row r="874" spans="1:14" s="96" customFormat="1" ht="21" hidden="1">
      <c r="A874" s="257"/>
      <c r="B874" s="194" t="s">
        <v>2341</v>
      </c>
      <c r="C874" s="188" t="s">
        <v>1783</v>
      </c>
      <c r="D874" s="195">
        <v>45688</v>
      </c>
      <c r="E874" s="189"/>
      <c r="F874" s="257" t="s">
        <v>16</v>
      </c>
      <c r="G874" s="272">
        <v>1105</v>
      </c>
      <c r="H874" s="190" t="s">
        <v>1784</v>
      </c>
      <c r="I874" s="194" t="s">
        <v>1785</v>
      </c>
      <c r="J874" s="278"/>
      <c r="K874" s="192"/>
      <c r="L874" s="193"/>
      <c r="M874" s="289"/>
      <c r="N874"/>
    </row>
    <row r="875" spans="1:14" s="96" customFormat="1" ht="21" hidden="1">
      <c r="A875" s="257"/>
      <c r="B875" s="194" t="s">
        <v>2341</v>
      </c>
      <c r="C875" s="188" t="s">
        <v>1786</v>
      </c>
      <c r="D875" s="195">
        <v>45716</v>
      </c>
      <c r="E875" s="189"/>
      <c r="F875" s="257" t="s">
        <v>16</v>
      </c>
      <c r="G875" s="272">
        <v>1274</v>
      </c>
      <c r="H875" s="190" t="s">
        <v>1787</v>
      </c>
      <c r="I875" s="194" t="s">
        <v>1788</v>
      </c>
      <c r="J875" s="278" t="s">
        <v>24</v>
      </c>
      <c r="K875" s="192"/>
      <c r="L875" s="193"/>
      <c r="M875" s="289"/>
      <c r="N875"/>
    </row>
    <row r="876" spans="1:14" s="96" customFormat="1" ht="21" hidden="1">
      <c r="A876" s="257"/>
      <c r="B876" s="194" t="s">
        <v>2341</v>
      </c>
      <c r="C876" s="188" t="s">
        <v>1789</v>
      </c>
      <c r="D876" s="195">
        <v>45747</v>
      </c>
      <c r="E876" s="189"/>
      <c r="F876" s="257" t="s">
        <v>16</v>
      </c>
      <c r="G876" s="272">
        <v>767</v>
      </c>
      <c r="H876" s="190" t="s">
        <v>1790</v>
      </c>
      <c r="I876" s="194" t="s">
        <v>1791</v>
      </c>
      <c r="J876" s="278" t="s">
        <v>1792</v>
      </c>
      <c r="K876" s="192"/>
      <c r="L876" s="193"/>
      <c r="M876" s="289"/>
      <c r="N876"/>
    </row>
    <row r="877" spans="1:14" s="96" customFormat="1" ht="21" hidden="1">
      <c r="A877" s="257"/>
      <c r="B877" s="194" t="s">
        <v>2341</v>
      </c>
      <c r="C877" s="188" t="s">
        <v>1793</v>
      </c>
      <c r="D877" s="195">
        <v>45779</v>
      </c>
      <c r="E877" s="189"/>
      <c r="F877" s="257" t="s">
        <v>16</v>
      </c>
      <c r="G877" s="272">
        <v>533</v>
      </c>
      <c r="H877" s="190" t="s">
        <v>1794</v>
      </c>
      <c r="I877" s="194" t="s">
        <v>1795</v>
      </c>
      <c r="J877" s="278" t="s">
        <v>1792</v>
      </c>
      <c r="K877" s="192"/>
      <c r="L877" s="193"/>
      <c r="M877" s="289"/>
      <c r="N877"/>
    </row>
    <row r="878" spans="1:14" s="96" customFormat="1" ht="21" hidden="1">
      <c r="A878" s="257"/>
      <c r="B878" s="194" t="s">
        <v>2341</v>
      </c>
      <c r="C878" s="188" t="s">
        <v>1796</v>
      </c>
      <c r="D878" s="195">
        <v>45811</v>
      </c>
      <c r="E878" s="189"/>
      <c r="F878" s="257" t="s">
        <v>16</v>
      </c>
      <c r="G878" s="272">
        <v>1040</v>
      </c>
      <c r="H878" s="190" t="s">
        <v>1797</v>
      </c>
      <c r="I878" s="194" t="s">
        <v>1798</v>
      </c>
      <c r="J878" s="278" t="s">
        <v>1792</v>
      </c>
      <c r="K878" s="192"/>
      <c r="L878" s="193"/>
      <c r="M878" s="289"/>
      <c r="N878"/>
    </row>
    <row r="879" spans="1:14" s="96" customFormat="1" ht="21" hidden="1">
      <c r="A879" s="257"/>
      <c r="B879" s="194" t="s">
        <v>2341</v>
      </c>
      <c r="C879" s="188" t="s">
        <v>2342</v>
      </c>
      <c r="D879" s="195">
        <v>45838</v>
      </c>
      <c r="E879" s="189"/>
      <c r="F879" s="257" t="s">
        <v>16</v>
      </c>
      <c r="G879" s="272">
        <v>949</v>
      </c>
      <c r="H879" s="190" t="s">
        <v>1800</v>
      </c>
      <c r="I879" s="194" t="s">
        <v>1801</v>
      </c>
      <c r="J879" s="278" t="s">
        <v>1792</v>
      </c>
      <c r="K879" s="192"/>
      <c r="L879" s="193"/>
      <c r="M879" s="289"/>
      <c r="N879"/>
    </row>
    <row r="880" spans="1:14" s="96" customFormat="1" ht="21" hidden="1">
      <c r="A880" s="257"/>
      <c r="B880" s="194" t="s">
        <v>2343</v>
      </c>
      <c r="C880" s="188" t="s">
        <v>1803</v>
      </c>
      <c r="D880" s="195">
        <v>45787</v>
      </c>
      <c r="E880" s="189"/>
      <c r="F880" s="257" t="s">
        <v>16</v>
      </c>
      <c r="G880" s="272">
        <v>122.3</v>
      </c>
      <c r="H880" s="190" t="s">
        <v>1804</v>
      </c>
      <c r="I880" s="194" t="s">
        <v>457</v>
      </c>
      <c r="J880" s="278" t="s">
        <v>215</v>
      </c>
      <c r="K880" s="192"/>
      <c r="L880" s="193"/>
      <c r="M880" s="289"/>
      <c r="N880"/>
    </row>
    <row r="881" spans="1:14" s="96" customFormat="1" ht="21" hidden="1">
      <c r="A881" s="257"/>
      <c r="B881" s="194" t="s">
        <v>2344</v>
      </c>
      <c r="C881" s="188" t="s">
        <v>1806</v>
      </c>
      <c r="D881" s="195">
        <v>45687</v>
      </c>
      <c r="E881" s="189">
        <v>45687</v>
      </c>
      <c r="F881" s="257" t="s">
        <v>16</v>
      </c>
      <c r="G881" s="272">
        <v>1.2</v>
      </c>
      <c r="H881" s="190" t="s">
        <v>1807</v>
      </c>
      <c r="I881" s="194" t="s">
        <v>565</v>
      </c>
      <c r="J881" s="278" t="s">
        <v>150</v>
      </c>
      <c r="K881" s="192">
        <v>45698</v>
      </c>
      <c r="L881" s="193"/>
      <c r="M881" s="289"/>
      <c r="N881"/>
    </row>
    <row r="882" spans="1:14" s="96" customFormat="1" ht="21" hidden="1">
      <c r="A882" s="257"/>
      <c r="B882" s="194" t="s">
        <v>2345</v>
      </c>
      <c r="C882" s="188" t="s">
        <v>1809</v>
      </c>
      <c r="D882" s="195">
        <v>45695</v>
      </c>
      <c r="E882" s="189"/>
      <c r="F882" s="257" t="s">
        <v>16</v>
      </c>
      <c r="G882" s="272">
        <v>1682</v>
      </c>
      <c r="H882" s="190" t="s">
        <v>1810</v>
      </c>
      <c r="I882" s="194" t="s">
        <v>1811</v>
      </c>
      <c r="J882" s="278" t="s">
        <v>56</v>
      </c>
      <c r="K882" s="192"/>
      <c r="L882" s="193"/>
      <c r="M882" s="289"/>
      <c r="N882"/>
    </row>
    <row r="883" spans="1:14" s="96" customFormat="1" ht="21" hidden="1">
      <c r="A883" s="257"/>
      <c r="B883" s="194" t="s">
        <v>2346</v>
      </c>
      <c r="C883" s="188" t="s">
        <v>1813</v>
      </c>
      <c r="D883" s="195">
        <v>45693</v>
      </c>
      <c r="E883" s="189">
        <v>45693</v>
      </c>
      <c r="F883" s="257" t="s">
        <v>16</v>
      </c>
      <c r="G883" s="272">
        <v>108.01</v>
      </c>
      <c r="H883" s="190" t="s">
        <v>1814</v>
      </c>
      <c r="I883" s="194"/>
      <c r="J883" s="278" t="s">
        <v>24</v>
      </c>
      <c r="K883" s="192"/>
      <c r="L883" s="193"/>
      <c r="M883" s="289"/>
      <c r="N883"/>
    </row>
    <row r="884" spans="1:14" s="96" customFormat="1" ht="21" hidden="1">
      <c r="A884" s="257"/>
      <c r="B884" s="194" t="s">
        <v>3883</v>
      </c>
      <c r="C884" s="188" t="s">
        <v>1816</v>
      </c>
      <c r="D884" s="195">
        <v>45701</v>
      </c>
      <c r="E884" s="195"/>
      <c r="F884" s="257"/>
      <c r="G884" s="272">
        <v>0</v>
      </c>
      <c r="H884" s="196"/>
      <c r="I884" s="194" t="s">
        <v>3884</v>
      </c>
      <c r="J884" s="278" t="s">
        <v>3344</v>
      </c>
      <c r="K884" s="193">
        <v>0.62</v>
      </c>
      <c r="L884" s="192"/>
      <c r="M884" s="289"/>
      <c r="N884"/>
    </row>
    <row r="885" spans="1:14" s="96" customFormat="1" ht="21" hidden="1">
      <c r="A885" s="257"/>
      <c r="B885" s="194" t="s">
        <v>2347</v>
      </c>
      <c r="C885" s="188">
        <v>202510139245</v>
      </c>
      <c r="D885" s="195">
        <v>45701</v>
      </c>
      <c r="E885" s="189"/>
      <c r="F885" s="257" t="s">
        <v>49</v>
      </c>
      <c r="G885" s="272">
        <v>6.85</v>
      </c>
      <c r="H885" s="190" t="s">
        <v>1817</v>
      </c>
      <c r="I885" s="194"/>
      <c r="J885" s="278" t="s">
        <v>150</v>
      </c>
      <c r="K885" s="192"/>
      <c r="L885" s="193"/>
      <c r="M885" s="289"/>
      <c r="N885"/>
    </row>
    <row r="886" spans="1:14" s="96" customFormat="1" ht="21" hidden="1">
      <c r="A886" s="257"/>
      <c r="B886" s="194" t="s">
        <v>2347</v>
      </c>
      <c r="C886" s="188">
        <v>2526000497</v>
      </c>
      <c r="D886" s="195">
        <v>45706</v>
      </c>
      <c r="E886" s="189"/>
      <c r="F886" s="257" t="s">
        <v>49</v>
      </c>
      <c r="G886" s="272">
        <v>204.97</v>
      </c>
      <c r="H886" s="190" t="s">
        <v>1830</v>
      </c>
      <c r="I886" s="194"/>
      <c r="J886" s="278" t="s">
        <v>150</v>
      </c>
      <c r="K886" s="192"/>
      <c r="L886" s="193"/>
      <c r="M886" s="289"/>
      <c r="N886"/>
    </row>
    <row r="887" spans="1:14" s="96" customFormat="1" ht="21" hidden="1">
      <c r="A887" s="257"/>
      <c r="B887" s="194" t="s">
        <v>2347</v>
      </c>
      <c r="C887" s="188">
        <v>202510256825</v>
      </c>
      <c r="D887" s="195">
        <v>45734</v>
      </c>
      <c r="E887" s="189">
        <v>45764</v>
      </c>
      <c r="F887" s="257" t="s">
        <v>16</v>
      </c>
      <c r="G887" s="272">
        <v>36.51</v>
      </c>
      <c r="H887" s="190" t="s">
        <v>1833</v>
      </c>
      <c r="I887" s="194" t="s">
        <v>312</v>
      </c>
      <c r="J887" s="278"/>
      <c r="K887" s="192"/>
      <c r="L887" s="193"/>
      <c r="M887" s="289"/>
      <c r="N887"/>
    </row>
    <row r="888" spans="1:14" s="96" customFormat="1" ht="21" hidden="1">
      <c r="A888" s="257"/>
      <c r="B888" s="194" t="s">
        <v>2347</v>
      </c>
      <c r="C888" s="188">
        <v>202510290015</v>
      </c>
      <c r="D888" s="195">
        <v>45741</v>
      </c>
      <c r="E888" s="189"/>
      <c r="F888" s="257" t="s">
        <v>16</v>
      </c>
      <c r="G888" s="272">
        <v>0</v>
      </c>
      <c r="H888" s="190" t="s">
        <v>1835</v>
      </c>
      <c r="I888" s="194" t="s">
        <v>312</v>
      </c>
      <c r="J888" s="278"/>
      <c r="K888" s="192"/>
      <c r="L888" s="193"/>
      <c r="M888" s="289"/>
      <c r="N888"/>
    </row>
    <row r="889" spans="1:14" s="96" customFormat="1" ht="21" hidden="1">
      <c r="A889" s="257"/>
      <c r="B889" s="194" t="s">
        <v>2347</v>
      </c>
      <c r="C889" s="188">
        <v>202510492636</v>
      </c>
      <c r="D889" s="195">
        <v>45805</v>
      </c>
      <c r="E889" s="189"/>
      <c r="F889" s="257" t="s">
        <v>16</v>
      </c>
      <c r="G889" s="272">
        <v>335.87</v>
      </c>
      <c r="H889" s="190" t="s">
        <v>1841</v>
      </c>
      <c r="I889" s="194" t="s">
        <v>312</v>
      </c>
      <c r="J889" s="278"/>
      <c r="K889" s="192"/>
      <c r="L889" s="193"/>
      <c r="M889" s="289"/>
      <c r="N889"/>
    </row>
    <row r="890" spans="1:14" s="96" customFormat="1" ht="21" hidden="1">
      <c r="A890" s="257"/>
      <c r="B890" s="194" t="s">
        <v>2347</v>
      </c>
      <c r="C890" s="188">
        <v>202510490837</v>
      </c>
      <c r="D890" s="195">
        <v>45805</v>
      </c>
      <c r="E890" s="189"/>
      <c r="F890" s="257" t="s">
        <v>16</v>
      </c>
      <c r="G890" s="272">
        <v>0</v>
      </c>
      <c r="H890" s="190" t="s">
        <v>1820</v>
      </c>
      <c r="I890" s="194" t="s">
        <v>1821</v>
      </c>
      <c r="J890" s="278" t="s">
        <v>150</v>
      </c>
      <c r="K890" s="192"/>
      <c r="L890" s="193"/>
      <c r="M890" s="289"/>
      <c r="N890"/>
    </row>
    <row r="891" spans="1:14" s="96" customFormat="1" ht="21" hidden="1">
      <c r="A891" s="257"/>
      <c r="B891" s="194" t="s">
        <v>2347</v>
      </c>
      <c r="C891" s="188" t="s">
        <v>1822</v>
      </c>
      <c r="D891" s="195">
        <v>45874</v>
      </c>
      <c r="E891" s="189"/>
      <c r="F891" s="257" t="s">
        <v>16</v>
      </c>
      <c r="G891" s="272">
        <v>30.19</v>
      </c>
      <c r="H891" s="190" t="s">
        <v>1823</v>
      </c>
      <c r="I891" s="194"/>
      <c r="J891" s="278" t="s">
        <v>1825</v>
      </c>
      <c r="K891" s="192"/>
      <c r="L891" s="193"/>
      <c r="M891" s="289"/>
      <c r="N891"/>
    </row>
    <row r="892" spans="1:14" s="96" customFormat="1" ht="21" hidden="1">
      <c r="A892" s="267"/>
      <c r="B892" s="250" t="s">
        <v>2347</v>
      </c>
      <c r="C892" s="251">
        <v>202510892147</v>
      </c>
      <c r="D892" s="252">
        <v>45919</v>
      </c>
      <c r="E892" s="253">
        <v>45950</v>
      </c>
      <c r="F892" s="267" t="s">
        <v>16</v>
      </c>
      <c r="G892" s="274">
        <v>188</v>
      </c>
      <c r="H892" s="254" t="s">
        <v>1844</v>
      </c>
      <c r="I892" s="250"/>
      <c r="J892" s="280" t="s">
        <v>1846</v>
      </c>
      <c r="K892" s="255"/>
      <c r="L892" s="256"/>
      <c r="M892" s="138"/>
      <c r="N892"/>
    </row>
    <row r="893" spans="1:14" s="96" customFormat="1" ht="21" hidden="1">
      <c r="A893" s="267"/>
      <c r="B893" s="250" t="s">
        <v>2347</v>
      </c>
      <c r="C893" s="251">
        <v>202510892147</v>
      </c>
      <c r="D893" s="252">
        <v>45919</v>
      </c>
      <c r="E893" s="253">
        <v>46042</v>
      </c>
      <c r="F893" s="267" t="s">
        <v>16</v>
      </c>
      <c r="G893" s="274">
        <v>188</v>
      </c>
      <c r="H893" s="254" t="s">
        <v>1844</v>
      </c>
      <c r="I893" s="250"/>
      <c r="J893" s="280" t="s">
        <v>1846</v>
      </c>
      <c r="K893" s="255"/>
      <c r="L893" s="256"/>
      <c r="M893" s="138"/>
      <c r="N893"/>
    </row>
    <row r="894" spans="1:14" s="96" customFormat="1" ht="21" hidden="1">
      <c r="A894" s="267"/>
      <c r="B894" s="250" t="s">
        <v>2347</v>
      </c>
      <c r="C894" s="251">
        <v>202510892147</v>
      </c>
      <c r="D894" s="252">
        <v>45919</v>
      </c>
      <c r="E894" s="253">
        <v>46132</v>
      </c>
      <c r="F894" s="267" t="s">
        <v>16</v>
      </c>
      <c r="G894" s="274">
        <v>188</v>
      </c>
      <c r="H894" s="254" t="s">
        <v>1844</v>
      </c>
      <c r="I894" s="250"/>
      <c r="J894" s="280" t="s">
        <v>1846</v>
      </c>
      <c r="K894" s="255"/>
      <c r="L894" s="256"/>
      <c r="M894" s="138"/>
      <c r="N894"/>
    </row>
    <row r="895" spans="1:14" s="96" customFormat="1" ht="21" hidden="1">
      <c r="A895" s="267"/>
      <c r="B895" s="250" t="s">
        <v>2347</v>
      </c>
      <c r="C895" s="251">
        <v>202510892147</v>
      </c>
      <c r="D895" s="252">
        <v>45919</v>
      </c>
      <c r="E895" s="253">
        <v>46223</v>
      </c>
      <c r="F895" s="267" t="s">
        <v>16</v>
      </c>
      <c r="G895" s="274">
        <v>188.58</v>
      </c>
      <c r="H895" s="254" t="s">
        <v>1844</v>
      </c>
      <c r="I895" s="250"/>
      <c r="J895" s="280" t="s">
        <v>1846</v>
      </c>
      <c r="K895" s="255"/>
      <c r="L895" s="256"/>
      <c r="M895" s="138"/>
      <c r="N895"/>
    </row>
    <row r="896" spans="1:14" s="96" customFormat="1" ht="21" hidden="1">
      <c r="A896" s="267" t="s">
        <v>316</v>
      </c>
      <c r="B896" s="320" t="s">
        <v>2348</v>
      </c>
      <c r="C896" s="251" t="s">
        <v>1827</v>
      </c>
      <c r="D896" s="253">
        <v>45635</v>
      </c>
      <c r="E896" s="253">
        <v>45665</v>
      </c>
      <c r="F896" s="267" t="s">
        <v>16</v>
      </c>
      <c r="G896" s="274">
        <v>26.65</v>
      </c>
      <c r="H896" s="254"/>
      <c r="I896" s="320" t="s">
        <v>1828</v>
      </c>
      <c r="J896" s="280" t="s">
        <v>176</v>
      </c>
      <c r="K896" s="255">
        <v>45972</v>
      </c>
      <c r="L896" s="256">
        <v>26.65</v>
      </c>
      <c r="M896" s="138" t="s">
        <v>394</v>
      </c>
      <c r="N896"/>
    </row>
    <row r="897" spans="1:14" s="96" customFormat="1" ht="21" hidden="1">
      <c r="A897" s="267" t="s">
        <v>13</v>
      </c>
      <c r="B897" s="320" t="s">
        <v>2348</v>
      </c>
      <c r="C897" s="251" t="s">
        <v>1837</v>
      </c>
      <c r="D897" s="253">
        <v>45559</v>
      </c>
      <c r="E897" s="253">
        <v>45589</v>
      </c>
      <c r="F897" s="267" t="s">
        <v>49</v>
      </c>
      <c r="G897" s="274">
        <v>30.39</v>
      </c>
      <c r="H897" s="254"/>
      <c r="I897" s="320" t="s">
        <v>1838</v>
      </c>
      <c r="J897" s="280" t="s">
        <v>176</v>
      </c>
      <c r="K897" s="255">
        <v>45972</v>
      </c>
      <c r="L897" s="256">
        <v>30.39</v>
      </c>
      <c r="M897" s="138" t="s">
        <v>19</v>
      </c>
      <c r="N897"/>
    </row>
    <row r="898" spans="1:14" s="96" customFormat="1" ht="21" hidden="1">
      <c r="A898" s="267"/>
      <c r="B898" s="320" t="s">
        <v>2348</v>
      </c>
      <c r="C898" s="251" t="s">
        <v>1847</v>
      </c>
      <c r="D898" s="253">
        <v>45979</v>
      </c>
      <c r="E898" s="253">
        <v>45979</v>
      </c>
      <c r="F898" s="267" t="s">
        <v>49</v>
      </c>
      <c r="G898" s="274">
        <v>0</v>
      </c>
      <c r="H898" s="254"/>
      <c r="I898" s="320" t="s">
        <v>1848</v>
      </c>
      <c r="J898" s="280" t="s">
        <v>1849</v>
      </c>
      <c r="K898" s="255"/>
      <c r="L898" s="256"/>
      <c r="M898" s="138"/>
      <c r="N898"/>
    </row>
    <row r="899" spans="1:14" s="96" customFormat="1" ht="21" hidden="1">
      <c r="A899" s="267"/>
      <c r="B899" s="320" t="s">
        <v>1815</v>
      </c>
      <c r="C899" s="251" t="s">
        <v>1850</v>
      </c>
      <c r="D899" s="253">
        <v>45986</v>
      </c>
      <c r="E899" s="253">
        <v>46020</v>
      </c>
      <c r="F899" s="267" t="s">
        <v>49</v>
      </c>
      <c r="G899" s="274">
        <v>11.06</v>
      </c>
      <c r="H899" s="254" t="s">
        <v>1851</v>
      </c>
      <c r="I899" s="320" t="s">
        <v>1849</v>
      </c>
      <c r="J899" s="280"/>
      <c r="K899" s="255"/>
      <c r="L899" s="256"/>
      <c r="M899" s="138"/>
      <c r="N899"/>
    </row>
    <row r="900" spans="1:14" s="96" customFormat="1" ht="21" hidden="1">
      <c r="A900" s="267" t="s">
        <v>1852</v>
      </c>
      <c r="B900" s="250" t="s">
        <v>2348</v>
      </c>
      <c r="C900" s="251" t="s">
        <v>1853</v>
      </c>
      <c r="D900" s="252">
        <v>45994</v>
      </c>
      <c r="E900" s="253">
        <v>46024</v>
      </c>
      <c r="F900" s="267" t="s">
        <v>16</v>
      </c>
      <c r="G900" s="274">
        <v>223.98</v>
      </c>
      <c r="H900" s="316"/>
      <c r="I900" s="250" t="s">
        <v>1854</v>
      </c>
      <c r="J900" s="280" t="s">
        <v>1855</v>
      </c>
      <c r="K900" s="255"/>
      <c r="L900" s="256">
        <v>223.98</v>
      </c>
      <c r="M900" s="138"/>
      <c r="N900"/>
    </row>
    <row r="901" spans="1:14" s="96" customFormat="1" ht="21" hidden="1">
      <c r="A901" s="316" t="s">
        <v>13</v>
      </c>
      <c r="B901" s="316" t="s">
        <v>1815</v>
      </c>
      <c r="C901" s="316" t="s">
        <v>1840</v>
      </c>
      <c r="D901" s="255">
        <v>45805</v>
      </c>
      <c r="E901" s="255">
        <v>45835</v>
      </c>
      <c r="F901" s="316" t="s">
        <v>16</v>
      </c>
      <c r="G901" s="317">
        <v>335.87</v>
      </c>
      <c r="H901" s="316" t="s">
        <v>1842</v>
      </c>
      <c r="I901" s="316" t="s">
        <v>18</v>
      </c>
      <c r="J901" s="255">
        <v>46041</v>
      </c>
      <c r="K901" s="317">
        <v>335.87</v>
      </c>
      <c r="L901" s="316" t="s">
        <v>345</v>
      </c>
      <c r="M901" s="138"/>
      <c r="N901"/>
    </row>
    <row r="902" spans="1:14" s="96" customFormat="1" ht="21" hidden="1">
      <c r="A902" s="316" t="s">
        <v>13</v>
      </c>
      <c r="B902" s="316" t="s">
        <v>1815</v>
      </c>
      <c r="C902" s="316" t="s">
        <v>1843</v>
      </c>
      <c r="D902" s="255">
        <v>45919</v>
      </c>
      <c r="E902" s="255">
        <v>45950</v>
      </c>
      <c r="F902" s="316" t="s">
        <v>16</v>
      </c>
      <c r="G902" s="317">
        <v>752.58</v>
      </c>
      <c r="H902" s="316" t="s">
        <v>1845</v>
      </c>
      <c r="I902" s="316" t="s">
        <v>1846</v>
      </c>
      <c r="J902" s="255">
        <v>46041</v>
      </c>
      <c r="K902" s="317">
        <v>752.58</v>
      </c>
      <c r="L902" s="316" t="s">
        <v>345</v>
      </c>
      <c r="M902" s="138"/>
      <c r="N902"/>
    </row>
    <row r="903" spans="1:14" s="96" customFormat="1" ht="21" hidden="1">
      <c r="A903" s="316" t="s">
        <v>13</v>
      </c>
      <c r="B903" s="316" t="s">
        <v>1815</v>
      </c>
      <c r="C903" s="316" t="s">
        <v>1853</v>
      </c>
      <c r="D903" s="255">
        <v>45994</v>
      </c>
      <c r="E903" s="255">
        <v>46024</v>
      </c>
      <c r="F903" s="316" t="s">
        <v>16</v>
      </c>
      <c r="G903" s="317">
        <v>223.98</v>
      </c>
      <c r="H903" s="316" t="s">
        <v>1854</v>
      </c>
      <c r="I903" s="316" t="s">
        <v>1855</v>
      </c>
      <c r="J903" s="255">
        <v>46041</v>
      </c>
      <c r="K903" s="317">
        <v>223.98</v>
      </c>
      <c r="L903" s="316" t="s">
        <v>345</v>
      </c>
      <c r="M903" s="138"/>
      <c r="N903"/>
    </row>
    <row r="904" spans="1:14" s="96" customFormat="1" ht="21" hidden="1">
      <c r="A904" s="315" t="s">
        <v>13</v>
      </c>
      <c r="B904" s="250" t="s">
        <v>2349</v>
      </c>
      <c r="C904" s="251">
        <v>34902077</v>
      </c>
      <c r="D904" s="252">
        <v>45962</v>
      </c>
      <c r="E904" s="253" t="s">
        <v>1858</v>
      </c>
      <c r="F904" s="267" t="s">
        <v>16</v>
      </c>
      <c r="G904" s="274">
        <v>137.97999999999999</v>
      </c>
      <c r="H904" s="254"/>
      <c r="I904" s="250" t="s">
        <v>1859</v>
      </c>
      <c r="J904" s="280" t="s">
        <v>361</v>
      </c>
      <c r="K904" s="255"/>
      <c r="L904" s="256"/>
      <c r="M904" s="138"/>
      <c r="N904"/>
    </row>
    <row r="905" spans="1:14" s="96" customFormat="1" ht="21" hidden="1">
      <c r="A905" s="267"/>
      <c r="B905" s="250" t="s">
        <v>2350</v>
      </c>
      <c r="C905" s="251" t="s">
        <v>1874</v>
      </c>
      <c r="D905" s="252">
        <v>45716</v>
      </c>
      <c r="E905" s="253"/>
      <c r="F905" s="267" t="s">
        <v>16</v>
      </c>
      <c r="G905" s="274">
        <v>345.34</v>
      </c>
      <c r="H905" s="254" t="s">
        <v>1875</v>
      </c>
      <c r="I905" s="250" t="s">
        <v>1384</v>
      </c>
      <c r="J905" s="280" t="s">
        <v>56</v>
      </c>
      <c r="K905" s="255"/>
      <c r="L905" s="256"/>
      <c r="M905" s="138"/>
      <c r="N905"/>
    </row>
    <row r="906" spans="1:14" s="96" customFormat="1" ht="21" hidden="1">
      <c r="A906" s="315" t="s">
        <v>13</v>
      </c>
      <c r="B906" s="250" t="s">
        <v>2351</v>
      </c>
      <c r="C906" s="251">
        <v>125000004</v>
      </c>
      <c r="D906" s="252">
        <v>45665</v>
      </c>
      <c r="E906" s="253">
        <v>45665</v>
      </c>
      <c r="F906" s="267" t="s">
        <v>16</v>
      </c>
      <c r="G906" s="274">
        <v>170.5</v>
      </c>
      <c r="H906" s="254" t="s">
        <v>1862</v>
      </c>
      <c r="I906" s="250" t="s">
        <v>1863</v>
      </c>
      <c r="J906" s="280" t="s">
        <v>751</v>
      </c>
      <c r="K906" s="255"/>
      <c r="L906" s="256"/>
      <c r="M906" s="138"/>
      <c r="N906"/>
    </row>
    <row r="907" spans="1:14" s="96" customFormat="1" ht="21" hidden="1">
      <c r="A907" s="315" t="s">
        <v>13</v>
      </c>
      <c r="B907" s="250" t="s">
        <v>2351</v>
      </c>
      <c r="C907" s="251">
        <v>12500044</v>
      </c>
      <c r="D907" s="252">
        <v>45709</v>
      </c>
      <c r="E907" s="253"/>
      <c r="F907" s="267" t="s">
        <v>49</v>
      </c>
      <c r="G907" s="274">
        <v>173</v>
      </c>
      <c r="H907" s="254" t="s">
        <v>1865</v>
      </c>
      <c r="I907" s="250" t="s">
        <v>1773</v>
      </c>
      <c r="J907" s="280" t="s">
        <v>1792</v>
      </c>
      <c r="K907" s="255"/>
      <c r="L907" s="256"/>
      <c r="M907" s="138" t="s">
        <v>1866</v>
      </c>
      <c r="N907"/>
    </row>
    <row r="908" spans="1:14" s="96" customFormat="1" ht="21" hidden="1">
      <c r="A908" s="315" t="s">
        <v>13</v>
      </c>
      <c r="B908" s="250" t="s">
        <v>2351</v>
      </c>
      <c r="C908" s="251">
        <v>125000149</v>
      </c>
      <c r="D908" s="252">
        <v>45826</v>
      </c>
      <c r="E908" s="253"/>
      <c r="F908" s="267" t="s">
        <v>16</v>
      </c>
      <c r="G908" s="274">
        <v>35.5</v>
      </c>
      <c r="H908" s="254" t="s">
        <v>1868</v>
      </c>
      <c r="I908" s="250" t="s">
        <v>1773</v>
      </c>
      <c r="J908" s="280"/>
      <c r="K908" s="255"/>
      <c r="L908" s="256"/>
      <c r="M908" s="138" t="s">
        <v>1866</v>
      </c>
      <c r="N908"/>
    </row>
    <row r="909" spans="1:14" s="96" customFormat="1" ht="21" hidden="1">
      <c r="A909" s="315" t="s">
        <v>13</v>
      </c>
      <c r="B909" s="250" t="s">
        <v>2351</v>
      </c>
      <c r="C909" s="251">
        <v>125000172</v>
      </c>
      <c r="D909" s="252">
        <v>45853</v>
      </c>
      <c r="E909" s="253"/>
      <c r="F909" s="267" t="s">
        <v>16</v>
      </c>
      <c r="G909" s="274">
        <v>123.5</v>
      </c>
      <c r="H909" s="254" t="s">
        <v>1870</v>
      </c>
      <c r="I909" s="250" t="s">
        <v>1773</v>
      </c>
      <c r="J909" s="280" t="s">
        <v>794</v>
      </c>
      <c r="K909" s="255"/>
      <c r="L909" s="256"/>
      <c r="M909" s="138" t="s">
        <v>1866</v>
      </c>
      <c r="N909"/>
    </row>
    <row r="910" spans="1:14" s="96" customFormat="1" ht="21" hidden="1">
      <c r="A910" s="315" t="s">
        <v>13</v>
      </c>
      <c r="B910" s="250" t="s">
        <v>2351</v>
      </c>
      <c r="C910" s="251">
        <v>256</v>
      </c>
      <c r="D910" s="252">
        <v>45959</v>
      </c>
      <c r="E910" s="253"/>
      <c r="F910" s="267" t="s">
        <v>49</v>
      </c>
      <c r="G910" s="274">
        <v>49.5</v>
      </c>
      <c r="H910" s="254"/>
      <c r="I910" s="250" t="s">
        <v>1871</v>
      </c>
      <c r="J910" s="280" t="s">
        <v>1872</v>
      </c>
      <c r="K910" s="255"/>
      <c r="L910" s="256"/>
      <c r="M910" s="138" t="s">
        <v>1866</v>
      </c>
      <c r="N910"/>
    </row>
    <row r="911" spans="1:14" s="96" customFormat="1" ht="21" hidden="1">
      <c r="A911" s="267"/>
      <c r="B911" s="320" t="s">
        <v>1876</v>
      </c>
      <c r="C911" s="251" t="s">
        <v>4319</v>
      </c>
      <c r="D911" s="253">
        <v>46082</v>
      </c>
      <c r="E911" s="253"/>
      <c r="F911" s="267"/>
      <c r="G911" s="274">
        <v>58.8</v>
      </c>
      <c r="H911" s="254"/>
      <c r="I911" s="320" t="s">
        <v>3348</v>
      </c>
      <c r="J911" s="280" t="s">
        <v>3344</v>
      </c>
      <c r="K911" s="256">
        <v>10.6</v>
      </c>
      <c r="L911" s="255"/>
      <c r="M911" s="138"/>
      <c r="N911" s="56"/>
    </row>
    <row r="912" spans="1:14" s="96" customFormat="1" ht="21" hidden="1">
      <c r="A912" s="267"/>
      <c r="B912" s="320" t="s">
        <v>1876</v>
      </c>
      <c r="C912" s="251" t="s">
        <v>4318</v>
      </c>
      <c r="D912" s="253">
        <v>46082</v>
      </c>
      <c r="E912" s="253"/>
      <c r="F912" s="267"/>
      <c r="G912" s="274">
        <v>51.4</v>
      </c>
      <c r="H912" s="254"/>
      <c r="I912" s="320" t="s">
        <v>3346</v>
      </c>
      <c r="J912" s="280" t="s">
        <v>3344</v>
      </c>
      <c r="K912" s="256">
        <v>9.27</v>
      </c>
      <c r="L912" s="255"/>
      <c r="M912" s="138"/>
      <c r="N912" s="56"/>
    </row>
    <row r="913" spans="1:14" s="96" customFormat="1" ht="21" hidden="1">
      <c r="A913" s="267"/>
      <c r="B913" s="320" t="s">
        <v>1876</v>
      </c>
      <c r="C913" s="251" t="s">
        <v>4317</v>
      </c>
      <c r="D913" s="253">
        <v>46082</v>
      </c>
      <c r="E913" s="253"/>
      <c r="F913" s="267"/>
      <c r="G913" s="274">
        <v>57.78</v>
      </c>
      <c r="H913" s="254"/>
      <c r="I913" s="320" t="s">
        <v>3343</v>
      </c>
      <c r="J913" s="280" t="s">
        <v>3344</v>
      </c>
      <c r="K913" s="256">
        <v>10.42</v>
      </c>
      <c r="L913" s="255"/>
      <c r="M913" s="138"/>
      <c r="N913" s="56"/>
    </row>
    <row r="914" spans="1:14" s="96" customFormat="1" ht="21" hidden="1">
      <c r="A914" s="267"/>
      <c r="B914" s="320" t="s">
        <v>1876</v>
      </c>
      <c r="C914" s="251" t="s">
        <v>4304</v>
      </c>
      <c r="D914" s="253">
        <v>46078</v>
      </c>
      <c r="E914" s="253"/>
      <c r="F914" s="267" t="s">
        <v>16</v>
      </c>
      <c r="G914" s="274">
        <v>0</v>
      </c>
      <c r="H914" s="254"/>
      <c r="I914" s="320" t="s">
        <v>4305</v>
      </c>
      <c r="J914" s="280" t="s">
        <v>3650</v>
      </c>
      <c r="K914" s="256">
        <v>0</v>
      </c>
      <c r="L914" s="255"/>
      <c r="M914" s="138"/>
      <c r="N914" s="56"/>
    </row>
    <row r="915" spans="1:14" s="96" customFormat="1" ht="21" hidden="1">
      <c r="A915" s="267"/>
      <c r="B915" s="250" t="s">
        <v>2352</v>
      </c>
      <c r="C915" s="251" t="s">
        <v>1877</v>
      </c>
      <c r="D915" s="252">
        <v>45658</v>
      </c>
      <c r="E915" s="253">
        <v>45688</v>
      </c>
      <c r="F915" s="267" t="s">
        <v>16</v>
      </c>
      <c r="G915" s="274">
        <v>52.22</v>
      </c>
      <c r="H915" s="254" t="s">
        <v>1878</v>
      </c>
      <c r="I915" s="250" t="s">
        <v>1093</v>
      </c>
      <c r="J915" s="280" t="s">
        <v>150</v>
      </c>
      <c r="K915" s="255"/>
      <c r="L915" s="256"/>
      <c r="M915" s="138" t="s">
        <v>19</v>
      </c>
      <c r="N915"/>
    </row>
    <row r="916" spans="1:14" s="96" customFormat="1" ht="21" hidden="1">
      <c r="A916" s="267"/>
      <c r="B916" s="250" t="s">
        <v>2352</v>
      </c>
      <c r="C916" s="251" t="s">
        <v>1879</v>
      </c>
      <c r="D916" s="252">
        <v>45658</v>
      </c>
      <c r="E916" s="253">
        <v>45688</v>
      </c>
      <c r="F916" s="267" t="s">
        <v>16</v>
      </c>
      <c r="G916" s="274">
        <v>50.8</v>
      </c>
      <c r="H916" s="254" t="s">
        <v>1880</v>
      </c>
      <c r="I916" s="250" t="s">
        <v>1093</v>
      </c>
      <c r="J916" s="280" t="s">
        <v>150</v>
      </c>
      <c r="K916" s="255"/>
      <c r="L916" s="256"/>
      <c r="M916" s="138" t="s">
        <v>19</v>
      </c>
      <c r="N916"/>
    </row>
    <row r="917" spans="1:14" s="96" customFormat="1" ht="21" hidden="1">
      <c r="A917" s="267"/>
      <c r="B917" s="250" t="s">
        <v>2352</v>
      </c>
      <c r="C917" s="251" t="s">
        <v>1881</v>
      </c>
      <c r="D917" s="252">
        <v>45658</v>
      </c>
      <c r="E917" s="253">
        <v>45688</v>
      </c>
      <c r="F917" s="267" t="s">
        <v>16</v>
      </c>
      <c r="G917" s="274">
        <v>70.599999999999994</v>
      </c>
      <c r="H917" s="254" t="s">
        <v>1882</v>
      </c>
      <c r="I917" s="250" t="s">
        <v>1093</v>
      </c>
      <c r="J917" s="280" t="s">
        <v>150</v>
      </c>
      <c r="K917" s="255"/>
      <c r="L917" s="256"/>
      <c r="M917" s="138" t="s">
        <v>19</v>
      </c>
      <c r="N917"/>
    </row>
    <row r="918" spans="1:14" s="96" customFormat="1" ht="21" hidden="1">
      <c r="A918" s="267"/>
      <c r="B918" s="250" t="s">
        <v>2352</v>
      </c>
      <c r="C918" s="251" t="s">
        <v>1883</v>
      </c>
      <c r="D918" s="252">
        <v>45689</v>
      </c>
      <c r="E918" s="253"/>
      <c r="F918" s="267" t="s">
        <v>16</v>
      </c>
      <c r="G918" s="274">
        <v>50.8</v>
      </c>
      <c r="H918" s="254" t="s">
        <v>1884</v>
      </c>
      <c r="I918" s="250"/>
      <c r="J918" s="280" t="s">
        <v>150</v>
      </c>
      <c r="K918" s="255"/>
      <c r="L918" s="256"/>
      <c r="M918" s="138" t="s">
        <v>19</v>
      </c>
      <c r="N918"/>
    </row>
    <row r="919" spans="1:14" s="96" customFormat="1" ht="21" hidden="1">
      <c r="A919" s="267"/>
      <c r="B919" s="250" t="s">
        <v>2352</v>
      </c>
      <c r="C919" s="251" t="s">
        <v>1885</v>
      </c>
      <c r="D919" s="252">
        <v>45689</v>
      </c>
      <c r="E919" s="253"/>
      <c r="F919" s="267" t="s">
        <v>16</v>
      </c>
      <c r="G919" s="274">
        <v>52.22</v>
      </c>
      <c r="H919" s="254" t="s">
        <v>1886</v>
      </c>
      <c r="I919" s="250"/>
      <c r="J919" s="280" t="s">
        <v>150</v>
      </c>
      <c r="K919" s="255"/>
      <c r="L919" s="256"/>
      <c r="M919" s="138" t="s">
        <v>19</v>
      </c>
      <c r="N919"/>
    </row>
    <row r="920" spans="1:14" s="96" customFormat="1" ht="21" hidden="1">
      <c r="A920" s="267"/>
      <c r="B920" s="250" t="s">
        <v>2352</v>
      </c>
      <c r="C920" s="251" t="s">
        <v>1887</v>
      </c>
      <c r="D920" s="252">
        <v>45689</v>
      </c>
      <c r="E920" s="253"/>
      <c r="F920" s="267" t="s">
        <v>16</v>
      </c>
      <c r="G920" s="274">
        <v>70.599999999999994</v>
      </c>
      <c r="H920" s="254" t="s">
        <v>1888</v>
      </c>
      <c r="I920" s="250"/>
      <c r="J920" s="280" t="s">
        <v>150</v>
      </c>
      <c r="K920" s="255"/>
      <c r="L920" s="256"/>
      <c r="M920" s="138" t="s">
        <v>19</v>
      </c>
      <c r="N920"/>
    </row>
    <row r="921" spans="1:14" s="96" customFormat="1" ht="21" hidden="1">
      <c r="A921" s="267"/>
      <c r="B921" s="250" t="s">
        <v>2352</v>
      </c>
      <c r="C921" s="251" t="s">
        <v>1889</v>
      </c>
      <c r="D921" s="252">
        <v>45693</v>
      </c>
      <c r="E921" s="253"/>
      <c r="F921" s="267" t="s">
        <v>16</v>
      </c>
      <c r="G921" s="274">
        <v>0</v>
      </c>
      <c r="H921" s="254" t="s">
        <v>1890</v>
      </c>
      <c r="I921" s="250" t="s">
        <v>1093</v>
      </c>
      <c r="J921" s="280"/>
      <c r="K921" s="255"/>
      <c r="L921" s="256"/>
      <c r="M921" s="138" t="s">
        <v>19</v>
      </c>
      <c r="N921"/>
    </row>
    <row r="922" spans="1:14" s="96" customFormat="1" ht="21" hidden="1">
      <c r="A922" s="267"/>
      <c r="B922" s="250" t="s">
        <v>2352</v>
      </c>
      <c r="C922" s="251" t="s">
        <v>1891</v>
      </c>
      <c r="D922" s="252">
        <v>45717</v>
      </c>
      <c r="E922" s="253"/>
      <c r="F922" s="267" t="s">
        <v>16</v>
      </c>
      <c r="G922" s="274">
        <v>52.22</v>
      </c>
      <c r="H922" s="254" t="s">
        <v>1892</v>
      </c>
      <c r="I922" s="250"/>
      <c r="J922" s="280" t="s">
        <v>154</v>
      </c>
      <c r="K922" s="255"/>
      <c r="L922" s="256"/>
      <c r="M922" s="138" t="s">
        <v>19</v>
      </c>
      <c r="N922"/>
    </row>
    <row r="923" spans="1:14" s="96" customFormat="1" ht="21" hidden="1">
      <c r="A923" s="267"/>
      <c r="B923" s="250" t="s">
        <v>2352</v>
      </c>
      <c r="C923" s="251" t="s">
        <v>1893</v>
      </c>
      <c r="D923" s="252">
        <v>45717</v>
      </c>
      <c r="E923" s="253"/>
      <c r="F923" s="267" t="s">
        <v>16</v>
      </c>
      <c r="G923" s="274">
        <v>50.8</v>
      </c>
      <c r="H923" s="254" t="s">
        <v>1894</v>
      </c>
      <c r="I923" s="250"/>
      <c r="J923" s="280" t="s">
        <v>150</v>
      </c>
      <c r="K923" s="255"/>
      <c r="L923" s="256"/>
      <c r="M923" s="138" t="s">
        <v>19</v>
      </c>
      <c r="N923"/>
    </row>
    <row r="924" spans="1:14" s="96" customFormat="1" ht="21" hidden="1">
      <c r="A924" s="267"/>
      <c r="B924" s="250" t="s">
        <v>2352</v>
      </c>
      <c r="C924" s="251" t="s">
        <v>1895</v>
      </c>
      <c r="D924" s="252">
        <v>45717</v>
      </c>
      <c r="E924" s="253"/>
      <c r="F924" s="267" t="s">
        <v>16</v>
      </c>
      <c r="G924" s="274">
        <v>70.599999999999994</v>
      </c>
      <c r="H924" s="254" t="s">
        <v>1896</v>
      </c>
      <c r="I924" s="250"/>
      <c r="J924" s="280" t="s">
        <v>150</v>
      </c>
      <c r="K924" s="255"/>
      <c r="L924" s="256"/>
      <c r="M924" s="138" t="s">
        <v>19</v>
      </c>
      <c r="N924"/>
    </row>
    <row r="925" spans="1:14" s="96" customFormat="1" ht="21" hidden="1">
      <c r="A925" s="267"/>
      <c r="B925" s="250" t="s">
        <v>2352</v>
      </c>
      <c r="C925" s="251" t="s">
        <v>1897</v>
      </c>
      <c r="D925" s="252">
        <v>45748</v>
      </c>
      <c r="E925" s="253"/>
      <c r="F925" s="267" t="s">
        <v>16</v>
      </c>
      <c r="G925" s="274">
        <v>52.22</v>
      </c>
      <c r="H925" s="254" t="s">
        <v>1898</v>
      </c>
      <c r="I925" s="250"/>
      <c r="J925" s="280" t="s">
        <v>154</v>
      </c>
      <c r="K925" s="255"/>
      <c r="L925" s="256"/>
      <c r="M925" s="138" t="s">
        <v>19</v>
      </c>
      <c r="N925"/>
    </row>
    <row r="926" spans="1:14" s="96" customFormat="1" ht="21" hidden="1">
      <c r="A926" s="267"/>
      <c r="B926" s="250" t="s">
        <v>2352</v>
      </c>
      <c r="C926" s="251" t="s">
        <v>1899</v>
      </c>
      <c r="D926" s="252">
        <v>45748</v>
      </c>
      <c r="E926" s="253"/>
      <c r="F926" s="267" t="s">
        <v>16</v>
      </c>
      <c r="G926" s="274">
        <v>50.8</v>
      </c>
      <c r="H926" s="254" t="s">
        <v>1900</v>
      </c>
      <c r="I926" s="250"/>
      <c r="J926" s="280" t="s">
        <v>150</v>
      </c>
      <c r="K926" s="255"/>
      <c r="L926" s="256"/>
      <c r="M926" s="138" t="s">
        <v>19</v>
      </c>
      <c r="N926"/>
    </row>
    <row r="927" spans="1:14" s="96" customFormat="1" ht="21" hidden="1">
      <c r="A927" s="267"/>
      <c r="B927" s="250" t="s">
        <v>2352</v>
      </c>
      <c r="C927" s="251" t="s">
        <v>1901</v>
      </c>
      <c r="D927" s="252">
        <v>45748</v>
      </c>
      <c r="E927" s="253"/>
      <c r="F927" s="267" t="s">
        <v>16</v>
      </c>
      <c r="G927" s="274">
        <v>70.599999999999994</v>
      </c>
      <c r="H927" s="254" t="s">
        <v>1902</v>
      </c>
      <c r="I927" s="250"/>
      <c r="J927" s="280" t="s">
        <v>150</v>
      </c>
      <c r="K927" s="255"/>
      <c r="L927" s="256"/>
      <c r="M927" s="138" t="s">
        <v>19</v>
      </c>
      <c r="N927"/>
    </row>
    <row r="928" spans="1:14" s="96" customFormat="1" ht="21" hidden="1">
      <c r="A928" s="267"/>
      <c r="B928" s="250" t="s">
        <v>2352</v>
      </c>
      <c r="C928" s="251" t="s">
        <v>1903</v>
      </c>
      <c r="D928" s="252">
        <v>45747</v>
      </c>
      <c r="E928" s="253"/>
      <c r="F928" s="267" t="s">
        <v>16</v>
      </c>
      <c r="G928" s="274">
        <v>496.99</v>
      </c>
      <c r="H928" s="254" t="s">
        <v>1904</v>
      </c>
      <c r="I928" s="250"/>
      <c r="J928" s="280" t="s">
        <v>350</v>
      </c>
      <c r="K928" s="255"/>
      <c r="L928" s="256"/>
      <c r="M928" s="138" t="s">
        <v>19</v>
      </c>
      <c r="N928"/>
    </row>
    <row r="929" spans="1:14" s="96" customFormat="1" ht="21" hidden="1">
      <c r="A929" s="267"/>
      <c r="B929" s="250" t="s">
        <v>2352</v>
      </c>
      <c r="C929" s="251" t="s">
        <v>1905</v>
      </c>
      <c r="D929" s="252">
        <v>45747</v>
      </c>
      <c r="E929" s="253"/>
      <c r="F929" s="267" t="s">
        <v>16</v>
      </c>
      <c r="G929" s="274">
        <v>19.12</v>
      </c>
      <c r="H929" s="254" t="s">
        <v>1906</v>
      </c>
      <c r="I929" s="250"/>
      <c r="J929" s="280" t="s">
        <v>154</v>
      </c>
      <c r="K929" s="255"/>
      <c r="L929" s="256"/>
      <c r="M929" s="138" t="s">
        <v>19</v>
      </c>
      <c r="N929"/>
    </row>
    <row r="930" spans="1:14" s="96" customFormat="1" ht="21" hidden="1">
      <c r="A930" s="267"/>
      <c r="B930" s="250" t="s">
        <v>2352</v>
      </c>
      <c r="C930" s="251" t="s">
        <v>1907</v>
      </c>
      <c r="D930" s="252">
        <v>45748</v>
      </c>
      <c r="E930" s="253"/>
      <c r="F930" s="267" t="s">
        <v>16</v>
      </c>
      <c r="G930" s="274">
        <v>49.8</v>
      </c>
      <c r="H930" s="254" t="s">
        <v>1908</v>
      </c>
      <c r="I930" s="250"/>
      <c r="J930" s="280" t="s">
        <v>150</v>
      </c>
      <c r="K930" s="255"/>
      <c r="L930" s="256"/>
      <c r="M930" s="138" t="s">
        <v>19</v>
      </c>
      <c r="N930"/>
    </row>
    <row r="931" spans="1:14" s="96" customFormat="1" ht="21" hidden="1">
      <c r="A931" s="267"/>
      <c r="B931" s="250" t="s">
        <v>2352</v>
      </c>
      <c r="C931" s="251" t="s">
        <v>1909</v>
      </c>
      <c r="D931" s="252">
        <v>45758</v>
      </c>
      <c r="E931" s="253"/>
      <c r="F931" s="267" t="s">
        <v>16</v>
      </c>
      <c r="G931" s="274">
        <v>0</v>
      </c>
      <c r="H931" s="254" t="s">
        <v>1910</v>
      </c>
      <c r="I931" s="250"/>
      <c r="J931" s="280"/>
      <c r="K931" s="255"/>
      <c r="L931" s="256"/>
      <c r="M931" s="138" t="s">
        <v>19</v>
      </c>
      <c r="N931"/>
    </row>
    <row r="932" spans="1:14" s="96" customFormat="1" ht="21" hidden="1">
      <c r="A932" s="267"/>
      <c r="B932" s="250" t="s">
        <v>2352</v>
      </c>
      <c r="C932" s="251" t="s">
        <v>1911</v>
      </c>
      <c r="D932" s="252">
        <v>45778</v>
      </c>
      <c r="E932" s="253"/>
      <c r="F932" s="267" t="s">
        <v>16</v>
      </c>
      <c r="G932" s="274">
        <v>49.8</v>
      </c>
      <c r="H932" s="254" t="s">
        <v>1912</v>
      </c>
      <c r="I932" s="250"/>
      <c r="J932" s="280" t="s">
        <v>150</v>
      </c>
      <c r="K932" s="255"/>
      <c r="L932" s="256"/>
      <c r="M932" s="138" t="s">
        <v>19</v>
      </c>
      <c r="N932"/>
    </row>
    <row r="933" spans="1:14" s="96" customFormat="1" ht="21" hidden="1">
      <c r="A933" s="267"/>
      <c r="B933" s="250" t="s">
        <v>2352</v>
      </c>
      <c r="C933" s="251" t="s">
        <v>1913</v>
      </c>
      <c r="D933" s="252">
        <v>45778</v>
      </c>
      <c r="E933" s="253"/>
      <c r="F933" s="267" t="s">
        <v>16</v>
      </c>
      <c r="G933" s="274">
        <v>60.72</v>
      </c>
      <c r="H933" s="254" t="s">
        <v>1914</v>
      </c>
      <c r="I933" s="250"/>
      <c r="J933" s="280" t="s">
        <v>150</v>
      </c>
      <c r="K933" s="255"/>
      <c r="L933" s="256"/>
      <c r="M933" s="138" t="s">
        <v>19</v>
      </c>
      <c r="N933"/>
    </row>
    <row r="934" spans="1:14" hidden="1">
      <c r="A934" s="108"/>
      <c r="B934" s="138" t="s">
        <v>2352</v>
      </c>
      <c r="C934" s="209" t="s">
        <v>1915</v>
      </c>
      <c r="D934" s="230">
        <v>45778</v>
      </c>
      <c r="F934" s="261" t="s">
        <v>16</v>
      </c>
      <c r="G934" s="273">
        <v>53.12</v>
      </c>
      <c r="H934" s="302" t="s">
        <v>1916</v>
      </c>
      <c r="I934" s="138"/>
      <c r="J934" s="279" t="s">
        <v>150</v>
      </c>
      <c r="K934" s="301"/>
      <c r="L934" s="305"/>
      <c r="M934" s="138" t="s">
        <v>19</v>
      </c>
    </row>
    <row r="935" spans="1:14" hidden="1">
      <c r="A935" s="108"/>
      <c r="B935" s="138" t="s">
        <v>2352</v>
      </c>
      <c r="C935" s="209" t="s">
        <v>1917</v>
      </c>
      <c r="D935" s="230">
        <v>45778</v>
      </c>
      <c r="F935" s="261" t="s">
        <v>16</v>
      </c>
      <c r="G935" s="273">
        <v>70.599999999999994</v>
      </c>
      <c r="H935" s="302" t="s">
        <v>1918</v>
      </c>
      <c r="I935" s="138"/>
      <c r="J935" s="279" t="s">
        <v>150</v>
      </c>
      <c r="K935" s="301"/>
      <c r="L935" s="305"/>
      <c r="M935" s="138" t="s">
        <v>19</v>
      </c>
    </row>
    <row r="936" spans="1:14" hidden="1">
      <c r="A936" s="108"/>
      <c r="B936" s="138" t="s">
        <v>2352</v>
      </c>
      <c r="C936" s="209" t="s">
        <v>1919</v>
      </c>
      <c r="D936" s="230">
        <v>45809</v>
      </c>
      <c r="F936" s="261" t="s">
        <v>16</v>
      </c>
      <c r="G936" s="273">
        <v>49.8</v>
      </c>
      <c r="H936" s="302" t="s">
        <v>1920</v>
      </c>
      <c r="I936" s="138"/>
      <c r="J936" s="279" t="s">
        <v>150</v>
      </c>
      <c r="K936" s="301"/>
      <c r="L936" s="305"/>
      <c r="M936" s="138" t="s">
        <v>19</v>
      </c>
    </row>
    <row r="937" spans="1:14" hidden="1">
      <c r="A937" s="108"/>
      <c r="B937" s="138" t="s">
        <v>2352</v>
      </c>
      <c r="C937" s="209" t="s">
        <v>1921</v>
      </c>
      <c r="D937" s="230">
        <v>45809</v>
      </c>
      <c r="F937" s="261" t="s">
        <v>16</v>
      </c>
      <c r="G937" s="273">
        <v>66.86</v>
      </c>
      <c r="H937" s="302" t="s">
        <v>1922</v>
      </c>
      <c r="I937" s="138"/>
      <c r="J937" s="279" t="s">
        <v>150</v>
      </c>
      <c r="K937" s="301"/>
      <c r="L937" s="305"/>
      <c r="M937" s="138" t="s">
        <v>19</v>
      </c>
    </row>
    <row r="938" spans="1:14" hidden="1">
      <c r="A938" s="108"/>
      <c r="B938" s="138" t="s">
        <v>2352</v>
      </c>
      <c r="C938" s="209" t="s">
        <v>1923</v>
      </c>
      <c r="D938" s="230">
        <v>45809</v>
      </c>
      <c r="F938" s="261" t="s">
        <v>16</v>
      </c>
      <c r="G938" s="273">
        <v>62.79</v>
      </c>
      <c r="H938" s="302" t="s">
        <v>1924</v>
      </c>
      <c r="I938" s="138"/>
      <c r="J938" s="279" t="s">
        <v>150</v>
      </c>
      <c r="K938" s="301"/>
      <c r="L938" s="305"/>
      <c r="M938" s="138" t="s">
        <v>19</v>
      </c>
    </row>
    <row r="939" spans="1:14" hidden="1">
      <c r="A939" s="108"/>
      <c r="B939" s="138" t="s">
        <v>2352</v>
      </c>
      <c r="C939" s="209" t="s">
        <v>1925</v>
      </c>
      <c r="D939" s="230">
        <v>45809</v>
      </c>
      <c r="F939" s="261" t="s">
        <v>16</v>
      </c>
      <c r="G939" s="273">
        <v>70.599999999999994</v>
      </c>
      <c r="H939" s="302" t="s">
        <v>1926</v>
      </c>
      <c r="I939" s="138"/>
      <c r="J939" s="279" t="s">
        <v>150</v>
      </c>
      <c r="K939" s="301"/>
      <c r="L939" s="305"/>
      <c r="M939" s="138" t="s">
        <v>19</v>
      </c>
    </row>
    <row r="940" spans="1:14" hidden="1">
      <c r="A940" s="108"/>
      <c r="B940" s="138" t="s">
        <v>2352</v>
      </c>
      <c r="C940" s="209" t="s">
        <v>1927</v>
      </c>
      <c r="D940" s="230">
        <v>45839</v>
      </c>
      <c r="F940" s="261" t="s">
        <v>16</v>
      </c>
      <c r="G940" s="273">
        <v>49.8</v>
      </c>
      <c r="H940" s="302" t="s">
        <v>1928</v>
      </c>
      <c r="I940" s="138"/>
      <c r="J940" s="279" t="s">
        <v>150</v>
      </c>
      <c r="K940" s="301"/>
      <c r="L940" s="305"/>
      <c r="M940" s="138" t="s">
        <v>19</v>
      </c>
    </row>
    <row r="941" spans="1:14" hidden="1">
      <c r="B941" s="138" t="s">
        <v>2352</v>
      </c>
      <c r="C941" s="209" t="s">
        <v>1929</v>
      </c>
      <c r="D941" s="230">
        <v>45839</v>
      </c>
      <c r="F941" s="268" t="s">
        <v>16</v>
      </c>
      <c r="G941" s="273">
        <v>66.86</v>
      </c>
      <c r="H941" s="302" t="s">
        <v>1930</v>
      </c>
      <c r="I941" s="138"/>
      <c r="J941" s="300" t="s">
        <v>150</v>
      </c>
      <c r="K941" s="301"/>
      <c r="M941" s="138" t="s">
        <v>19</v>
      </c>
    </row>
    <row r="942" spans="1:14" hidden="1">
      <c r="B942" s="138" t="s">
        <v>2352</v>
      </c>
      <c r="C942" s="209" t="s">
        <v>1931</v>
      </c>
      <c r="D942" s="230">
        <v>45839</v>
      </c>
      <c r="F942" s="268" t="s">
        <v>16</v>
      </c>
      <c r="G942" s="273">
        <v>62.79</v>
      </c>
      <c r="H942" s="302" t="s">
        <v>1932</v>
      </c>
      <c r="I942" s="138"/>
      <c r="J942" s="300" t="s">
        <v>150</v>
      </c>
      <c r="K942" s="301"/>
      <c r="M942" s="138" t="s">
        <v>19</v>
      </c>
    </row>
    <row r="943" spans="1:14" hidden="1">
      <c r="B943" s="138" t="s">
        <v>2352</v>
      </c>
      <c r="C943" s="209" t="s">
        <v>1933</v>
      </c>
      <c r="D943" s="230">
        <v>45839</v>
      </c>
      <c r="F943" s="268" t="s">
        <v>16</v>
      </c>
      <c r="G943" s="273">
        <v>70.599999999999994</v>
      </c>
      <c r="H943" s="302" t="s">
        <v>1934</v>
      </c>
      <c r="I943" s="138"/>
      <c r="J943" s="300" t="s">
        <v>150</v>
      </c>
      <c r="K943" s="301"/>
      <c r="M943" s="138" t="s">
        <v>19</v>
      </c>
    </row>
    <row r="944" spans="1:14" hidden="1">
      <c r="A944" s="108"/>
      <c r="B944" s="138" t="s">
        <v>2352</v>
      </c>
      <c r="C944" s="209" t="s">
        <v>1935</v>
      </c>
      <c r="D944" s="230">
        <v>45870</v>
      </c>
      <c r="F944" s="261" t="s">
        <v>16</v>
      </c>
      <c r="G944" s="273">
        <v>49.8</v>
      </c>
      <c r="H944" s="302" t="s">
        <v>1936</v>
      </c>
      <c r="I944" s="138"/>
      <c r="J944" s="279" t="s">
        <v>150</v>
      </c>
      <c r="K944" s="301"/>
      <c r="L944" s="305"/>
      <c r="M944" s="138" t="s">
        <v>19</v>
      </c>
    </row>
    <row r="945" spans="1:13" hidden="1">
      <c r="A945" s="108"/>
      <c r="B945" s="138" t="s">
        <v>2352</v>
      </c>
      <c r="C945" s="209" t="s">
        <v>1937</v>
      </c>
      <c r="D945" s="230">
        <v>45870</v>
      </c>
      <c r="F945" s="261" t="s">
        <v>16</v>
      </c>
      <c r="G945" s="273">
        <v>66.86</v>
      </c>
      <c r="H945" s="302" t="s">
        <v>1938</v>
      </c>
      <c r="I945" s="138"/>
      <c r="J945" s="279" t="s">
        <v>150</v>
      </c>
      <c r="K945" s="301"/>
      <c r="L945" s="305"/>
      <c r="M945" s="138" t="s">
        <v>19</v>
      </c>
    </row>
    <row r="946" spans="1:13" hidden="1">
      <c r="A946" s="108"/>
      <c r="B946" s="138" t="s">
        <v>2352</v>
      </c>
      <c r="C946" s="209" t="s">
        <v>1939</v>
      </c>
      <c r="D946" s="230">
        <v>45870</v>
      </c>
      <c r="F946" s="261" t="s">
        <v>16</v>
      </c>
      <c r="G946" s="273">
        <v>62.79</v>
      </c>
      <c r="H946" s="302" t="s">
        <v>1940</v>
      </c>
      <c r="I946" s="138"/>
      <c r="J946" s="279" t="s">
        <v>150</v>
      </c>
      <c r="K946" s="301"/>
      <c r="L946" s="305"/>
      <c r="M946" s="138" t="s">
        <v>19</v>
      </c>
    </row>
    <row r="947" spans="1:13" hidden="1">
      <c r="A947" s="108"/>
      <c r="B947" s="138" t="s">
        <v>2352</v>
      </c>
      <c r="C947" s="209" t="s">
        <v>1941</v>
      </c>
      <c r="D947" s="230">
        <v>45870</v>
      </c>
      <c r="F947" s="261" t="s">
        <v>16</v>
      </c>
      <c r="G947" s="273">
        <v>70.599999999999994</v>
      </c>
      <c r="H947" s="302" t="s">
        <v>1942</v>
      </c>
      <c r="I947" s="138"/>
      <c r="J947" s="279" t="s">
        <v>150</v>
      </c>
      <c r="K947" s="301"/>
      <c r="L947" s="305"/>
      <c r="M947" s="138" t="s">
        <v>19</v>
      </c>
    </row>
    <row r="948" spans="1:13" hidden="1">
      <c r="A948" s="108"/>
      <c r="B948" s="138" t="s">
        <v>2352</v>
      </c>
      <c r="C948" s="209" t="s">
        <v>1943</v>
      </c>
      <c r="D948" s="230">
        <v>45901</v>
      </c>
      <c r="F948" s="261" t="s">
        <v>16</v>
      </c>
      <c r="G948" s="273">
        <v>51.3</v>
      </c>
      <c r="H948" s="302" t="s">
        <v>1944</v>
      </c>
      <c r="I948" s="138"/>
      <c r="J948" s="279" t="s">
        <v>150</v>
      </c>
      <c r="K948" s="301"/>
      <c r="L948" s="305"/>
      <c r="M948" s="138" t="s">
        <v>19</v>
      </c>
    </row>
    <row r="949" spans="1:13" hidden="1">
      <c r="A949" s="108"/>
      <c r="B949" s="138" t="s">
        <v>2352</v>
      </c>
      <c r="C949" s="209" t="s">
        <v>1945</v>
      </c>
      <c r="D949" s="230">
        <v>45901</v>
      </c>
      <c r="F949" s="261" t="s">
        <v>16</v>
      </c>
      <c r="G949" s="273">
        <v>62.79</v>
      </c>
      <c r="H949" s="302" t="s">
        <v>1946</v>
      </c>
      <c r="I949" s="138"/>
      <c r="J949" s="279" t="s">
        <v>150</v>
      </c>
      <c r="K949" s="301"/>
      <c r="L949" s="305"/>
      <c r="M949" s="138" t="s">
        <v>19</v>
      </c>
    </row>
    <row r="950" spans="1:13" hidden="1">
      <c r="A950" s="108"/>
      <c r="B950" s="138" t="s">
        <v>2352</v>
      </c>
      <c r="C950" s="209" t="s">
        <v>1947</v>
      </c>
      <c r="D950" s="230">
        <v>45901</v>
      </c>
      <c r="F950" s="261" t="s">
        <v>16</v>
      </c>
      <c r="G950" s="273">
        <v>66.86</v>
      </c>
      <c r="H950" s="302" t="s">
        <v>1948</v>
      </c>
      <c r="I950" s="138"/>
      <c r="J950" s="279" t="s">
        <v>150</v>
      </c>
      <c r="K950" s="301"/>
      <c r="L950" s="305"/>
      <c r="M950" s="138" t="s">
        <v>19</v>
      </c>
    </row>
    <row r="951" spans="1:13" hidden="1">
      <c r="A951" s="108"/>
      <c r="B951" s="138" t="s">
        <v>2352</v>
      </c>
      <c r="C951" s="209" t="s">
        <v>1949</v>
      </c>
      <c r="D951" s="230">
        <v>45901</v>
      </c>
      <c r="F951" s="261" t="s">
        <v>16</v>
      </c>
      <c r="G951" s="273">
        <v>70.599999999999994</v>
      </c>
      <c r="H951" s="302" t="s">
        <v>1950</v>
      </c>
      <c r="I951" s="138"/>
      <c r="J951" s="279" t="s">
        <v>150</v>
      </c>
      <c r="K951" s="301"/>
      <c r="L951" s="305"/>
      <c r="M951" s="138" t="s">
        <v>19</v>
      </c>
    </row>
    <row r="952" spans="1:13" hidden="1">
      <c r="A952" s="108"/>
      <c r="B952" s="138" t="s">
        <v>2352</v>
      </c>
      <c r="C952" s="209" t="s">
        <v>1951</v>
      </c>
      <c r="D952" s="230">
        <v>45904</v>
      </c>
      <c r="F952" s="261" t="s">
        <v>16</v>
      </c>
      <c r="G952" s="273">
        <v>0</v>
      </c>
      <c r="H952" s="302" t="s">
        <v>1952</v>
      </c>
      <c r="I952" s="138"/>
      <c r="J952" s="279" t="s">
        <v>150</v>
      </c>
      <c r="K952" s="301"/>
      <c r="L952" s="305"/>
      <c r="M952" s="138" t="s">
        <v>19</v>
      </c>
    </row>
    <row r="953" spans="1:13" hidden="1">
      <c r="A953" s="108"/>
      <c r="B953" s="138" t="s">
        <v>2352</v>
      </c>
      <c r="C953" s="209" t="s">
        <v>1953</v>
      </c>
      <c r="D953" s="230">
        <v>45931</v>
      </c>
      <c r="F953" s="261" t="s">
        <v>16</v>
      </c>
      <c r="G953" s="273">
        <v>58.8</v>
      </c>
      <c r="H953" s="302" t="s">
        <v>1954</v>
      </c>
      <c r="I953" s="138"/>
      <c r="J953" s="279" t="s">
        <v>150</v>
      </c>
      <c r="K953" s="301"/>
      <c r="L953" s="305"/>
      <c r="M953" s="138" t="s">
        <v>19</v>
      </c>
    </row>
    <row r="954" spans="1:13" hidden="1">
      <c r="A954" s="108"/>
      <c r="B954" s="138" t="s">
        <v>2352</v>
      </c>
      <c r="C954" s="209" t="s">
        <v>1955</v>
      </c>
      <c r="D954" s="230">
        <v>45931</v>
      </c>
      <c r="F954" s="261" t="s">
        <v>16</v>
      </c>
      <c r="G954" s="273">
        <v>66.86</v>
      </c>
      <c r="H954" s="302" t="s">
        <v>1956</v>
      </c>
      <c r="I954" s="138"/>
      <c r="J954" s="279" t="s">
        <v>150</v>
      </c>
      <c r="K954" s="301"/>
      <c r="L954" s="305"/>
      <c r="M954" s="138" t="s">
        <v>19</v>
      </c>
    </row>
    <row r="955" spans="1:13" hidden="1">
      <c r="A955" s="108"/>
      <c r="B955" s="138" t="s">
        <v>2352</v>
      </c>
      <c r="C955" s="209" t="s">
        <v>1957</v>
      </c>
      <c r="D955" s="230">
        <v>45931</v>
      </c>
      <c r="F955" s="261" t="s">
        <v>16</v>
      </c>
      <c r="G955" s="273">
        <v>62.79</v>
      </c>
      <c r="H955" s="302" t="s">
        <v>1958</v>
      </c>
      <c r="I955" s="138"/>
      <c r="J955" s="279" t="s">
        <v>150</v>
      </c>
      <c r="K955" s="301"/>
      <c r="L955" s="305"/>
      <c r="M955" s="138" t="s">
        <v>19</v>
      </c>
    </row>
    <row r="956" spans="1:13" hidden="1">
      <c r="A956" s="108"/>
      <c r="B956" s="138" t="s">
        <v>2352</v>
      </c>
      <c r="C956" s="209" t="s">
        <v>1959</v>
      </c>
      <c r="D956" s="230">
        <v>45931</v>
      </c>
      <c r="F956" s="261" t="s">
        <v>16</v>
      </c>
      <c r="G956" s="273">
        <v>70.599999999999994</v>
      </c>
      <c r="H956" s="302" t="s">
        <v>1960</v>
      </c>
      <c r="I956" s="138"/>
      <c r="J956" s="279" t="s">
        <v>150</v>
      </c>
      <c r="K956" s="301"/>
      <c r="L956" s="305"/>
      <c r="M956" s="138" t="s">
        <v>19</v>
      </c>
    </row>
    <row r="957" spans="1:13" hidden="1">
      <c r="A957" s="108"/>
      <c r="B957" s="138" t="s">
        <v>2352</v>
      </c>
      <c r="C957" s="209" t="s">
        <v>1961</v>
      </c>
      <c r="D957" s="230">
        <v>45962</v>
      </c>
      <c r="F957" s="261" t="s">
        <v>49</v>
      </c>
      <c r="G957" s="273">
        <v>70.599999999999994</v>
      </c>
      <c r="H957" s="302"/>
      <c r="I957" s="138"/>
      <c r="J957" s="279" t="s">
        <v>150</v>
      </c>
      <c r="K957" s="301"/>
      <c r="L957" s="305"/>
      <c r="M957" s="138" t="s">
        <v>19</v>
      </c>
    </row>
    <row r="958" spans="1:13" hidden="1">
      <c r="A958" s="108"/>
      <c r="B958" s="138" t="s">
        <v>2352</v>
      </c>
      <c r="C958" s="209" t="s">
        <v>1962</v>
      </c>
      <c r="D958" s="230">
        <v>45962</v>
      </c>
      <c r="F958" s="261" t="s">
        <v>49</v>
      </c>
      <c r="G958" s="273">
        <v>66.86</v>
      </c>
      <c r="H958" s="302"/>
      <c r="I958" s="138"/>
      <c r="J958" s="279" t="s">
        <v>150</v>
      </c>
      <c r="K958" s="301"/>
      <c r="L958" s="305"/>
      <c r="M958" s="138" t="s">
        <v>19</v>
      </c>
    </row>
    <row r="959" spans="1:13" hidden="1">
      <c r="A959" s="108"/>
      <c r="B959" s="138" t="s">
        <v>2352</v>
      </c>
      <c r="C959" s="209" t="s">
        <v>1963</v>
      </c>
      <c r="D959" s="230">
        <v>45962</v>
      </c>
      <c r="F959" s="261" t="s">
        <v>49</v>
      </c>
      <c r="G959" s="273">
        <v>62.79</v>
      </c>
      <c r="H959" s="302"/>
      <c r="I959" s="138"/>
      <c r="J959" s="279" t="s">
        <v>150</v>
      </c>
      <c r="K959" s="301"/>
      <c r="L959" s="305"/>
      <c r="M959" s="138" t="s">
        <v>19</v>
      </c>
    </row>
    <row r="960" spans="1:13" hidden="1">
      <c r="A960" s="108"/>
      <c r="B960" s="138" t="s">
        <v>1876</v>
      </c>
      <c r="C960" s="209" t="s">
        <v>1964</v>
      </c>
      <c r="D960" s="230">
        <v>45962</v>
      </c>
      <c r="F960" s="261" t="s">
        <v>49</v>
      </c>
      <c r="G960" s="273">
        <v>58.8</v>
      </c>
      <c r="H960" s="302"/>
      <c r="I960" s="138"/>
      <c r="J960" s="279" t="s">
        <v>150</v>
      </c>
      <c r="K960" s="301"/>
      <c r="L960" s="305"/>
      <c r="M960" s="138" t="s">
        <v>19</v>
      </c>
    </row>
    <row r="961" spans="1:13" hidden="1">
      <c r="A961" s="108"/>
      <c r="B961" s="138" t="s">
        <v>1876</v>
      </c>
      <c r="C961" s="209" t="s">
        <v>1965</v>
      </c>
      <c r="D961" s="230">
        <v>45992</v>
      </c>
      <c r="F961" s="261" t="s">
        <v>49</v>
      </c>
      <c r="G961" s="273">
        <v>70.599999999999994</v>
      </c>
      <c r="H961" s="302"/>
      <c r="I961" s="138"/>
      <c r="J961" s="279" t="s">
        <v>150</v>
      </c>
      <c r="K961" s="301"/>
      <c r="L961" s="305"/>
      <c r="M961" s="138" t="s">
        <v>19</v>
      </c>
    </row>
    <row r="962" spans="1:13" hidden="1">
      <c r="A962" s="108"/>
      <c r="B962" s="138" t="s">
        <v>1876</v>
      </c>
      <c r="C962" s="209" t="s">
        <v>1966</v>
      </c>
      <c r="D962" s="230">
        <v>45992</v>
      </c>
      <c r="F962" s="261" t="s">
        <v>49</v>
      </c>
      <c r="G962" s="273">
        <v>62.79</v>
      </c>
      <c r="H962" s="302"/>
      <c r="I962" s="138"/>
      <c r="J962" s="279" t="s">
        <v>150</v>
      </c>
      <c r="K962" s="301"/>
      <c r="L962" s="305"/>
      <c r="M962" s="138" t="s">
        <v>19</v>
      </c>
    </row>
    <row r="963" spans="1:13" hidden="1">
      <c r="A963" s="108"/>
      <c r="B963" s="138" t="s">
        <v>1876</v>
      </c>
      <c r="C963" s="209" t="s">
        <v>1967</v>
      </c>
      <c r="D963" s="230">
        <v>45992</v>
      </c>
      <c r="F963" s="261" t="s">
        <v>49</v>
      </c>
      <c r="G963" s="273">
        <v>66.86</v>
      </c>
      <c r="H963" s="302"/>
      <c r="I963" s="138"/>
      <c r="J963" s="279" t="s">
        <v>150</v>
      </c>
      <c r="K963" s="301"/>
      <c r="L963" s="305"/>
      <c r="M963" s="138" t="s">
        <v>19</v>
      </c>
    </row>
    <row r="964" spans="1:13" hidden="1">
      <c r="A964" s="108"/>
      <c r="B964" s="138" t="s">
        <v>1876</v>
      </c>
      <c r="C964" s="209" t="s">
        <v>1968</v>
      </c>
      <c r="D964" s="230">
        <v>45992</v>
      </c>
      <c r="F964" s="261" t="s">
        <v>49</v>
      </c>
      <c r="G964" s="273">
        <v>58.8</v>
      </c>
      <c r="H964" s="302"/>
      <c r="I964" s="138"/>
      <c r="J964" s="279" t="s">
        <v>150</v>
      </c>
      <c r="K964" s="301"/>
      <c r="L964" s="305"/>
      <c r="M964" s="138" t="s">
        <v>19</v>
      </c>
    </row>
    <row r="965" spans="1:13" hidden="1">
      <c r="A965" s="108"/>
      <c r="B965" s="138" t="s">
        <v>1876</v>
      </c>
      <c r="C965" s="209" t="s">
        <v>3345</v>
      </c>
      <c r="D965" s="230">
        <v>46023</v>
      </c>
      <c r="F965" s="261" t="s">
        <v>16</v>
      </c>
      <c r="G965" s="273">
        <v>51.4</v>
      </c>
      <c r="H965" s="302"/>
      <c r="I965" s="138"/>
      <c r="J965" s="279" t="s">
        <v>150</v>
      </c>
      <c r="K965" s="301"/>
      <c r="L965" s="305"/>
      <c r="M965" s="138" t="s">
        <v>19</v>
      </c>
    </row>
    <row r="966" spans="1:13" hidden="1">
      <c r="A966" s="108"/>
      <c r="B966" s="138" t="s">
        <v>1876</v>
      </c>
      <c r="C966" s="209" t="s">
        <v>3390</v>
      </c>
      <c r="D966" s="230">
        <v>46023</v>
      </c>
      <c r="F966" s="261" t="s">
        <v>16</v>
      </c>
      <c r="G966" s="273">
        <v>57.78</v>
      </c>
      <c r="H966" s="302"/>
      <c r="I966" s="138"/>
      <c r="J966" s="279" t="s">
        <v>150</v>
      </c>
      <c r="K966" s="301"/>
      <c r="L966" s="305"/>
      <c r="M966" s="138" t="s">
        <v>19</v>
      </c>
    </row>
    <row r="967" spans="1:13" hidden="1">
      <c r="A967" s="108"/>
      <c r="B967" s="138" t="s">
        <v>4219</v>
      </c>
      <c r="C967" s="209" t="s">
        <v>4178</v>
      </c>
      <c r="D967" s="230">
        <v>46054</v>
      </c>
      <c r="F967" s="261" t="s">
        <v>16</v>
      </c>
      <c r="G967" s="273">
        <v>57.78</v>
      </c>
      <c r="H967" s="314" t="s">
        <v>3343</v>
      </c>
      <c r="I967" s="138" t="s">
        <v>3344</v>
      </c>
      <c r="J967" s="279">
        <v>10.42</v>
      </c>
      <c r="K967" s="301"/>
      <c r="L967" s="305"/>
      <c r="M967" s="138"/>
    </row>
    <row r="968" spans="1:13" hidden="1">
      <c r="A968" s="108"/>
      <c r="B968" s="138" t="s">
        <v>4219</v>
      </c>
      <c r="C968" s="209" t="s">
        <v>4179</v>
      </c>
      <c r="D968" s="230">
        <v>46054</v>
      </c>
      <c r="F968" s="261" t="s">
        <v>16</v>
      </c>
      <c r="G968" s="273">
        <v>51.4</v>
      </c>
      <c r="H968" s="314" t="s">
        <v>3346</v>
      </c>
      <c r="I968" s="138" t="s">
        <v>3344</v>
      </c>
      <c r="J968" s="279">
        <v>9.27</v>
      </c>
      <c r="K968" s="301"/>
      <c r="L968" s="305"/>
      <c r="M968" s="138"/>
    </row>
    <row r="969" spans="1:13" hidden="1">
      <c r="A969" s="108"/>
      <c r="B969" s="138" t="s">
        <v>4219</v>
      </c>
      <c r="C969" s="209" t="s">
        <v>4180</v>
      </c>
      <c r="D969" s="230">
        <v>46054</v>
      </c>
      <c r="F969" s="261" t="s">
        <v>16</v>
      </c>
      <c r="G969" s="273">
        <v>58.8</v>
      </c>
      <c r="H969" s="314" t="s">
        <v>3348</v>
      </c>
      <c r="I969" s="138" t="s">
        <v>3344</v>
      </c>
      <c r="J969" s="279">
        <v>10.6</v>
      </c>
      <c r="K969" s="301"/>
      <c r="L969" s="305"/>
      <c r="M969" s="138"/>
    </row>
    <row r="970" spans="1:13" hidden="1">
      <c r="A970" s="108"/>
      <c r="B970" s="138" t="s">
        <v>1876</v>
      </c>
      <c r="C970" s="209" t="s">
        <v>3347</v>
      </c>
      <c r="D970" s="230">
        <v>46023</v>
      </c>
      <c r="F970" s="261" t="s">
        <v>16</v>
      </c>
      <c r="G970" s="273">
        <v>58.8</v>
      </c>
      <c r="H970" s="302"/>
      <c r="I970" s="138"/>
      <c r="J970" s="279" t="s">
        <v>150</v>
      </c>
      <c r="K970" s="301"/>
      <c r="L970" s="305"/>
      <c r="M970" s="138" t="s">
        <v>19</v>
      </c>
    </row>
    <row r="971" spans="1:13" hidden="1">
      <c r="A971" s="108"/>
      <c r="B971" s="138" t="s">
        <v>1876</v>
      </c>
      <c r="C971" s="209" t="s">
        <v>4257</v>
      </c>
      <c r="D971" s="230">
        <v>46072</v>
      </c>
      <c r="F971" s="261" t="s">
        <v>16</v>
      </c>
      <c r="G971" s="273">
        <v>0</v>
      </c>
      <c r="H971" s="314"/>
      <c r="I971" s="138" t="s">
        <v>4258</v>
      </c>
      <c r="J971" s="279" t="s">
        <v>3650</v>
      </c>
      <c r="K971" s="305">
        <v>0</v>
      </c>
      <c r="L971" s="305"/>
      <c r="M971" s="138"/>
    </row>
    <row r="972" spans="1:13" hidden="1">
      <c r="A972" s="108" t="s">
        <v>13</v>
      </c>
      <c r="B972" s="138" t="s">
        <v>2354</v>
      </c>
      <c r="C972" s="209" t="s">
        <v>1970</v>
      </c>
      <c r="D972" s="230">
        <v>45948</v>
      </c>
      <c r="E972" s="210" t="s">
        <v>1971</v>
      </c>
      <c r="F972" s="261" t="s">
        <v>49</v>
      </c>
      <c r="G972" s="273">
        <v>701.77</v>
      </c>
      <c r="H972" s="302"/>
      <c r="I972" s="138" t="s">
        <v>1972</v>
      </c>
      <c r="J972" s="279" t="s">
        <v>75</v>
      </c>
      <c r="K972" s="301">
        <v>45947</v>
      </c>
      <c r="L972" s="305">
        <v>701.77</v>
      </c>
      <c r="M972" s="138" t="s">
        <v>1973</v>
      </c>
    </row>
    <row r="973" spans="1:13" hidden="1">
      <c r="A973" s="108" t="s">
        <v>13</v>
      </c>
      <c r="B973" s="138" t="s">
        <v>2354</v>
      </c>
      <c r="C973" s="209" t="s">
        <v>1970</v>
      </c>
      <c r="D973" s="230">
        <v>45948</v>
      </c>
      <c r="E973" s="210">
        <v>45948</v>
      </c>
      <c r="F973" s="261" t="s">
        <v>49</v>
      </c>
      <c r="G973" s="273">
        <v>98.48</v>
      </c>
      <c r="H973" s="302"/>
      <c r="I973" s="138" t="s">
        <v>1972</v>
      </c>
      <c r="J973" s="279" t="s">
        <v>75</v>
      </c>
      <c r="K973" s="301">
        <v>45951</v>
      </c>
      <c r="L973" s="305">
        <v>98.48</v>
      </c>
      <c r="M973" s="138" t="s">
        <v>1974</v>
      </c>
    </row>
    <row r="974" spans="1:13" hidden="1">
      <c r="A974" s="108" t="s">
        <v>13</v>
      </c>
      <c r="B974" s="138" t="s">
        <v>2355</v>
      </c>
      <c r="C974" s="209">
        <v>18</v>
      </c>
      <c r="D974" s="230">
        <v>45670</v>
      </c>
      <c r="E974" s="210">
        <v>45670</v>
      </c>
      <c r="F974" s="261" t="s">
        <v>16</v>
      </c>
      <c r="G974" s="273">
        <v>830.72</v>
      </c>
      <c r="H974" s="302" t="s">
        <v>1976</v>
      </c>
      <c r="I974" s="138" t="s">
        <v>1977</v>
      </c>
      <c r="J974" s="279" t="s">
        <v>105</v>
      </c>
      <c r="K974" s="301"/>
      <c r="L974" s="305"/>
      <c r="M974" s="138" t="s">
        <v>1978</v>
      </c>
    </row>
    <row r="975" spans="1:13" hidden="1">
      <c r="A975" s="261" t="s">
        <v>13</v>
      </c>
      <c r="B975" s="138" t="s">
        <v>2355</v>
      </c>
      <c r="C975" s="209">
        <v>18</v>
      </c>
      <c r="D975" s="230">
        <v>45670</v>
      </c>
      <c r="E975" s="210">
        <v>45670</v>
      </c>
      <c r="F975" s="261" t="s">
        <v>16</v>
      </c>
      <c r="G975" s="273">
        <v>256.2</v>
      </c>
      <c r="H975" s="97" t="s">
        <v>1976</v>
      </c>
      <c r="I975" s="138" t="s">
        <v>1977</v>
      </c>
      <c r="J975" s="300" t="s">
        <v>56</v>
      </c>
      <c r="K975" s="301"/>
      <c r="L975" s="305"/>
    </row>
    <row r="976" spans="1:13" hidden="1">
      <c r="A976" s="261" t="s">
        <v>13</v>
      </c>
      <c r="B976" s="138" t="s">
        <v>2355</v>
      </c>
      <c r="C976" s="209">
        <v>89</v>
      </c>
      <c r="D976" s="230">
        <v>45688</v>
      </c>
      <c r="E976" s="210">
        <v>45688</v>
      </c>
      <c r="F976" s="261" t="s">
        <v>16</v>
      </c>
      <c r="G976" s="273">
        <v>-180.56</v>
      </c>
      <c r="H976" s="97" t="s">
        <v>1980</v>
      </c>
      <c r="I976" s="138" t="s">
        <v>1981</v>
      </c>
      <c r="J976" s="300"/>
      <c r="K976" s="301"/>
      <c r="L976" s="305"/>
    </row>
    <row r="977" spans="1:13" hidden="1">
      <c r="A977" s="268" t="s">
        <v>13</v>
      </c>
      <c r="B977" s="138" t="s">
        <v>2355</v>
      </c>
      <c r="C977" s="209">
        <v>1737</v>
      </c>
      <c r="D977" s="230">
        <v>45731</v>
      </c>
      <c r="F977" s="261" t="s">
        <v>16</v>
      </c>
      <c r="G977" s="273">
        <v>194.71</v>
      </c>
      <c r="H977" s="97" t="s">
        <v>1983</v>
      </c>
      <c r="I977" s="138" t="s">
        <v>1984</v>
      </c>
      <c r="J977" s="300" t="s">
        <v>751</v>
      </c>
      <c r="K977" s="301"/>
      <c r="L977" s="305"/>
    </row>
    <row r="978" spans="1:13" hidden="1">
      <c r="A978" s="268" t="s">
        <v>13</v>
      </c>
      <c r="B978" s="138" t="s">
        <v>2355</v>
      </c>
      <c r="C978" s="209">
        <v>2056</v>
      </c>
      <c r="D978" s="230">
        <v>45747</v>
      </c>
      <c r="F978" s="261" t="s">
        <v>16</v>
      </c>
      <c r="G978" s="273">
        <v>179.55</v>
      </c>
      <c r="H978" s="97" t="s">
        <v>1986</v>
      </c>
      <c r="I978" s="138" t="s">
        <v>1384</v>
      </c>
      <c r="J978" s="300" t="s">
        <v>66</v>
      </c>
      <c r="K978" s="301"/>
      <c r="L978" s="305"/>
    </row>
    <row r="979" spans="1:13" hidden="1">
      <c r="A979" s="268" t="s">
        <v>13</v>
      </c>
      <c r="B979" s="138" t="s">
        <v>2355</v>
      </c>
      <c r="C979" s="209">
        <v>3469</v>
      </c>
      <c r="D979" s="230">
        <v>45800</v>
      </c>
      <c r="F979" s="261" t="s">
        <v>16</v>
      </c>
      <c r="G979" s="273">
        <v>213.5</v>
      </c>
      <c r="H979" s="97" t="s">
        <v>1988</v>
      </c>
      <c r="I979" s="138" t="s">
        <v>1989</v>
      </c>
      <c r="J979" s="300" t="s">
        <v>56</v>
      </c>
      <c r="K979" s="301">
        <v>45868</v>
      </c>
      <c r="L979" s="305"/>
      <c r="M979" s="7" t="s">
        <v>345</v>
      </c>
    </row>
    <row r="980" spans="1:13" hidden="1">
      <c r="A980" s="268" t="s">
        <v>13</v>
      </c>
      <c r="B980" s="138" t="s">
        <v>2355</v>
      </c>
      <c r="C980" s="209" t="s">
        <v>1990</v>
      </c>
      <c r="D980" s="230">
        <v>45868</v>
      </c>
      <c r="F980" s="261" t="s">
        <v>16</v>
      </c>
      <c r="G980" s="273">
        <v>1166.31</v>
      </c>
      <c r="H980" s="97"/>
      <c r="I980" s="138"/>
      <c r="J980" s="300" t="s">
        <v>66</v>
      </c>
      <c r="K980" s="301"/>
      <c r="L980" s="305"/>
    </row>
    <row r="981" spans="1:13" hidden="1">
      <c r="A981" s="261" t="s">
        <v>13</v>
      </c>
      <c r="B981" s="138" t="s">
        <v>2355</v>
      </c>
      <c r="C981" s="209">
        <v>6097</v>
      </c>
      <c r="D981" s="230">
        <v>45874</v>
      </c>
      <c r="E981" s="210">
        <v>45910</v>
      </c>
      <c r="F981" s="261" t="s">
        <v>16</v>
      </c>
      <c r="G981" s="273">
        <v>1383.41</v>
      </c>
      <c r="H981" s="97" t="s">
        <v>1992</v>
      </c>
      <c r="I981" s="138" t="s">
        <v>1993</v>
      </c>
      <c r="J981" s="300" t="s">
        <v>66</v>
      </c>
      <c r="K981" s="301"/>
      <c r="L981" s="305"/>
    </row>
    <row r="982" spans="1:13" hidden="1">
      <c r="A982" s="261" t="s">
        <v>13</v>
      </c>
      <c r="B982" s="138" t="s">
        <v>2355</v>
      </c>
      <c r="C982" s="209">
        <v>6486</v>
      </c>
      <c r="D982" s="230">
        <v>45909</v>
      </c>
      <c r="F982" s="261" t="s">
        <v>16</v>
      </c>
      <c r="G982" s="273">
        <v>63.44</v>
      </c>
      <c r="H982" s="97" t="s">
        <v>1995</v>
      </c>
      <c r="I982" s="138" t="s">
        <v>1996</v>
      </c>
      <c r="J982" s="300" t="s">
        <v>56</v>
      </c>
      <c r="K982" s="301"/>
      <c r="L982" s="305"/>
    </row>
    <row r="983" spans="1:13" hidden="1">
      <c r="A983" s="268" t="s">
        <v>1997</v>
      </c>
      <c r="B983" s="138" t="s">
        <v>2355</v>
      </c>
      <c r="C983" s="209">
        <v>7425</v>
      </c>
      <c r="D983" s="230">
        <v>45951</v>
      </c>
      <c r="E983" s="210">
        <v>45951</v>
      </c>
      <c r="F983" s="268" t="s">
        <v>16</v>
      </c>
      <c r="G983" s="273">
        <v>360.88</v>
      </c>
      <c r="H983" s="97"/>
      <c r="I983" s="138" t="s">
        <v>1999</v>
      </c>
      <c r="J983" s="300" t="s">
        <v>354</v>
      </c>
      <c r="K983" s="301">
        <v>45950</v>
      </c>
      <c r="L983" s="305">
        <v>295.8</v>
      </c>
      <c r="M983" s="7" t="s">
        <v>394</v>
      </c>
    </row>
    <row r="984" spans="1:13" hidden="1">
      <c r="A984" s="268" t="s">
        <v>2000</v>
      </c>
      <c r="B984" s="138" t="s">
        <v>2355</v>
      </c>
      <c r="C984" s="209">
        <v>7425</v>
      </c>
      <c r="D984" s="230">
        <v>45951</v>
      </c>
      <c r="E984" s="210">
        <v>45951</v>
      </c>
      <c r="G984" s="273">
        <v>65.08</v>
      </c>
      <c r="H984" s="97"/>
      <c r="I984" s="138" t="s">
        <v>1999</v>
      </c>
      <c r="J984" s="300" t="s">
        <v>83</v>
      </c>
      <c r="K984" s="301"/>
      <c r="L984" s="305"/>
    </row>
    <row r="985" spans="1:13" hidden="1">
      <c r="A985" s="261" t="s">
        <v>2001</v>
      </c>
      <c r="B985" s="138" t="s">
        <v>2356</v>
      </c>
      <c r="C985" s="209" t="s">
        <v>2002</v>
      </c>
      <c r="D985" s="230">
        <v>45996</v>
      </c>
      <c r="E985" s="210">
        <v>45667</v>
      </c>
      <c r="F985" s="268" t="s">
        <v>16</v>
      </c>
      <c r="G985" s="273">
        <v>5155.1099999999997</v>
      </c>
      <c r="H985" s="97"/>
      <c r="I985" s="138" t="s">
        <v>1999</v>
      </c>
      <c r="J985" s="300" t="s">
        <v>142</v>
      </c>
      <c r="K985" s="301"/>
      <c r="L985" s="305">
        <v>5155.1099999999997</v>
      </c>
      <c r="M985" s="7" t="s">
        <v>2003</v>
      </c>
    </row>
    <row r="986" spans="1:13" hidden="1">
      <c r="A986" s="261" t="s">
        <v>2000</v>
      </c>
      <c r="B986" s="138" t="s">
        <v>1975</v>
      </c>
      <c r="C986" s="209" t="s">
        <v>2002</v>
      </c>
      <c r="D986" s="230">
        <v>45996</v>
      </c>
      <c r="E986" s="210">
        <v>45667</v>
      </c>
      <c r="G986" s="273">
        <v>36.600000000000364</v>
      </c>
      <c r="H986" s="97"/>
      <c r="I986" s="138" t="s">
        <v>1999</v>
      </c>
      <c r="J986" s="300" t="s">
        <v>83</v>
      </c>
      <c r="K986" s="301"/>
      <c r="L986" s="305"/>
    </row>
    <row r="987" spans="1:13" hidden="1">
      <c r="A987" s="268" t="s">
        <v>2004</v>
      </c>
      <c r="B987" s="138" t="s">
        <v>2357</v>
      </c>
      <c r="C987" s="209" t="s">
        <v>2006</v>
      </c>
      <c r="D987" s="230">
        <v>45838</v>
      </c>
      <c r="E987" s="210">
        <v>45838</v>
      </c>
      <c r="F987" s="268" t="s">
        <v>16</v>
      </c>
      <c r="G987" s="273">
        <v>572</v>
      </c>
      <c r="H987" s="97"/>
      <c r="I987" s="138" t="s">
        <v>2007</v>
      </c>
      <c r="J987" s="318" t="s">
        <v>56</v>
      </c>
      <c r="K987" s="301">
        <v>45950</v>
      </c>
      <c r="L987" s="305">
        <v>582</v>
      </c>
      <c r="M987" s="7" t="s">
        <v>2008</v>
      </c>
    </row>
    <row r="988" spans="1:13" hidden="1">
      <c r="A988" s="268"/>
      <c r="B988" s="138" t="s">
        <v>2358</v>
      </c>
      <c r="C988" s="209">
        <v>3725</v>
      </c>
      <c r="D988" s="230">
        <v>45817</v>
      </c>
      <c r="F988" s="268" t="s">
        <v>16</v>
      </c>
      <c r="G988" s="321">
        <v>180.84</v>
      </c>
      <c r="H988" s="97" t="s">
        <v>2011</v>
      </c>
      <c r="I988" s="138" t="s">
        <v>1863</v>
      </c>
      <c r="J988" s="318" t="s">
        <v>215</v>
      </c>
      <c r="K988" s="301"/>
      <c r="L988" s="305"/>
    </row>
    <row r="989" spans="1:13" hidden="1">
      <c r="A989" s="261" t="s">
        <v>13</v>
      </c>
      <c r="B989" s="138" t="s">
        <v>2359</v>
      </c>
      <c r="C989" s="209">
        <v>41</v>
      </c>
      <c r="D989" s="230">
        <v>45950</v>
      </c>
      <c r="E989" s="210">
        <v>45950</v>
      </c>
      <c r="F989" s="268" t="s">
        <v>16</v>
      </c>
      <c r="G989" s="273">
        <v>1989</v>
      </c>
      <c r="H989" s="97"/>
      <c r="I989" s="138" t="s">
        <v>2013</v>
      </c>
      <c r="J989" s="318" t="s">
        <v>142</v>
      </c>
      <c r="K989" s="301"/>
      <c r="L989" s="305">
        <v>1989</v>
      </c>
      <c r="M989" s="7" t="s">
        <v>111</v>
      </c>
    </row>
    <row r="990" spans="1:13" hidden="1">
      <c r="A990" s="268" t="s">
        <v>13</v>
      </c>
      <c r="B990" s="138" t="s">
        <v>2360</v>
      </c>
      <c r="C990" s="209" t="s">
        <v>2015</v>
      </c>
      <c r="D990" s="230">
        <v>45201</v>
      </c>
      <c r="F990" s="268" t="s">
        <v>16</v>
      </c>
      <c r="G990" s="321">
        <v>269.63</v>
      </c>
      <c r="H990" s="97" t="s">
        <v>2016</v>
      </c>
      <c r="I990" s="138" t="s">
        <v>2017</v>
      </c>
      <c r="J990" s="318" t="s">
        <v>56</v>
      </c>
      <c r="K990" s="301"/>
      <c r="L990" s="305"/>
      <c r="M990" s="7" t="s">
        <v>2018</v>
      </c>
    </row>
    <row r="991" spans="1:13" hidden="1">
      <c r="A991" s="268" t="s">
        <v>13</v>
      </c>
      <c r="B991" s="138" t="s">
        <v>2360</v>
      </c>
      <c r="C991" s="209" t="s">
        <v>2019</v>
      </c>
      <c r="D991" s="230">
        <v>45203</v>
      </c>
      <c r="F991" s="268" t="s">
        <v>16</v>
      </c>
      <c r="G991" s="321">
        <v>94.28</v>
      </c>
      <c r="H991" s="97" t="s">
        <v>2020</v>
      </c>
      <c r="I991" s="138" t="s">
        <v>2017</v>
      </c>
      <c r="J991" s="318" t="s">
        <v>56</v>
      </c>
      <c r="K991" s="301">
        <v>45853</v>
      </c>
      <c r="L991" s="305"/>
      <c r="M991" s="7" t="s">
        <v>2021</v>
      </c>
    </row>
    <row r="992" spans="1:13" hidden="1">
      <c r="A992" s="268" t="s">
        <v>13</v>
      </c>
      <c r="B992" s="138" t="s">
        <v>2360</v>
      </c>
      <c r="C992" s="209" t="s">
        <v>2022</v>
      </c>
      <c r="D992" s="230">
        <v>45203</v>
      </c>
      <c r="F992" s="268" t="s">
        <v>16</v>
      </c>
      <c r="G992" s="321">
        <v>1236.82</v>
      </c>
      <c r="H992" s="97" t="s">
        <v>2023</v>
      </c>
      <c r="I992" s="138" t="s">
        <v>2017</v>
      </c>
      <c r="J992" s="318" t="s">
        <v>56</v>
      </c>
      <c r="K992" s="301"/>
      <c r="L992" s="305"/>
      <c r="M992" s="7" t="s">
        <v>2024</v>
      </c>
    </row>
    <row r="993" spans="1:13" hidden="1">
      <c r="A993" s="261" t="s">
        <v>13</v>
      </c>
      <c r="B993" s="138" t="s">
        <v>2360</v>
      </c>
      <c r="C993" s="209" t="s">
        <v>2022</v>
      </c>
      <c r="D993" s="230">
        <v>45203</v>
      </c>
      <c r="F993" s="268" t="s">
        <v>16</v>
      </c>
      <c r="G993" s="321">
        <f>2873.81-G992</f>
        <v>1636.99</v>
      </c>
      <c r="H993" s="97" t="s">
        <v>2023</v>
      </c>
      <c r="I993" s="138" t="s">
        <v>2017</v>
      </c>
      <c r="J993" s="318" t="s">
        <v>56</v>
      </c>
      <c r="K993" s="301"/>
      <c r="L993" s="305"/>
      <c r="M993" s="7" t="s">
        <v>2025</v>
      </c>
    </row>
    <row r="994" spans="1:13" hidden="1">
      <c r="A994" s="261" t="s">
        <v>13</v>
      </c>
      <c r="B994" s="138" t="s">
        <v>2360</v>
      </c>
      <c r="C994" s="209" t="s">
        <v>2019</v>
      </c>
      <c r="D994" s="230">
        <v>45965</v>
      </c>
      <c r="F994" s="268" t="s">
        <v>16</v>
      </c>
      <c r="G994" s="321">
        <v>472.74</v>
      </c>
      <c r="H994" s="97"/>
      <c r="I994" s="138" t="s">
        <v>2026</v>
      </c>
      <c r="J994" s="318" t="s">
        <v>83</v>
      </c>
      <c r="K994" s="301"/>
      <c r="L994" s="305"/>
      <c r="M994" s="7" t="s">
        <v>2027</v>
      </c>
    </row>
    <row r="995" spans="1:13" hidden="1">
      <c r="B995" s="138" t="s">
        <v>2361</v>
      </c>
      <c r="C995" s="209" t="s">
        <v>2029</v>
      </c>
      <c r="D995" s="230">
        <v>45804</v>
      </c>
      <c r="F995" s="268" t="s">
        <v>16</v>
      </c>
      <c r="G995" s="321">
        <v>71.790000000000006</v>
      </c>
      <c r="H995" s="97" t="s">
        <v>2030</v>
      </c>
      <c r="I995" s="138" t="s">
        <v>1455</v>
      </c>
      <c r="J995" s="318" t="s">
        <v>56</v>
      </c>
      <c r="K995" s="301"/>
      <c r="L995" s="305"/>
    </row>
    <row r="996" spans="1:13" hidden="1">
      <c r="B996" s="138" t="s">
        <v>2361</v>
      </c>
      <c r="C996" s="209" t="s">
        <v>2031</v>
      </c>
      <c r="D996" s="230">
        <v>45974</v>
      </c>
      <c r="E996" s="210">
        <v>45974</v>
      </c>
      <c r="F996" s="268" t="s">
        <v>16</v>
      </c>
      <c r="G996" s="321">
        <v>85.18</v>
      </c>
      <c r="H996" s="97"/>
      <c r="I996" s="138" t="s">
        <v>1455</v>
      </c>
      <c r="J996" s="318" t="s">
        <v>56</v>
      </c>
      <c r="K996" s="301">
        <v>45974</v>
      </c>
      <c r="L996" s="305">
        <v>85.18</v>
      </c>
      <c r="M996" s="7" t="s">
        <v>47</v>
      </c>
    </row>
    <row r="997" spans="1:13" hidden="1">
      <c r="B997" s="138" t="s">
        <v>2028</v>
      </c>
      <c r="C997" s="209" t="s">
        <v>3391</v>
      </c>
      <c r="D997" s="230">
        <v>46009</v>
      </c>
      <c r="E997" s="210">
        <v>46009</v>
      </c>
      <c r="F997" s="268" t="s">
        <v>16</v>
      </c>
      <c r="G997" s="321">
        <v>66.67</v>
      </c>
      <c r="H997" s="97"/>
      <c r="I997" s="138" t="s">
        <v>218</v>
      </c>
      <c r="J997" s="318" t="s">
        <v>47</v>
      </c>
      <c r="K997" s="301">
        <v>46009</v>
      </c>
      <c r="L997" s="305">
        <v>66.67</v>
      </c>
      <c r="M997" s="7" t="s">
        <v>47</v>
      </c>
    </row>
    <row r="998" spans="1:13" hidden="1">
      <c r="B998" s="138" t="s">
        <v>2363</v>
      </c>
      <c r="C998" s="209">
        <v>125003957</v>
      </c>
      <c r="D998" s="230">
        <v>45688</v>
      </c>
      <c r="E998" s="210">
        <v>45716</v>
      </c>
      <c r="F998" s="268" t="s">
        <v>16</v>
      </c>
      <c r="G998" s="321">
        <v>152.38999999999999</v>
      </c>
      <c r="H998" s="97" t="s">
        <v>2034</v>
      </c>
      <c r="I998" s="138" t="s">
        <v>312</v>
      </c>
      <c r="J998" s="318" t="s">
        <v>110</v>
      </c>
      <c r="K998" s="301">
        <v>45716</v>
      </c>
      <c r="L998" s="305">
        <v>152.38999999999999</v>
      </c>
    </row>
    <row r="999" spans="1:13" hidden="1">
      <c r="B999" s="138" t="s">
        <v>2363</v>
      </c>
      <c r="C999" s="209">
        <v>125003957</v>
      </c>
      <c r="D999" s="230">
        <v>45688</v>
      </c>
      <c r="E999" s="210">
        <v>45747</v>
      </c>
      <c r="F999" s="268" t="s">
        <v>16</v>
      </c>
      <c r="G999" s="321">
        <v>152.38999999999999</v>
      </c>
      <c r="H999" s="97" t="s">
        <v>2034</v>
      </c>
      <c r="I999" s="138" t="s">
        <v>312</v>
      </c>
      <c r="J999" s="318" t="s">
        <v>66</v>
      </c>
      <c r="K999" s="57">
        <v>45775</v>
      </c>
      <c r="L999" s="148">
        <v>152.38999999999999</v>
      </c>
    </row>
    <row r="1000" spans="1:13" hidden="1">
      <c r="B1000" s="138" t="s">
        <v>2363</v>
      </c>
      <c r="C1000" s="209" t="s">
        <v>2035</v>
      </c>
      <c r="D1000" s="230">
        <v>45650</v>
      </c>
      <c r="E1000" s="210">
        <v>45716</v>
      </c>
      <c r="F1000" s="268" t="s">
        <v>16</v>
      </c>
      <c r="G1000" s="321">
        <v>694.17</v>
      </c>
      <c r="H1000" s="97" t="s">
        <v>2036</v>
      </c>
      <c r="I1000" s="138"/>
      <c r="J1000" s="318" t="s">
        <v>110</v>
      </c>
      <c r="K1000" s="301">
        <v>45775</v>
      </c>
      <c r="L1000" s="305">
        <f>G1000</f>
        <v>694.17</v>
      </c>
    </row>
    <row r="1001" spans="1:13" hidden="1">
      <c r="A1001" s="268"/>
      <c r="B1001" s="7" t="s">
        <v>2364</v>
      </c>
      <c r="C1001" s="323">
        <v>1</v>
      </c>
      <c r="D1001" s="55">
        <v>45685</v>
      </c>
      <c r="E1001" s="324"/>
      <c r="F1001" s="268" t="s">
        <v>16</v>
      </c>
      <c r="G1001" s="321">
        <v>1300</v>
      </c>
      <c r="H1001" s="97" t="s">
        <v>2038</v>
      </c>
      <c r="I1001" s="326" t="s">
        <v>337</v>
      </c>
      <c r="J1001" s="318" t="s">
        <v>56</v>
      </c>
      <c r="K1001" s="327"/>
    </row>
    <row r="1002" spans="1:13">
      <c r="A1002" s="268"/>
      <c r="C1002" s="323"/>
      <c r="D1002" s="55"/>
      <c r="E1002" s="324"/>
      <c r="G1002" s="321"/>
      <c r="H1002" s="97"/>
      <c r="J1002" s="318"/>
    </row>
    <row r="1008" spans="1:13">
      <c r="C1008" s="336"/>
    </row>
  </sheetData>
  <phoneticPr fontId="41" type="noConversion"/>
  <conditionalFormatting sqref="A2:M73 A74:G74 I74:M74 A75:M75 J75:J76 B76:M76 A77:G77 I77:M77 B78:M86 J78:J88 A87:M253 A272:G273 I272:M273 J273:J286 A274:M278 B318:B321 A319:M394 A397:M446 A447:G447 I447:M447 A448:M449 A450:G450 I450:M450 A451:M608 C601:C693 J611:J616 A612:M697 A699:M974 A975:G1002 I975:M1002 C975:C1048576 E975:G1048576 A1003:M1122 J1003:J1048576">
    <cfRule type="expression" dxfId="126" priority="37">
      <formula>$F2="x"</formula>
    </cfRule>
  </conditionalFormatting>
  <conditionalFormatting sqref="B609:B611">
    <cfRule type="expression" dxfId="125" priority="7">
      <formula>$F609="x"</formula>
    </cfRule>
  </conditionalFormatting>
  <conditionalFormatting sqref="B317:G317">
    <cfRule type="expression" dxfId="124" priority="33">
      <formula>$F317="x"</formula>
    </cfRule>
  </conditionalFormatting>
  <conditionalFormatting sqref="C55:C88 E55:G88 A79 A81 A83:A85 L279:M308 A279:J314 C315:C316 E315:G316 J315:J328 C318:C328 E318:G328 C376:C447 J376:J447 E378:G447 J601:J609 A609:A611 F609:M611 C695:C770 E695:G770 J695:J770 L695:L770">
    <cfRule type="expression" dxfId="123" priority="36">
      <formula>$F55="x"</formula>
    </cfRule>
  </conditionalFormatting>
  <conditionalFormatting sqref="D609:D611">
    <cfRule type="expression" dxfId="122" priority="29">
      <formula>$F609="x"</formula>
    </cfRule>
  </conditionalFormatting>
  <conditionalFormatting sqref="E609:E611">
    <cfRule type="expression" dxfId="121" priority="27">
      <formula>$F609="x"</formula>
    </cfRule>
  </conditionalFormatting>
  <conditionalFormatting sqref="F609:F611">
    <cfRule type="expression" dxfId="120" priority="24">
      <formula>$F609="x"</formula>
    </cfRule>
  </conditionalFormatting>
  <conditionalFormatting sqref="G609:G611">
    <cfRule type="expression" dxfId="119" priority="26">
      <formula>$F609="x"</formula>
    </cfRule>
  </conditionalFormatting>
  <conditionalFormatting sqref="I217">
    <cfRule type="expression" dxfId="118" priority="1">
      <formula>$F217="x"</formula>
    </cfRule>
  </conditionalFormatting>
  <conditionalFormatting sqref="I254:I258">
    <cfRule type="expression" dxfId="117" priority="35">
      <formula>$F254="x"</formula>
    </cfRule>
  </conditionalFormatting>
  <conditionalFormatting sqref="J211:J259 C211:C286 E211:G286 A254:H258 J254:M258 A259:M271 B315:J315 A315:A318 B316:M316 H317:M317 B318:M318 B395:M396 A698:H698 J698:M698">
    <cfRule type="expression" dxfId="116" priority="38">
      <formula>$F211="x"</formula>
    </cfRule>
  </conditionalFormatting>
  <conditionalFormatting sqref="K279:K314">
    <cfRule type="expression" dxfId="115" priority="16">
      <formula>$F279="x"</formula>
    </cfRule>
  </conditionalFormatting>
  <conditionalFormatting sqref="L311:L314">
    <cfRule type="expression" dxfId="114" priority="13">
      <formula>$F311="x"</formula>
    </cfRule>
  </conditionalFormatting>
  <conditionalFormatting sqref="L466">
    <cfRule type="expression" dxfId="113" priority="34">
      <formula>$F466="x"</formula>
    </cfRule>
  </conditionalFormatting>
  <hyperlinks>
    <hyperlink ref="H1001" r:id="rId1" xr:uid="{00000000-0004-0000-0200-00006F020000}"/>
    <hyperlink ref="H694" r:id="rId2" xr:uid="{C1F91DE1-1310-4796-90A2-5E40125B1B8A}"/>
    <hyperlink ref="H1000" r:id="rId3" xr:uid="{00000000-0004-0000-0200-00006E020000}"/>
    <hyperlink ref="H999" r:id="rId4" xr:uid="{00000000-0004-0000-0200-00006D020000}"/>
    <hyperlink ref="H998" r:id="rId5" xr:uid="{00000000-0004-0000-0200-00006C020000}"/>
    <hyperlink ref="H995" r:id="rId6" xr:uid="{00000000-0004-0000-0200-00006B020000}"/>
    <hyperlink ref="H993" r:id="rId7" xr:uid="{00000000-0004-0000-0200-00006A020000}"/>
    <hyperlink ref="H992" r:id="rId8" xr:uid="{00000000-0004-0000-0200-000069020000}"/>
    <hyperlink ref="H991" r:id="rId9" xr:uid="{00000000-0004-0000-0200-000068020000}"/>
    <hyperlink ref="H990" r:id="rId10" xr:uid="{00000000-0004-0000-0200-000067020000}"/>
    <hyperlink ref="H988" r:id="rId11" xr:uid="{00000000-0004-0000-0200-000066020000}"/>
    <hyperlink ref="H982" r:id="rId12" xr:uid="{00000000-0004-0000-0200-000065020000}"/>
    <hyperlink ref="H981" r:id="rId13" xr:uid="{00000000-0004-0000-0200-000064020000}"/>
    <hyperlink ref="H979" r:id="rId14" xr:uid="{00000000-0004-0000-0200-000063020000}"/>
    <hyperlink ref="H978" r:id="rId15" xr:uid="{00000000-0004-0000-0200-000062020000}"/>
    <hyperlink ref="H977" r:id="rId16" xr:uid="{00000000-0004-0000-0200-000061020000}"/>
    <hyperlink ref="H976" r:id="rId17" xr:uid="{00000000-0004-0000-0200-000060020000}"/>
    <hyperlink ref="H975" r:id="rId18" xr:uid="{00000000-0004-0000-0200-00005F020000}"/>
    <hyperlink ref="H974" r:id="rId19" xr:uid="{00000000-0004-0000-0200-00005E020000}"/>
    <hyperlink ref="H956" r:id="rId20" xr:uid="{00000000-0004-0000-0200-00005D020000}"/>
    <hyperlink ref="H955" r:id="rId21" xr:uid="{00000000-0004-0000-0200-00005C020000}"/>
    <hyperlink ref="H954" r:id="rId22" xr:uid="{00000000-0004-0000-0200-00005B020000}"/>
    <hyperlink ref="H953" r:id="rId23" xr:uid="{00000000-0004-0000-0200-00005A020000}"/>
    <hyperlink ref="H952" r:id="rId24" xr:uid="{00000000-0004-0000-0200-000059020000}"/>
    <hyperlink ref="H951" r:id="rId25" xr:uid="{00000000-0004-0000-0200-000058020000}"/>
    <hyperlink ref="H950" r:id="rId26" xr:uid="{00000000-0004-0000-0200-000057020000}"/>
    <hyperlink ref="H949" r:id="rId27" xr:uid="{00000000-0004-0000-0200-000056020000}"/>
    <hyperlink ref="H948" r:id="rId28" xr:uid="{00000000-0004-0000-0200-000055020000}"/>
    <hyperlink ref="H947" r:id="rId29" xr:uid="{00000000-0004-0000-0200-000054020000}"/>
    <hyperlink ref="H946" r:id="rId30" xr:uid="{00000000-0004-0000-0200-000053020000}"/>
    <hyperlink ref="H945" r:id="rId31" xr:uid="{00000000-0004-0000-0200-000052020000}"/>
    <hyperlink ref="H944" r:id="rId32" xr:uid="{00000000-0004-0000-0200-000051020000}"/>
    <hyperlink ref="H943" r:id="rId33" xr:uid="{00000000-0004-0000-0200-000050020000}"/>
    <hyperlink ref="H942" r:id="rId34" xr:uid="{00000000-0004-0000-0200-00004F020000}"/>
    <hyperlink ref="H941" r:id="rId35" xr:uid="{00000000-0004-0000-0200-00004E020000}"/>
    <hyperlink ref="H940" r:id="rId36" xr:uid="{00000000-0004-0000-0200-00004D020000}"/>
    <hyperlink ref="H939" r:id="rId37" xr:uid="{00000000-0004-0000-0200-00004C020000}"/>
    <hyperlink ref="H938" r:id="rId38" xr:uid="{00000000-0004-0000-0200-00004B020000}"/>
    <hyperlink ref="H937" r:id="rId39" xr:uid="{00000000-0004-0000-0200-00004A020000}"/>
    <hyperlink ref="H936" r:id="rId40" xr:uid="{00000000-0004-0000-0200-000049020000}"/>
    <hyperlink ref="H935" r:id="rId41" xr:uid="{00000000-0004-0000-0200-000048020000}"/>
    <hyperlink ref="H934" r:id="rId42" xr:uid="{00000000-0004-0000-0200-000047020000}"/>
    <hyperlink ref="H933" r:id="rId43" xr:uid="{00000000-0004-0000-0200-000046020000}"/>
    <hyperlink ref="H932" r:id="rId44" xr:uid="{00000000-0004-0000-0200-000045020000}"/>
    <hyperlink ref="H931" r:id="rId45" xr:uid="{00000000-0004-0000-0200-000044020000}"/>
    <hyperlink ref="H930" r:id="rId46" xr:uid="{00000000-0004-0000-0200-000043020000}"/>
    <hyperlink ref="H929" r:id="rId47" xr:uid="{00000000-0004-0000-0200-000042020000}"/>
    <hyperlink ref="H928" r:id="rId48" xr:uid="{00000000-0004-0000-0200-000041020000}"/>
    <hyperlink ref="H927" r:id="rId49" xr:uid="{00000000-0004-0000-0200-000040020000}"/>
    <hyperlink ref="H926" r:id="rId50" xr:uid="{00000000-0004-0000-0200-00003F020000}"/>
    <hyperlink ref="H925" r:id="rId51" xr:uid="{00000000-0004-0000-0200-00003E020000}"/>
    <hyperlink ref="H924" r:id="rId52" xr:uid="{00000000-0004-0000-0200-00003D020000}"/>
    <hyperlink ref="H923" r:id="rId53" xr:uid="{00000000-0004-0000-0200-00003C020000}"/>
    <hyperlink ref="H922" r:id="rId54" xr:uid="{00000000-0004-0000-0200-00003B020000}"/>
    <hyperlink ref="H921" r:id="rId55" xr:uid="{00000000-0004-0000-0200-00003A020000}"/>
    <hyperlink ref="H920" r:id="rId56" xr:uid="{00000000-0004-0000-0200-000039020000}"/>
    <hyperlink ref="H919" r:id="rId57" xr:uid="{00000000-0004-0000-0200-000038020000}"/>
    <hyperlink ref="H918" r:id="rId58" xr:uid="{00000000-0004-0000-0200-000037020000}"/>
    <hyperlink ref="H917" r:id="rId59" xr:uid="{00000000-0004-0000-0200-000036020000}"/>
    <hyperlink ref="H916" r:id="rId60" xr:uid="{00000000-0004-0000-0200-000035020000}"/>
    <hyperlink ref="H915" r:id="rId61" xr:uid="{00000000-0004-0000-0200-000034020000}"/>
    <hyperlink ref="H909" r:id="rId62" xr:uid="{00000000-0004-0000-0200-000033020000}"/>
    <hyperlink ref="H908" r:id="rId63" xr:uid="{00000000-0004-0000-0200-000032020000}"/>
    <hyperlink ref="H907" r:id="rId64" xr:uid="{00000000-0004-0000-0200-000031020000}"/>
    <hyperlink ref="H906" r:id="rId65" xr:uid="{00000000-0004-0000-0200-000030020000}"/>
    <hyperlink ref="H905" r:id="rId66" xr:uid="{00000000-0004-0000-0200-00002F020000}"/>
    <hyperlink ref="H895" r:id="rId67" xr:uid="{00000000-0004-0000-0200-00002E020000}"/>
    <hyperlink ref="H894" r:id="rId68" xr:uid="{00000000-0004-0000-0200-00002D020000}"/>
    <hyperlink ref="H893" r:id="rId69" xr:uid="{00000000-0004-0000-0200-00002C020000}"/>
    <hyperlink ref="H892" r:id="rId70" xr:uid="{00000000-0004-0000-0200-00002B020000}"/>
    <hyperlink ref="H891" r:id="rId71" xr:uid="{00000000-0004-0000-0200-00002A020000}"/>
    <hyperlink ref="H890" r:id="rId72" xr:uid="{00000000-0004-0000-0200-000029020000}"/>
    <hyperlink ref="H889" r:id="rId73" xr:uid="{00000000-0004-0000-0200-000028020000}"/>
    <hyperlink ref="H888" r:id="rId74" xr:uid="{00000000-0004-0000-0200-000027020000}"/>
    <hyperlink ref="H887" r:id="rId75" xr:uid="{00000000-0004-0000-0200-000026020000}"/>
    <hyperlink ref="H886" r:id="rId76" xr:uid="{00000000-0004-0000-0200-000025020000}"/>
    <hyperlink ref="H885" r:id="rId77" xr:uid="{00000000-0004-0000-0200-000024020000}"/>
    <hyperlink ref="H883" r:id="rId78" xr:uid="{00000000-0004-0000-0200-000023020000}"/>
    <hyperlink ref="H882" r:id="rId79" xr:uid="{00000000-0004-0000-0200-000022020000}"/>
    <hyperlink ref="H881" r:id="rId80" xr:uid="{00000000-0004-0000-0200-000021020000}"/>
    <hyperlink ref="H880" r:id="rId81" xr:uid="{00000000-0004-0000-0200-000020020000}"/>
    <hyperlink ref="H879" r:id="rId82" xr:uid="{00000000-0004-0000-0200-00001F020000}"/>
    <hyperlink ref="H878" r:id="rId83" xr:uid="{00000000-0004-0000-0200-00001E020000}"/>
    <hyperlink ref="H877" r:id="rId84" xr:uid="{00000000-0004-0000-0200-00001D020000}"/>
    <hyperlink ref="H876" r:id="rId85" xr:uid="{00000000-0004-0000-0200-00001C020000}"/>
    <hyperlink ref="H875" r:id="rId86" xr:uid="{00000000-0004-0000-0200-00001B020000}"/>
    <hyperlink ref="H874" r:id="rId87" xr:uid="{00000000-0004-0000-0200-00001A020000}"/>
    <hyperlink ref="H873" r:id="rId88" xr:uid="{00000000-0004-0000-0200-000019020000}"/>
    <hyperlink ref="H872" r:id="rId89" xr:uid="{00000000-0004-0000-0200-000018020000}"/>
    <hyperlink ref="H870" r:id="rId90" xr:uid="{00000000-0004-0000-0200-000017020000}"/>
    <hyperlink ref="H869" r:id="rId91" xr:uid="{00000000-0004-0000-0200-000016020000}"/>
    <hyperlink ref="H868" r:id="rId92" xr:uid="{00000000-0004-0000-0200-000015020000}"/>
    <hyperlink ref="H859" r:id="rId93" xr:uid="{00000000-0004-0000-0200-000014020000}"/>
    <hyperlink ref="H858" r:id="rId94" xr:uid="{00000000-0004-0000-0200-000013020000}"/>
    <hyperlink ref="H857" r:id="rId95" xr:uid="{00000000-0004-0000-0200-000012020000}"/>
    <hyperlink ref="H856" r:id="rId96" xr:uid="{00000000-0004-0000-0200-000011020000}"/>
    <hyperlink ref="H855" r:id="rId97" xr:uid="{00000000-0004-0000-0200-000010020000}"/>
    <hyperlink ref="H854" r:id="rId98" xr:uid="{00000000-0004-0000-0200-00000F020000}"/>
    <hyperlink ref="H853" r:id="rId99" xr:uid="{00000000-0004-0000-0200-00000E020000}"/>
    <hyperlink ref="H852" r:id="rId100" xr:uid="{00000000-0004-0000-0200-00000D020000}"/>
    <hyperlink ref="H851" r:id="rId101" xr:uid="{00000000-0004-0000-0200-00000C020000}"/>
    <hyperlink ref="H850" r:id="rId102" xr:uid="{00000000-0004-0000-0200-00000B020000}"/>
    <hyperlink ref="H840" r:id="rId103" xr:uid="{00000000-0004-0000-0200-00000A020000}"/>
    <hyperlink ref="H838" r:id="rId104" xr:uid="{00000000-0004-0000-0200-000009020000}"/>
    <hyperlink ref="H837" r:id="rId105" xr:uid="{00000000-0004-0000-0200-000008020000}"/>
    <hyperlink ref="H836" r:id="rId106" xr:uid="{00000000-0004-0000-0200-000007020000}"/>
    <hyperlink ref="H835" r:id="rId107" xr:uid="{00000000-0004-0000-0200-000006020000}"/>
    <hyperlink ref="H834" r:id="rId108" xr:uid="{00000000-0004-0000-0200-000005020000}"/>
    <hyperlink ref="H833" r:id="rId109" xr:uid="{00000000-0004-0000-0200-000004020000}"/>
    <hyperlink ref="H832" r:id="rId110" display="..\..\Acquisti\2025\EV\FATTURE\EV - TERMOIDRAULICA V.M. ft 9 del 30-01-2025.pdf" xr:uid="{00000000-0004-0000-0200-000003020000}"/>
    <hyperlink ref="H831" r:id="rId111" display="..\..\Acquisti\2025\EV\FATTURE\EV - TERMOIDRAULICA V.M. ft 9 del 30-01-2025.pdf" xr:uid="{00000000-0004-0000-0200-000002020000}"/>
    <hyperlink ref="H830" r:id="rId112" xr:uid="{00000000-0004-0000-0200-000001020000}"/>
    <hyperlink ref="H829" r:id="rId113" xr:uid="{00000000-0004-0000-0200-000000020000}"/>
    <hyperlink ref="H828" r:id="rId114" xr:uid="{00000000-0004-0000-0200-0000FF010000}"/>
    <hyperlink ref="H827" r:id="rId115" xr:uid="{00000000-0004-0000-0200-0000FE010000}"/>
    <hyperlink ref="H826" r:id="rId116" xr:uid="{00000000-0004-0000-0200-0000FD010000}"/>
    <hyperlink ref="H825" r:id="rId117" xr:uid="{00000000-0004-0000-0200-0000FC010000}"/>
    <hyperlink ref="H824" r:id="rId118" xr:uid="{00000000-0004-0000-0200-0000FB010000}"/>
    <hyperlink ref="H823" r:id="rId119" xr:uid="{00000000-0004-0000-0200-0000FA010000}"/>
    <hyperlink ref="H822" r:id="rId120" xr:uid="{00000000-0004-0000-0200-0000F9010000}"/>
    <hyperlink ref="H821" r:id="rId121" xr:uid="{00000000-0004-0000-0200-0000F8010000}"/>
    <hyperlink ref="H820" r:id="rId122" xr:uid="{00000000-0004-0000-0200-0000F7010000}"/>
    <hyperlink ref="H814" r:id="rId123" xr:uid="{00000000-0004-0000-0200-0000F6010000}"/>
    <hyperlink ref="H813" r:id="rId124" xr:uid="{00000000-0004-0000-0200-0000F5010000}"/>
    <hyperlink ref="H812" r:id="rId125" xr:uid="{00000000-0004-0000-0200-0000F4010000}"/>
    <hyperlink ref="H811" r:id="rId126" xr:uid="{00000000-0004-0000-0200-0000F3010000}"/>
    <hyperlink ref="H810" r:id="rId127" xr:uid="{00000000-0004-0000-0200-0000F2010000}"/>
    <hyperlink ref="H809" r:id="rId128" xr:uid="{00000000-0004-0000-0200-0000F1010000}"/>
    <hyperlink ref="H808" r:id="rId129" xr:uid="{00000000-0004-0000-0200-0000F0010000}"/>
    <hyperlink ref="H807" r:id="rId130" xr:uid="{00000000-0004-0000-0200-0000EF010000}"/>
    <hyperlink ref="H806" r:id="rId131" xr:uid="{00000000-0004-0000-0200-0000EE010000}"/>
    <hyperlink ref="H805" r:id="rId132" xr:uid="{00000000-0004-0000-0200-0000ED010000}"/>
    <hyperlink ref="H800" r:id="rId133" xr:uid="{00000000-0004-0000-0200-0000EC010000}"/>
    <hyperlink ref="H799" r:id="rId134" xr:uid="{00000000-0004-0000-0200-0000EB010000}"/>
    <hyperlink ref="H798" r:id="rId135" xr:uid="{00000000-0004-0000-0200-0000EA010000}"/>
    <hyperlink ref="H797" r:id="rId136" xr:uid="{00000000-0004-0000-0200-0000E9010000}"/>
    <hyperlink ref="H796" r:id="rId137" xr:uid="{00000000-0004-0000-0200-0000E8010000}"/>
    <hyperlink ref="H795" r:id="rId138" xr:uid="{00000000-0004-0000-0200-0000E7010000}"/>
    <hyperlink ref="H793" r:id="rId139" xr:uid="{00000000-0004-0000-0200-0000E6010000}"/>
    <hyperlink ref="H792" r:id="rId140" xr:uid="{00000000-0004-0000-0200-0000E5010000}"/>
    <hyperlink ref="H790" r:id="rId141" xr:uid="{00000000-0004-0000-0200-0000E4010000}"/>
    <hyperlink ref="H787" r:id="rId142" xr:uid="{00000000-0004-0000-0200-0000E3010000}"/>
    <hyperlink ref="H786" r:id="rId143" xr:uid="{00000000-0004-0000-0200-0000E2010000}"/>
    <hyperlink ref="H785" r:id="rId144" xr:uid="{00000000-0004-0000-0200-0000E1010000}"/>
    <hyperlink ref="H784" r:id="rId145" xr:uid="{00000000-0004-0000-0200-0000E0010000}"/>
    <hyperlink ref="H783" r:id="rId146" xr:uid="{00000000-0004-0000-0200-0000DF010000}"/>
    <hyperlink ref="H782" r:id="rId147" xr:uid="{00000000-0004-0000-0200-0000DE010000}"/>
    <hyperlink ref="H780" r:id="rId148" xr:uid="{00000000-0004-0000-0200-0000DD010000}"/>
    <hyperlink ref="H779" r:id="rId149" xr:uid="{00000000-0004-0000-0200-0000DC010000}"/>
    <hyperlink ref="H778" r:id="rId150" xr:uid="{00000000-0004-0000-0200-0000DB010000}"/>
    <hyperlink ref="H777" r:id="rId151" xr:uid="{00000000-0004-0000-0200-0000DA010000}"/>
    <hyperlink ref="H776" r:id="rId152" xr:uid="{00000000-0004-0000-0200-0000D9010000}"/>
    <hyperlink ref="H775" r:id="rId153" xr:uid="{00000000-0004-0000-0200-0000D8010000}"/>
    <hyperlink ref="H774" r:id="rId154" xr:uid="{00000000-0004-0000-0200-0000D7010000}"/>
    <hyperlink ref="H772" r:id="rId155" xr:uid="{00000000-0004-0000-0200-0000D6010000}"/>
    <hyperlink ref="H760" r:id="rId156" xr:uid="{00000000-0004-0000-0200-0000D5010000}"/>
    <hyperlink ref="H758" r:id="rId157" xr:uid="{00000000-0004-0000-0200-0000D4010000}"/>
    <hyperlink ref="H757" r:id="rId158" xr:uid="{00000000-0004-0000-0200-0000D3010000}"/>
    <hyperlink ref="H756" r:id="rId159" xr:uid="{00000000-0004-0000-0200-0000D2010000}"/>
    <hyperlink ref="H755" r:id="rId160" xr:uid="{00000000-0004-0000-0200-0000D1010000}"/>
    <hyperlink ref="H754" r:id="rId161" xr:uid="{00000000-0004-0000-0200-0000D0010000}"/>
    <hyperlink ref="H753" r:id="rId162" xr:uid="{00000000-0004-0000-0200-0000CF010000}"/>
    <hyperlink ref="H752" r:id="rId163" xr:uid="{00000000-0004-0000-0200-0000CE010000}"/>
    <hyperlink ref="H751" r:id="rId164" xr:uid="{00000000-0004-0000-0200-0000CD010000}"/>
    <hyperlink ref="H750" r:id="rId165" xr:uid="{00000000-0004-0000-0200-0000CC010000}"/>
    <hyperlink ref="H749" r:id="rId166" xr:uid="{00000000-0004-0000-0200-0000CB010000}"/>
    <hyperlink ref="H746" r:id="rId167" xr:uid="{00000000-0004-0000-0200-0000CA010000}"/>
    <hyperlink ref="H744" r:id="rId168" xr:uid="{00000000-0004-0000-0200-0000C9010000}"/>
    <hyperlink ref="H743" r:id="rId169" xr:uid="{00000000-0004-0000-0200-0000C8010000}"/>
    <hyperlink ref="H742" r:id="rId170" xr:uid="{00000000-0004-0000-0200-0000C7010000}"/>
    <hyperlink ref="H741" r:id="rId171" xr:uid="{00000000-0004-0000-0200-0000C6010000}"/>
    <hyperlink ref="H740" r:id="rId172" xr:uid="{00000000-0004-0000-0200-0000C5010000}"/>
    <hyperlink ref="H739" r:id="rId173" xr:uid="{00000000-0004-0000-0200-0000C4010000}"/>
    <hyperlink ref="H738" r:id="rId174" xr:uid="{00000000-0004-0000-0200-0000C3010000}"/>
    <hyperlink ref="H737" r:id="rId175" xr:uid="{00000000-0004-0000-0200-0000C2010000}"/>
    <hyperlink ref="H736" r:id="rId176" xr:uid="{00000000-0004-0000-0200-0000C1010000}"/>
    <hyperlink ref="H735" r:id="rId177" xr:uid="{00000000-0004-0000-0200-0000C0010000}"/>
    <hyperlink ref="H734" r:id="rId178" xr:uid="{00000000-0004-0000-0200-0000BF010000}"/>
    <hyperlink ref="H733" r:id="rId179" xr:uid="{00000000-0004-0000-0200-0000BE010000}"/>
    <hyperlink ref="H732" r:id="rId180" xr:uid="{00000000-0004-0000-0200-0000BD010000}"/>
    <hyperlink ref="H731" r:id="rId181" xr:uid="{00000000-0004-0000-0200-0000BC010000}"/>
    <hyperlink ref="H730" r:id="rId182" xr:uid="{00000000-0004-0000-0200-0000BB010000}"/>
    <hyperlink ref="H729" r:id="rId183" xr:uid="{00000000-0004-0000-0200-0000BA010000}"/>
    <hyperlink ref="H726" r:id="rId184" xr:uid="{00000000-0004-0000-0200-0000B9010000}"/>
    <hyperlink ref="H721" r:id="rId185" xr:uid="{00000000-0004-0000-0200-0000B8010000}"/>
    <hyperlink ref="H720" r:id="rId186" xr:uid="{00000000-0004-0000-0200-0000B7010000}"/>
    <hyperlink ref="H719" r:id="rId187" xr:uid="{00000000-0004-0000-0200-0000B6010000}"/>
    <hyperlink ref="H717" r:id="rId188" xr:uid="{00000000-0004-0000-0200-0000B5010000}"/>
    <hyperlink ref="H716" r:id="rId189" xr:uid="{00000000-0004-0000-0200-0000B4010000}"/>
    <hyperlink ref="H713" r:id="rId190" xr:uid="{00000000-0004-0000-0200-0000B3010000}"/>
    <hyperlink ref="H712" r:id="rId191" xr:uid="{00000000-0004-0000-0200-0000B2010000}"/>
    <hyperlink ref="H710" r:id="rId192" xr:uid="{00000000-0004-0000-0200-0000B1010000}"/>
    <hyperlink ref="H709" r:id="rId193" xr:uid="{00000000-0004-0000-0200-0000B0010000}"/>
    <hyperlink ref="H708" r:id="rId194" xr:uid="{00000000-0004-0000-0200-0000AF010000}"/>
    <hyperlink ref="H707" r:id="rId195" xr:uid="{00000000-0004-0000-0200-0000AE010000}"/>
    <hyperlink ref="H706" r:id="rId196" xr:uid="{00000000-0004-0000-0200-0000AD010000}"/>
    <hyperlink ref="H705" r:id="rId197" xr:uid="{00000000-0004-0000-0200-0000AC010000}"/>
    <hyperlink ref="H704" r:id="rId198" xr:uid="{00000000-0004-0000-0200-0000AB010000}"/>
    <hyperlink ref="H703" r:id="rId199" xr:uid="{00000000-0004-0000-0200-0000AA010000}"/>
    <hyperlink ref="H702" r:id="rId200" xr:uid="{00000000-0004-0000-0200-0000A9010000}"/>
    <hyperlink ref="H701" r:id="rId201" xr:uid="{00000000-0004-0000-0200-0000A8010000}"/>
    <hyperlink ref="H700" r:id="rId202" xr:uid="{00000000-0004-0000-0200-0000A7010000}"/>
    <hyperlink ref="H693" r:id="rId203" xr:uid="{00000000-0004-0000-0200-0000A5010000}"/>
    <hyperlink ref="H692" r:id="rId204" xr:uid="{00000000-0004-0000-0200-0000A4010000}"/>
    <hyperlink ref="H691" r:id="rId205" xr:uid="{00000000-0004-0000-0200-0000A3010000}"/>
    <hyperlink ref="H690" r:id="rId206" xr:uid="{00000000-0004-0000-0200-0000A2010000}"/>
    <hyperlink ref="H689" r:id="rId207" xr:uid="{00000000-0004-0000-0200-0000A1010000}"/>
    <hyperlink ref="H688" r:id="rId208" xr:uid="{00000000-0004-0000-0200-0000A0010000}"/>
    <hyperlink ref="H687" r:id="rId209" xr:uid="{00000000-0004-0000-0200-00009F010000}"/>
    <hyperlink ref="H686" r:id="rId210" xr:uid="{00000000-0004-0000-0200-00009E010000}"/>
    <hyperlink ref="H685" r:id="rId211" xr:uid="{00000000-0004-0000-0200-00009D010000}"/>
    <hyperlink ref="H684" r:id="rId212" xr:uid="{00000000-0004-0000-0200-00009C010000}"/>
    <hyperlink ref="H683" r:id="rId213" xr:uid="{00000000-0004-0000-0200-00009B010000}"/>
    <hyperlink ref="H682" r:id="rId214" xr:uid="{00000000-0004-0000-0200-00009A010000}"/>
    <hyperlink ref="H681" r:id="rId215" xr:uid="{00000000-0004-0000-0200-000099010000}"/>
    <hyperlink ref="H680" r:id="rId216" xr:uid="{00000000-0004-0000-0200-000098010000}"/>
    <hyperlink ref="H679" r:id="rId217" xr:uid="{00000000-0004-0000-0200-000097010000}"/>
    <hyperlink ref="H678" r:id="rId218" xr:uid="{00000000-0004-0000-0200-000096010000}"/>
    <hyperlink ref="H677" r:id="rId219" xr:uid="{00000000-0004-0000-0200-000095010000}"/>
    <hyperlink ref="H676" r:id="rId220" xr:uid="{00000000-0004-0000-0200-000094010000}"/>
    <hyperlink ref="H675" r:id="rId221" xr:uid="{00000000-0004-0000-0200-000093010000}"/>
    <hyperlink ref="H674" r:id="rId222" xr:uid="{00000000-0004-0000-0200-000092010000}"/>
    <hyperlink ref="H673" r:id="rId223" xr:uid="{00000000-0004-0000-0200-000091010000}"/>
    <hyperlink ref="H672" r:id="rId224" xr:uid="{00000000-0004-0000-0200-000090010000}"/>
    <hyperlink ref="H671" r:id="rId225" xr:uid="{00000000-0004-0000-0200-00008F010000}"/>
    <hyperlink ref="H670" r:id="rId226" xr:uid="{00000000-0004-0000-0200-00008E010000}"/>
    <hyperlink ref="H669" r:id="rId227" xr:uid="{00000000-0004-0000-0200-00008D010000}"/>
    <hyperlink ref="H668" r:id="rId228" xr:uid="{00000000-0004-0000-0200-00008C010000}"/>
    <hyperlink ref="H667" r:id="rId229" xr:uid="{00000000-0004-0000-0200-00008B010000}"/>
    <hyperlink ref="H666" r:id="rId230" xr:uid="{00000000-0004-0000-0200-00008A010000}"/>
    <hyperlink ref="H665" r:id="rId231" xr:uid="{00000000-0004-0000-0200-000089010000}"/>
    <hyperlink ref="H664" r:id="rId232" xr:uid="{00000000-0004-0000-0200-000088010000}"/>
    <hyperlink ref="H663" r:id="rId233" xr:uid="{00000000-0004-0000-0200-000087010000}"/>
    <hyperlink ref="H662" r:id="rId234" xr:uid="{00000000-0004-0000-0200-000086010000}"/>
    <hyperlink ref="H661" r:id="rId235" display="C:\Users\Ufficio\Desktop\Amministrazione\Acquisti\2020\Fatture\EV - proforme\EV - Poggio Carlo npf 34_2020 del 18-06-2020.pdf" xr:uid="{00000000-0004-0000-0200-000085010000}"/>
    <hyperlink ref="H660" r:id="rId236" xr:uid="{00000000-0004-0000-0200-000084010000}"/>
    <hyperlink ref="H649" r:id="rId237" xr:uid="{00000000-0004-0000-0200-000083010000}"/>
    <hyperlink ref="H648" r:id="rId238" xr:uid="{00000000-0004-0000-0200-000082010000}"/>
    <hyperlink ref="H647" r:id="rId239" xr:uid="{00000000-0004-0000-0200-000081010000}"/>
    <hyperlink ref="H645" r:id="rId240" display="..\..\..\Acquisti\2023\EV\Proforme\Belloli doc 4195 del 30-11-2023 -- Colombini PIGN QUOTE nota pro forma.pdf" xr:uid="{00000000-0004-0000-0200-000080010000}"/>
    <hyperlink ref="H644" r:id="rId241" display="..\..\..\Acquisti\2023\EV\Proforme\BELLOLI doc 4185 del 20-11-2023-dm.pdf" xr:uid="{00000000-0004-0000-0200-00007F010000}"/>
    <hyperlink ref="H642" r:id="rId242" xr:uid="{00000000-0004-0000-0200-00007E010000}"/>
    <hyperlink ref="H640" r:id="rId243" xr:uid="{00000000-0004-0000-0200-00007D010000}"/>
    <hyperlink ref="H639" r:id="rId244" xr:uid="{00000000-0004-0000-0200-00007C010000}"/>
    <hyperlink ref="H638" r:id="rId245" xr:uid="{00000000-0004-0000-0200-00007B010000}"/>
    <hyperlink ref="H637" r:id="rId246" xr:uid="{00000000-0004-0000-0200-00007A010000}"/>
    <hyperlink ref="H636" r:id="rId247" xr:uid="{00000000-0004-0000-0200-000079010000}"/>
    <hyperlink ref="H629" r:id="rId248" xr:uid="{00000000-0004-0000-0200-000078010000}"/>
    <hyperlink ref="H628" r:id="rId249" xr:uid="{00000000-0004-0000-0200-000077010000}"/>
    <hyperlink ref="H627" r:id="rId250" xr:uid="{00000000-0004-0000-0200-000076010000}"/>
    <hyperlink ref="H626" r:id="rId251" xr:uid="{00000000-0004-0000-0200-000075010000}"/>
    <hyperlink ref="H625" r:id="rId252" xr:uid="{00000000-0004-0000-0200-000074010000}"/>
    <hyperlink ref="H624" r:id="rId253" xr:uid="{00000000-0004-0000-0200-000073010000}"/>
    <hyperlink ref="H623" r:id="rId254" xr:uid="{00000000-0004-0000-0200-000072010000}"/>
    <hyperlink ref="H622" r:id="rId255" xr:uid="{00000000-0004-0000-0200-000071010000}"/>
    <hyperlink ref="H621" r:id="rId256" xr:uid="{00000000-0004-0000-0200-000070010000}"/>
    <hyperlink ref="H620" r:id="rId257" xr:uid="{00000000-0004-0000-0200-00006F010000}"/>
    <hyperlink ref="H619" r:id="rId258" xr:uid="{00000000-0004-0000-0200-00006E010000}"/>
    <hyperlink ref="H618" r:id="rId259" xr:uid="{00000000-0004-0000-0200-00006D010000}"/>
    <hyperlink ref="H617" r:id="rId260" xr:uid="{00000000-0004-0000-0200-00006C010000}"/>
    <hyperlink ref="H615" r:id="rId261" xr:uid="{00000000-0004-0000-0200-00006B010000}"/>
    <hyperlink ref="H613" r:id="rId262" xr:uid="{00000000-0004-0000-0200-00006A010000}"/>
    <hyperlink ref="H612" r:id="rId263" xr:uid="{00000000-0004-0000-0200-000069010000}"/>
    <hyperlink ref="H611" r:id="rId264" xr:uid="{00000000-0004-0000-0200-000068010000}"/>
    <hyperlink ref="H610" r:id="rId265" xr:uid="{00000000-0004-0000-0200-000067010000}"/>
    <hyperlink ref="H601" r:id="rId266" xr:uid="{00000000-0004-0000-0200-000066010000}"/>
    <hyperlink ref="H600" r:id="rId267" xr:uid="{00000000-0004-0000-0200-000065010000}"/>
    <hyperlink ref="H599" r:id="rId268" xr:uid="{00000000-0004-0000-0200-000064010000}"/>
    <hyperlink ref="H598" r:id="rId269" xr:uid="{00000000-0004-0000-0200-000063010000}"/>
    <hyperlink ref="H597" r:id="rId270" xr:uid="{00000000-0004-0000-0200-000062010000}"/>
    <hyperlink ref="H596" r:id="rId271" xr:uid="{00000000-0004-0000-0200-000061010000}"/>
    <hyperlink ref="H595" r:id="rId272" xr:uid="{00000000-0004-0000-0200-000060010000}"/>
    <hyperlink ref="H594" r:id="rId273" xr:uid="{00000000-0004-0000-0200-00005F010000}"/>
    <hyperlink ref="H593" r:id="rId274" xr:uid="{00000000-0004-0000-0200-00005E010000}"/>
    <hyperlink ref="H592" r:id="rId275" xr:uid="{00000000-0004-0000-0200-00005D010000}"/>
    <hyperlink ref="H591" r:id="rId276" xr:uid="{00000000-0004-0000-0200-00005C010000}"/>
    <hyperlink ref="H590" r:id="rId277" xr:uid="{00000000-0004-0000-0200-00005B010000}"/>
    <hyperlink ref="H589" r:id="rId278" xr:uid="{00000000-0004-0000-0200-00005A010000}"/>
    <hyperlink ref="H588" r:id="rId279" xr:uid="{00000000-0004-0000-0200-000059010000}"/>
    <hyperlink ref="H587" r:id="rId280" xr:uid="{00000000-0004-0000-0200-000058010000}"/>
    <hyperlink ref="H586" r:id="rId281" xr:uid="{00000000-0004-0000-0200-000057010000}"/>
    <hyperlink ref="H584" r:id="rId282" xr:uid="{00000000-0004-0000-0200-000056010000}"/>
    <hyperlink ref="H582" r:id="rId283" xr:uid="{00000000-0004-0000-0200-000055010000}"/>
    <hyperlink ref="H581" r:id="rId284" xr:uid="{00000000-0004-0000-0200-000054010000}"/>
    <hyperlink ref="H580" r:id="rId285" xr:uid="{00000000-0004-0000-0200-000053010000}"/>
    <hyperlink ref="H579" r:id="rId286" xr:uid="{00000000-0004-0000-0200-000052010000}"/>
    <hyperlink ref="H578" r:id="rId287" xr:uid="{00000000-0004-0000-0200-000051010000}"/>
    <hyperlink ref="H577" r:id="rId288" xr:uid="{00000000-0004-0000-0200-000050010000}"/>
    <hyperlink ref="H575" r:id="rId289" xr:uid="{00000000-0004-0000-0200-00004F010000}"/>
    <hyperlink ref="H574" r:id="rId290" xr:uid="{00000000-0004-0000-0200-00004E010000}"/>
    <hyperlink ref="H573" r:id="rId291" xr:uid="{00000000-0004-0000-0200-00004D010000}"/>
    <hyperlink ref="H571" r:id="rId292" xr:uid="{00000000-0004-0000-0200-00004C010000}"/>
    <hyperlink ref="H568" r:id="rId293" xr:uid="{00000000-0004-0000-0200-00004B010000}"/>
    <hyperlink ref="H567" r:id="rId294" xr:uid="{00000000-0004-0000-0200-00004A010000}"/>
    <hyperlink ref="H566" r:id="rId295" display="..\..\..\Acquisti\2024\EV\Fatture\EV - MOIOLI ft 247 del 30-04-2024.pdf" xr:uid="{00000000-0004-0000-0200-000049010000}"/>
    <hyperlink ref="H565" r:id="rId296" display="..\..\..\Acquisti\2024\EV\Fatture\EV - MOIOLI ft 247 del 30-04-2024.pdf" xr:uid="{00000000-0004-0000-0200-000048010000}"/>
    <hyperlink ref="H564" r:id="rId297" display="..\..\..\Acquisti\2023\EV\Fatture\EV - MOIOLI ft 972 del 22-12-2023.pdf" xr:uid="{00000000-0004-0000-0200-000047010000}"/>
    <hyperlink ref="H563" r:id="rId298" display="..\..\..\Acquisti\2023\EV\Fatture\EV - MOIOLI ft 856 del 27-11-2023.pdf" xr:uid="{00000000-0004-0000-0200-000046010000}"/>
    <hyperlink ref="H561" r:id="rId299" xr:uid="{00000000-0004-0000-0200-000045010000}"/>
    <hyperlink ref="H560" r:id="rId300" xr:uid="{00000000-0004-0000-0200-000044010000}"/>
    <hyperlink ref="H559" r:id="rId301" xr:uid="{00000000-0004-0000-0200-000043010000}"/>
    <hyperlink ref="H558" r:id="rId302" xr:uid="{00000000-0004-0000-0200-000042010000}"/>
    <hyperlink ref="H557" r:id="rId303" xr:uid="{00000000-0004-0000-0200-000041010000}"/>
    <hyperlink ref="H556" r:id="rId304" xr:uid="{00000000-0004-0000-0200-000040010000}"/>
    <hyperlink ref="H555" r:id="rId305" xr:uid="{00000000-0004-0000-0200-00003F010000}"/>
    <hyperlink ref="H554" r:id="rId306" xr:uid="{00000000-0004-0000-0200-00003E010000}"/>
    <hyperlink ref="H553" r:id="rId307" xr:uid="{00000000-0004-0000-0200-00003D010000}"/>
    <hyperlink ref="H552" r:id="rId308" xr:uid="{00000000-0004-0000-0200-00003C010000}"/>
    <hyperlink ref="H551" r:id="rId309" xr:uid="{00000000-0004-0000-0200-00003B010000}"/>
    <hyperlink ref="H550" r:id="rId310" xr:uid="{00000000-0004-0000-0200-00003A010000}"/>
    <hyperlink ref="H549" r:id="rId311" xr:uid="{00000000-0004-0000-0200-000039010000}"/>
    <hyperlink ref="H548" r:id="rId312" display="..\..\..\Acquisti\2023\EV\Proforme\BELLOLI doc 4185 del 20-11-2023-dm.pdf" xr:uid="{00000000-0004-0000-0200-000038010000}"/>
    <hyperlink ref="H547" r:id="rId313" xr:uid="{00000000-0004-0000-0200-000037010000}"/>
    <hyperlink ref="H545" r:id="rId314" display="..\..\..\Acquisti\2023\EV\Proforme\BELLOLI doc 4185 del 20-11-2023-dm.pdf" xr:uid="{00000000-0004-0000-0200-000036010000}"/>
    <hyperlink ref="H544" r:id="rId315" display="..\..\..\Acquisti\2023\EV\Proforme\BELLOLI doc 4185 del 20-11-2023-dm.pdf" xr:uid="{00000000-0004-0000-0200-000035010000}"/>
    <hyperlink ref="H543" r:id="rId316" xr:uid="{00000000-0004-0000-0200-000034010000}"/>
    <hyperlink ref="H542" r:id="rId317" display="..\..\..\Acquisti\2023\EV\Proforme\BELLOLI doc 4185 del 20-11-2023-dm.pdf" xr:uid="{00000000-0004-0000-0200-000033010000}"/>
    <hyperlink ref="H540" r:id="rId318" xr:uid="{00000000-0004-0000-0200-000032010000}"/>
    <hyperlink ref="H539" r:id="rId319" xr:uid="{00000000-0004-0000-0200-000031010000}"/>
    <hyperlink ref="H538" r:id="rId320" xr:uid="{00000000-0004-0000-0200-000030010000}"/>
    <hyperlink ref="H537" r:id="rId321" xr:uid="{00000000-0004-0000-0200-00002F010000}"/>
    <hyperlink ref="H536" r:id="rId322" xr:uid="{00000000-0004-0000-0200-00002E010000}"/>
    <hyperlink ref="H535" r:id="rId323" display="..\..\..\Acquisti\2023\EV\Proforme\BELLOLI doc 4185 del 20-11-2023-dm.pdf" xr:uid="{00000000-0004-0000-0200-00002D010000}"/>
    <hyperlink ref="H534" r:id="rId324" xr:uid="{00000000-0004-0000-0200-00002C010000}"/>
    <hyperlink ref="H533" r:id="rId325" xr:uid="{00000000-0004-0000-0200-00002B010000}"/>
    <hyperlink ref="H532" r:id="rId326" xr:uid="{00000000-0004-0000-0200-00002A010000}"/>
    <hyperlink ref="H531" r:id="rId327" display="..\..\..\Acquisti\2023\EV\Proforme\BELLOLI 4162 nota 27.10.23 - Colombini_Gagliolo.pdf" xr:uid="{00000000-0004-0000-0200-000029010000}"/>
    <hyperlink ref="H530" r:id="rId328" xr:uid="{00000000-0004-0000-0200-000028010000}"/>
    <hyperlink ref="H529" r:id="rId329" xr:uid="{00000000-0004-0000-0200-000027010000}"/>
    <hyperlink ref="H528" r:id="rId330" xr:uid="{00000000-0004-0000-0200-000026010000}"/>
    <hyperlink ref="H527" r:id="rId331" display="..\..\..\Acquisti\2023\EV\Proforme\BELLOLI 4162 nota 27.10.23 - Colombini_Gagliolo.pdf" xr:uid="{00000000-0004-0000-0200-000025010000}"/>
    <hyperlink ref="H526" r:id="rId332" display="..\..\..\Acquisti\2023\EV\Proforme\BELLOLI 4162 nota 27.10.23 - Colombini_Gagliolo.pdf" xr:uid="{00000000-0004-0000-0200-000024010000}"/>
    <hyperlink ref="H525" r:id="rId333" display="..\..\..\Acquisti\2023\EV\Proforme\BELLOLI 4162 nota 27.10.23 - Colombini_Gagliolo.pdf" xr:uid="{00000000-0004-0000-0200-000023010000}"/>
    <hyperlink ref="H524" r:id="rId334" display="..\..\..\Acquisti\2023\EV\Proforme\BELLOLI 4162 nota 27.10.23 - Colombini_Gagliolo.pdf" xr:uid="{00000000-0004-0000-0200-000022010000}"/>
    <hyperlink ref="H523" r:id="rId335" display="..\..\..\Acquisti\2023\EV\Proforme\BELLOLI 4162 nota 27.10.23 - Colombini_Gagliolo.pdf" xr:uid="{00000000-0004-0000-0200-000021010000}"/>
    <hyperlink ref="H522" r:id="rId336" display="..\..\..\Acquisti\2023\EV\Proforme\BELLOLI 4162 nota 27.10.23 - Colombini_Gagliolo.pdf" xr:uid="{00000000-0004-0000-0200-000020010000}"/>
    <hyperlink ref="H521" r:id="rId337" display="..\..\..\Acquisti\2023\EV\Proforme\BELLOLI 4162 nota 27.10.23 - Colombini_Gagliolo.pdf" xr:uid="{00000000-0004-0000-0200-00001F010000}"/>
    <hyperlink ref="H520" r:id="rId338" display="..\..\..\Acquisti\2023\EV\Proforme\BELLOLI 4162 nota 27.10.23 - Colombini_Gagliolo.pdf" xr:uid="{00000000-0004-0000-0200-00001E010000}"/>
    <hyperlink ref="H519" r:id="rId339" display="..\..\..\Acquisti\2023\EV\Proforme\BELLOLI 4162 nota 27.10.23 - Colombini_Gagliolo.pdf" xr:uid="{00000000-0004-0000-0200-00001D010000}"/>
    <hyperlink ref="H518" r:id="rId340" xr:uid="{00000000-0004-0000-0200-00001C010000}"/>
    <hyperlink ref="H517" r:id="rId341" xr:uid="{00000000-0004-0000-0200-00001B010000}"/>
    <hyperlink ref="H516" r:id="rId342" xr:uid="{00000000-0004-0000-0200-00001A010000}"/>
    <hyperlink ref="H515" r:id="rId343" xr:uid="{00000000-0004-0000-0200-000019010000}"/>
    <hyperlink ref="H514" r:id="rId344" xr:uid="{00000000-0004-0000-0200-000018010000}"/>
    <hyperlink ref="H513" r:id="rId345" xr:uid="{00000000-0004-0000-0200-000017010000}"/>
    <hyperlink ref="H512" r:id="rId346" xr:uid="{00000000-0004-0000-0200-000016010000}"/>
    <hyperlink ref="H511" r:id="rId347" xr:uid="{00000000-0004-0000-0200-000015010000}"/>
    <hyperlink ref="H510" r:id="rId348" display="C:\Users\Ufficio\Desktop\Amministrazione\Acquisti\2023\EV\Proforme\Bellini 173-edilvertova-prog-via ghislandiBG-L10.pdf" xr:uid="{00000000-0004-0000-0200-000014010000}"/>
    <hyperlink ref="H509" r:id="rId349" display="C:\Users\Ufficio\Desktop\Amministrazione\Acquisti\2023\EV\Proforme\Bellini 173-edilvertova-prog-via ghislandiBG-L10.pdf" xr:uid="{00000000-0004-0000-0200-000013010000}"/>
    <hyperlink ref="H504" r:id="rId350" xr:uid="{00000000-0004-0000-0200-000012010000}"/>
    <hyperlink ref="H503" r:id="rId351" xr:uid="{00000000-0004-0000-0200-000011010000}"/>
    <hyperlink ref="H502" r:id="rId352" xr:uid="{00000000-0004-0000-0200-000010010000}"/>
    <hyperlink ref="H501" r:id="rId353" xr:uid="{00000000-0004-0000-0200-00000F010000}"/>
    <hyperlink ref="H500" r:id="rId354" xr:uid="{00000000-0004-0000-0200-00000E010000}"/>
    <hyperlink ref="H497" r:id="rId355" xr:uid="{00000000-0004-0000-0200-00000D010000}"/>
    <hyperlink ref="H496" r:id="rId356" xr:uid="{00000000-0004-0000-0200-00000C010000}"/>
    <hyperlink ref="H495" r:id="rId357" xr:uid="{00000000-0004-0000-0200-00000B010000}"/>
    <hyperlink ref="H494" r:id="rId358" xr:uid="{00000000-0004-0000-0200-00000A010000}"/>
    <hyperlink ref="H493" r:id="rId359" xr:uid="{00000000-0004-0000-0200-000009010000}"/>
    <hyperlink ref="H492" r:id="rId360" xr:uid="{00000000-0004-0000-0200-000008010000}"/>
    <hyperlink ref="H491" r:id="rId361" xr:uid="{00000000-0004-0000-0200-000007010000}"/>
    <hyperlink ref="H490" r:id="rId362" xr:uid="{00000000-0004-0000-0200-000006010000}"/>
    <hyperlink ref="H489" r:id="rId363" xr:uid="{00000000-0004-0000-0200-000005010000}"/>
    <hyperlink ref="H485" r:id="rId364" xr:uid="{00000000-0004-0000-0200-000004010000}"/>
    <hyperlink ref="H484" r:id="rId365" xr:uid="{00000000-0004-0000-0200-000003010000}"/>
    <hyperlink ref="H482" r:id="rId366" xr:uid="{00000000-0004-0000-0200-000002010000}"/>
    <hyperlink ref="H471" r:id="rId367" xr:uid="{00000000-0004-0000-0200-000001010000}"/>
    <hyperlink ref="H470" r:id="rId368" xr:uid="{00000000-0004-0000-0200-000000010000}"/>
    <hyperlink ref="H469" r:id="rId369" xr:uid="{00000000-0004-0000-0200-0000FF000000}"/>
    <hyperlink ref="H468" r:id="rId370" xr:uid="{00000000-0004-0000-0200-0000FE000000}"/>
    <hyperlink ref="H467" r:id="rId371" xr:uid="{00000000-0004-0000-0200-0000FD000000}"/>
    <hyperlink ref="H466" r:id="rId372" xr:uid="{00000000-0004-0000-0200-0000FC000000}"/>
    <hyperlink ref="H465" r:id="rId373" xr:uid="{00000000-0004-0000-0200-0000FB000000}"/>
    <hyperlink ref="H464" r:id="rId374" xr:uid="{00000000-0004-0000-0200-0000FA000000}"/>
    <hyperlink ref="H463" r:id="rId375" xr:uid="{00000000-0004-0000-0200-0000F9000000}"/>
    <hyperlink ref="H462" r:id="rId376" xr:uid="{00000000-0004-0000-0200-0000F8000000}"/>
    <hyperlink ref="H461" r:id="rId377" xr:uid="{00000000-0004-0000-0200-0000F7000000}"/>
    <hyperlink ref="H460" r:id="rId378" xr:uid="{00000000-0004-0000-0200-0000F6000000}"/>
    <hyperlink ref="H459" r:id="rId379" xr:uid="{00000000-0004-0000-0200-0000F5000000}"/>
    <hyperlink ref="H458" r:id="rId380" xr:uid="{00000000-0004-0000-0200-0000F4000000}"/>
    <hyperlink ref="H457" r:id="rId381" xr:uid="{00000000-0004-0000-0200-0000F3000000}"/>
    <hyperlink ref="H456" r:id="rId382" xr:uid="{00000000-0004-0000-0200-0000F2000000}"/>
    <hyperlink ref="H455" r:id="rId383" xr:uid="{00000000-0004-0000-0200-0000F1000000}"/>
    <hyperlink ref="H454" r:id="rId384" xr:uid="{00000000-0004-0000-0200-0000F0000000}"/>
    <hyperlink ref="H449" r:id="rId385" xr:uid="{00000000-0004-0000-0200-0000EF000000}"/>
    <hyperlink ref="H448" r:id="rId386" xr:uid="{00000000-0004-0000-0200-0000EE000000}"/>
    <hyperlink ref="H447" r:id="rId387" xr:uid="{00000000-0004-0000-0200-0000ED000000}"/>
    <hyperlink ref="H446" r:id="rId388" xr:uid="{00000000-0004-0000-0200-0000EC000000}"/>
    <hyperlink ref="H445" r:id="rId389" xr:uid="{00000000-0004-0000-0200-0000EB000000}"/>
    <hyperlink ref="H444" r:id="rId390" xr:uid="{00000000-0004-0000-0200-0000EA000000}"/>
    <hyperlink ref="H441" r:id="rId391" xr:uid="{00000000-0004-0000-0200-0000E9000000}"/>
    <hyperlink ref="H439" r:id="rId392" xr:uid="{00000000-0004-0000-0200-0000E8000000}"/>
    <hyperlink ref="H438" r:id="rId393" xr:uid="{00000000-0004-0000-0200-0000E7000000}"/>
    <hyperlink ref="H436" r:id="rId394" xr:uid="{00000000-0004-0000-0200-0000E6000000}"/>
    <hyperlink ref="H435" r:id="rId395" xr:uid="{00000000-0004-0000-0200-0000E5000000}"/>
    <hyperlink ref="H399" r:id="rId396" xr:uid="{00000000-0004-0000-0200-0000E4000000}"/>
    <hyperlink ref="H398" r:id="rId397" xr:uid="{00000000-0004-0000-0200-0000E3000000}"/>
    <hyperlink ref="H428" r:id="rId398" xr:uid="{00000000-0004-0000-0200-0000E2000000}"/>
    <hyperlink ref="H427" r:id="rId399" xr:uid="{00000000-0004-0000-0200-0000E1000000}"/>
    <hyperlink ref="H422" r:id="rId400" xr:uid="{00000000-0004-0000-0200-0000E0000000}"/>
    <hyperlink ref="H420" r:id="rId401" xr:uid="{00000000-0004-0000-0200-0000DF000000}"/>
    <hyperlink ref="H419" r:id="rId402" xr:uid="{00000000-0004-0000-0200-0000DE000000}"/>
    <hyperlink ref="H418" r:id="rId403" xr:uid="{00000000-0004-0000-0200-0000DD000000}"/>
    <hyperlink ref="H417" r:id="rId404" xr:uid="{00000000-0004-0000-0200-0000DC000000}"/>
    <hyperlink ref="H416" r:id="rId405" xr:uid="{00000000-0004-0000-0200-0000DB000000}"/>
    <hyperlink ref="H415" r:id="rId406" xr:uid="{00000000-0004-0000-0200-0000DA000000}"/>
    <hyperlink ref="H414" r:id="rId407" xr:uid="{00000000-0004-0000-0200-0000D9000000}"/>
    <hyperlink ref="H413" r:id="rId408" xr:uid="{00000000-0004-0000-0200-0000D8000000}"/>
    <hyperlink ref="H412" r:id="rId409" xr:uid="{00000000-0004-0000-0200-0000D7000000}"/>
    <hyperlink ref="H411" r:id="rId410" xr:uid="{00000000-0004-0000-0200-0000D6000000}"/>
    <hyperlink ref="H410" r:id="rId411" xr:uid="{00000000-0004-0000-0200-0000D5000000}"/>
    <hyperlink ref="H409" r:id="rId412" xr:uid="{00000000-0004-0000-0200-0000D4000000}"/>
    <hyperlink ref="H408" r:id="rId413" xr:uid="{00000000-0004-0000-0200-0000D3000000}"/>
    <hyperlink ref="H407" r:id="rId414" xr:uid="{00000000-0004-0000-0200-0000D2000000}"/>
    <hyperlink ref="H395" r:id="rId415" xr:uid="{00000000-0004-0000-0200-0000D1000000}"/>
    <hyperlink ref="H392" r:id="rId416" xr:uid="{00000000-0004-0000-0200-0000D0000000}"/>
    <hyperlink ref="H386" r:id="rId417" xr:uid="{00000000-0004-0000-0200-0000CF000000}"/>
    <hyperlink ref="H385" r:id="rId418" xr:uid="{00000000-0004-0000-0200-0000CE000000}"/>
    <hyperlink ref="H383" r:id="rId419" xr:uid="{00000000-0004-0000-0200-0000CD000000}"/>
    <hyperlink ref="H382" r:id="rId420" xr:uid="{00000000-0004-0000-0200-0000CC000000}"/>
    <hyperlink ref="H381" r:id="rId421" xr:uid="{00000000-0004-0000-0200-0000CB000000}"/>
    <hyperlink ref="H380" r:id="rId422" xr:uid="{00000000-0004-0000-0200-0000CA000000}"/>
    <hyperlink ref="H366" r:id="rId423" xr:uid="{00000000-0004-0000-0200-0000C9000000}"/>
    <hyperlink ref="H365" r:id="rId424" xr:uid="{00000000-0004-0000-0200-0000C8000000}"/>
    <hyperlink ref="H364" r:id="rId425" xr:uid="{00000000-0004-0000-0200-0000C7000000}"/>
    <hyperlink ref="H363" r:id="rId426" xr:uid="{00000000-0004-0000-0200-0000C6000000}"/>
    <hyperlink ref="H362" r:id="rId427" xr:uid="{00000000-0004-0000-0200-0000C5000000}"/>
    <hyperlink ref="H361" r:id="rId428" xr:uid="{00000000-0004-0000-0200-0000C4000000}"/>
    <hyperlink ref="H360" r:id="rId429" xr:uid="{00000000-0004-0000-0200-0000C3000000}"/>
    <hyperlink ref="H359" r:id="rId430" xr:uid="{00000000-0004-0000-0200-0000C2000000}"/>
    <hyperlink ref="H357" r:id="rId431" xr:uid="{00000000-0004-0000-0200-0000C1000000}"/>
    <hyperlink ref="H356" r:id="rId432" xr:uid="{00000000-0004-0000-0200-0000C0000000}"/>
    <hyperlink ref="H354" r:id="rId433" xr:uid="{00000000-0004-0000-0200-0000BF000000}"/>
    <hyperlink ref="H353" r:id="rId434" display="..\..\..\Acquisti\2023\EV\Fatture\EV - F_LLI TESTA ft 4948 del 30-12-2023.pdf" xr:uid="{00000000-0004-0000-0200-0000BE000000}"/>
    <hyperlink ref="H351" r:id="rId435" xr:uid="{00000000-0004-0000-0200-0000BD000000}"/>
    <hyperlink ref="H350" r:id="rId436" xr:uid="{00000000-0004-0000-0200-0000BC000000}"/>
    <hyperlink ref="H342" r:id="rId437" xr:uid="{00000000-0004-0000-0200-0000BB000000}"/>
    <hyperlink ref="H341" r:id="rId438" xr:uid="{00000000-0004-0000-0200-0000BA000000}"/>
    <hyperlink ref="H340" r:id="rId439" xr:uid="{00000000-0004-0000-0200-0000B9000000}"/>
    <hyperlink ref="H339" r:id="rId440" xr:uid="{00000000-0004-0000-0200-0000B8000000}"/>
    <hyperlink ref="H337" r:id="rId441" xr:uid="{00000000-0004-0000-0200-0000B7000000}"/>
    <hyperlink ref="H331" r:id="rId442" xr:uid="{00000000-0004-0000-0200-0000B6000000}"/>
    <hyperlink ref="H330" r:id="rId443" xr:uid="{00000000-0004-0000-0200-0000B5000000}"/>
    <hyperlink ref="H323" r:id="rId444" xr:uid="{00000000-0004-0000-0200-0000B4000000}"/>
    <hyperlink ref="H322" r:id="rId445" xr:uid="{00000000-0004-0000-0200-0000B3000000}"/>
    <hyperlink ref="H321" r:id="rId446" xr:uid="{00000000-0004-0000-0200-0000B2000000}"/>
    <hyperlink ref="H320" r:id="rId447" xr:uid="{00000000-0004-0000-0200-0000B1000000}"/>
    <hyperlink ref="H319" r:id="rId448" xr:uid="{00000000-0004-0000-0200-0000B0000000}"/>
    <hyperlink ref="H318" r:id="rId449" xr:uid="{00000000-0004-0000-0200-0000AF000000}"/>
    <hyperlink ref="H317" r:id="rId450" xr:uid="{00000000-0004-0000-0200-0000AE000000}"/>
    <hyperlink ref="H316" r:id="rId451" xr:uid="{00000000-0004-0000-0200-0000AD000000}"/>
    <hyperlink ref="H315" r:id="rId452" xr:uid="{00000000-0004-0000-0200-0000AC000000}"/>
    <hyperlink ref="H314" r:id="rId453" xr:uid="{00000000-0004-0000-0200-0000AB000000}"/>
    <hyperlink ref="H313" r:id="rId454" xr:uid="{00000000-0004-0000-0200-0000AA000000}"/>
    <hyperlink ref="H312" r:id="rId455" xr:uid="{00000000-0004-0000-0200-0000A9000000}"/>
    <hyperlink ref="H311" r:id="rId456" xr:uid="{00000000-0004-0000-0200-0000A8000000}"/>
    <hyperlink ref="H310" r:id="rId457" xr:uid="{00000000-0004-0000-0200-0000A7000000}"/>
    <hyperlink ref="H309" r:id="rId458" xr:uid="{00000000-0004-0000-0200-0000A6000000}"/>
    <hyperlink ref="H308" r:id="rId459" xr:uid="{00000000-0004-0000-0200-0000A5000000}"/>
    <hyperlink ref="H307" r:id="rId460" xr:uid="{00000000-0004-0000-0200-0000A4000000}"/>
    <hyperlink ref="H306" r:id="rId461" xr:uid="{00000000-0004-0000-0200-0000A3000000}"/>
    <hyperlink ref="H305" r:id="rId462" xr:uid="{00000000-0004-0000-0200-0000A2000000}"/>
    <hyperlink ref="H304" r:id="rId463" xr:uid="{00000000-0004-0000-0200-0000A1000000}"/>
    <hyperlink ref="H303" r:id="rId464" xr:uid="{00000000-0004-0000-0200-0000A0000000}"/>
    <hyperlink ref="H302" r:id="rId465" xr:uid="{00000000-0004-0000-0200-00009F000000}"/>
    <hyperlink ref="H285" r:id="rId466" xr:uid="{00000000-0004-0000-0200-00009E000000}"/>
    <hyperlink ref="H282" r:id="rId467" xr:uid="{00000000-0004-0000-0200-00009D000000}"/>
    <hyperlink ref="H281" r:id="rId468" xr:uid="{00000000-0004-0000-0200-00009C000000}"/>
    <hyperlink ref="H280" r:id="rId469" xr:uid="{00000000-0004-0000-0200-00009B000000}"/>
    <hyperlink ref="H279" r:id="rId470" xr:uid="{00000000-0004-0000-0200-00009A000000}"/>
    <hyperlink ref="H278" r:id="rId471" xr:uid="{00000000-0004-0000-0200-000099000000}"/>
    <hyperlink ref="H277" r:id="rId472" xr:uid="{00000000-0004-0000-0200-000098000000}"/>
    <hyperlink ref="H276" r:id="rId473" xr:uid="{00000000-0004-0000-0200-000097000000}"/>
    <hyperlink ref="H275" r:id="rId474" xr:uid="{00000000-0004-0000-0200-000096000000}"/>
    <hyperlink ref="H274" r:id="rId475" xr:uid="{00000000-0004-0000-0200-000095000000}"/>
    <hyperlink ref="H273" r:id="rId476" xr:uid="{00000000-0004-0000-0200-000094000000}"/>
    <hyperlink ref="H272" r:id="rId477" xr:uid="{00000000-0004-0000-0200-000093000000}"/>
    <hyperlink ref="H271" r:id="rId478" xr:uid="{00000000-0004-0000-0200-000092000000}"/>
    <hyperlink ref="H270" r:id="rId479" xr:uid="{00000000-0004-0000-0200-000091000000}"/>
    <hyperlink ref="H268" r:id="rId480" xr:uid="{00000000-0004-0000-0200-000090000000}"/>
    <hyperlink ref="H267" r:id="rId481" xr:uid="{00000000-0004-0000-0200-00008F000000}"/>
    <hyperlink ref="H264" r:id="rId482" xr:uid="{00000000-0004-0000-0200-00008E000000}"/>
    <hyperlink ref="H263" r:id="rId483" xr:uid="{00000000-0004-0000-0200-00008D000000}"/>
    <hyperlink ref="H260" r:id="rId484" xr:uid="{00000000-0004-0000-0200-00008C000000}"/>
    <hyperlink ref="H259" r:id="rId485" xr:uid="{00000000-0004-0000-0200-00008B000000}"/>
    <hyperlink ref="H258" r:id="rId486" xr:uid="{00000000-0004-0000-0200-00008A000000}"/>
    <hyperlink ref="H257" r:id="rId487" xr:uid="{00000000-0004-0000-0200-000089000000}"/>
    <hyperlink ref="H256" r:id="rId488" xr:uid="{00000000-0004-0000-0200-000088000000}"/>
    <hyperlink ref="H255" r:id="rId489" xr:uid="{00000000-0004-0000-0200-000087000000}"/>
    <hyperlink ref="H250" r:id="rId490" xr:uid="{00000000-0004-0000-0200-000086000000}"/>
    <hyperlink ref="H249" r:id="rId491" xr:uid="{00000000-0004-0000-0200-000085000000}"/>
    <hyperlink ref="H248" r:id="rId492" xr:uid="{00000000-0004-0000-0200-000084000000}"/>
    <hyperlink ref="H247" r:id="rId493" xr:uid="{00000000-0004-0000-0200-000083000000}"/>
    <hyperlink ref="H246" r:id="rId494" xr:uid="{00000000-0004-0000-0200-000082000000}"/>
    <hyperlink ref="H245" r:id="rId495" xr:uid="{00000000-0004-0000-0200-000081000000}"/>
    <hyperlink ref="H244" r:id="rId496" xr:uid="{00000000-0004-0000-0200-000080000000}"/>
    <hyperlink ref="H243" r:id="rId497" xr:uid="{00000000-0004-0000-0200-00007F000000}"/>
    <hyperlink ref="H242" r:id="rId498" xr:uid="{00000000-0004-0000-0200-00007E000000}"/>
    <hyperlink ref="H241" r:id="rId499" xr:uid="{00000000-0004-0000-0200-00007D000000}"/>
    <hyperlink ref="H240" r:id="rId500" xr:uid="{00000000-0004-0000-0200-00007C000000}"/>
    <hyperlink ref="H239" r:id="rId501" xr:uid="{00000000-0004-0000-0200-00007B000000}"/>
    <hyperlink ref="H238" r:id="rId502" xr:uid="{00000000-0004-0000-0200-00007A000000}"/>
    <hyperlink ref="H237" r:id="rId503" xr:uid="{00000000-0004-0000-0200-000079000000}"/>
    <hyperlink ref="H236" r:id="rId504" xr:uid="{00000000-0004-0000-0200-000078000000}"/>
    <hyperlink ref="H235" r:id="rId505" xr:uid="{00000000-0004-0000-0200-000077000000}"/>
    <hyperlink ref="H234" r:id="rId506" xr:uid="{00000000-0004-0000-0200-000076000000}"/>
    <hyperlink ref="H233" r:id="rId507" xr:uid="{00000000-0004-0000-0200-000075000000}"/>
    <hyperlink ref="H232" r:id="rId508" xr:uid="{00000000-0004-0000-0200-000074000000}"/>
    <hyperlink ref="H231" r:id="rId509" xr:uid="{00000000-0004-0000-0200-000073000000}"/>
    <hyperlink ref="H229" r:id="rId510" xr:uid="{00000000-0004-0000-0200-000072000000}"/>
    <hyperlink ref="H228" r:id="rId511" xr:uid="{00000000-0004-0000-0200-000071000000}"/>
    <hyperlink ref="H227" r:id="rId512" xr:uid="{00000000-0004-0000-0200-000070000000}"/>
    <hyperlink ref="H224" r:id="rId513" xr:uid="{00000000-0004-0000-0200-00006F000000}"/>
    <hyperlink ref="H223" r:id="rId514" xr:uid="{00000000-0004-0000-0200-00006E000000}"/>
    <hyperlink ref="H222" r:id="rId515" xr:uid="{00000000-0004-0000-0200-00006D000000}"/>
    <hyperlink ref="H221" r:id="rId516" xr:uid="{00000000-0004-0000-0200-00006C000000}"/>
    <hyperlink ref="H220" r:id="rId517" xr:uid="{00000000-0004-0000-0200-00006B000000}"/>
    <hyperlink ref="H219" r:id="rId518" xr:uid="{00000000-0004-0000-0200-00006A000000}"/>
    <hyperlink ref="H218" r:id="rId519" xr:uid="{00000000-0004-0000-0200-000069000000}"/>
    <hyperlink ref="H212" r:id="rId520" xr:uid="{00000000-0004-0000-0200-000067000000}"/>
    <hyperlink ref="H211" r:id="rId521" xr:uid="{00000000-0004-0000-0200-000066000000}"/>
    <hyperlink ref="H210" r:id="rId522" xr:uid="{00000000-0004-0000-0200-000065000000}"/>
    <hyperlink ref="H209" r:id="rId523" xr:uid="{00000000-0004-0000-0200-000064000000}"/>
    <hyperlink ref="H196" r:id="rId524" xr:uid="{00000000-0004-0000-0200-000063000000}"/>
    <hyperlink ref="H195" r:id="rId525" xr:uid="{00000000-0004-0000-0200-000062000000}"/>
    <hyperlink ref="H194" r:id="rId526" xr:uid="{00000000-0004-0000-0200-000061000000}"/>
    <hyperlink ref="H193" r:id="rId527" xr:uid="{00000000-0004-0000-0200-000060000000}"/>
    <hyperlink ref="H192" r:id="rId528" xr:uid="{00000000-0004-0000-0200-00005F000000}"/>
    <hyperlink ref="H191" r:id="rId529" xr:uid="{00000000-0004-0000-0200-00005E000000}"/>
    <hyperlink ref="H190" r:id="rId530" xr:uid="{00000000-0004-0000-0200-00005D000000}"/>
    <hyperlink ref="H189" r:id="rId531" xr:uid="{00000000-0004-0000-0200-00005C000000}"/>
    <hyperlink ref="H188" r:id="rId532" xr:uid="{00000000-0004-0000-0200-00005B000000}"/>
    <hyperlink ref="H187" r:id="rId533" xr:uid="{00000000-0004-0000-0200-00005A000000}"/>
    <hyperlink ref="H184" r:id="rId534" xr:uid="{00000000-0004-0000-0200-000059000000}"/>
    <hyperlink ref="H183" r:id="rId535" xr:uid="{00000000-0004-0000-0200-000058000000}"/>
    <hyperlink ref="H182" r:id="rId536" xr:uid="{00000000-0004-0000-0200-000057000000}"/>
    <hyperlink ref="H181" r:id="rId537" xr:uid="{00000000-0004-0000-0200-000056000000}"/>
    <hyperlink ref="H180" r:id="rId538" xr:uid="{00000000-0004-0000-0200-000055000000}"/>
    <hyperlink ref="H178" r:id="rId539" xr:uid="{00000000-0004-0000-0200-000054000000}"/>
    <hyperlink ref="H177" r:id="rId540" xr:uid="{00000000-0004-0000-0200-000053000000}"/>
    <hyperlink ref="H176" r:id="rId541" xr:uid="{00000000-0004-0000-0200-000052000000}"/>
    <hyperlink ref="H174" r:id="rId542" xr:uid="{00000000-0004-0000-0200-000051000000}"/>
    <hyperlink ref="H166" r:id="rId543" xr:uid="{00000000-0004-0000-0200-000050000000}"/>
    <hyperlink ref="H165" r:id="rId544" xr:uid="{00000000-0004-0000-0200-00004F000000}"/>
    <hyperlink ref="H164" r:id="rId545" xr:uid="{00000000-0004-0000-0200-00004E000000}"/>
    <hyperlink ref="H163" r:id="rId546" xr:uid="{00000000-0004-0000-0200-00004D000000}"/>
    <hyperlink ref="H162" r:id="rId547" xr:uid="{00000000-0004-0000-0200-00004C000000}"/>
    <hyperlink ref="H161" r:id="rId548" xr:uid="{00000000-0004-0000-0200-00004B000000}"/>
    <hyperlink ref="H160" r:id="rId549" xr:uid="{00000000-0004-0000-0200-00004A000000}"/>
    <hyperlink ref="H159" r:id="rId550" xr:uid="{00000000-0004-0000-0200-000049000000}"/>
    <hyperlink ref="H158" r:id="rId551" xr:uid="{00000000-0004-0000-0200-000048000000}"/>
    <hyperlink ref="H157" r:id="rId552" xr:uid="{00000000-0004-0000-0200-000047000000}"/>
    <hyperlink ref="H154" r:id="rId553" xr:uid="{00000000-0004-0000-0200-000046000000}"/>
    <hyperlink ref="H150" r:id="rId554" xr:uid="{00000000-0004-0000-0200-000045000000}"/>
    <hyperlink ref="H149" r:id="rId555" xr:uid="{00000000-0004-0000-0200-000044000000}"/>
    <hyperlink ref="H148" r:id="rId556" xr:uid="{00000000-0004-0000-0200-000043000000}"/>
    <hyperlink ref="H147" r:id="rId557" xr:uid="{00000000-0004-0000-0200-000042000000}"/>
    <hyperlink ref="H139" r:id="rId558" xr:uid="{00000000-0004-0000-0200-000041000000}"/>
    <hyperlink ref="H131" r:id="rId559" xr:uid="{00000000-0004-0000-0200-000040000000}"/>
    <hyperlink ref="H130" r:id="rId560" xr:uid="{00000000-0004-0000-0200-00003F000000}"/>
    <hyperlink ref="H129" r:id="rId561" xr:uid="{00000000-0004-0000-0200-00003E000000}"/>
    <hyperlink ref="H128" r:id="rId562" xr:uid="{00000000-0004-0000-0200-00003D000000}"/>
    <hyperlink ref="H127" r:id="rId563" xr:uid="{00000000-0004-0000-0200-00003C000000}"/>
    <hyperlink ref="H126" r:id="rId564" xr:uid="{00000000-0004-0000-0200-00003B000000}"/>
    <hyperlink ref="H125" r:id="rId565" xr:uid="{00000000-0004-0000-0200-00003A000000}"/>
    <hyperlink ref="H124" r:id="rId566" xr:uid="{00000000-0004-0000-0200-000039000000}"/>
    <hyperlink ref="H122" r:id="rId567" xr:uid="{00000000-0004-0000-0200-000038000000}"/>
    <hyperlink ref="H120" r:id="rId568" xr:uid="{00000000-0004-0000-0200-000037000000}"/>
    <hyperlink ref="H119" r:id="rId569" xr:uid="{00000000-0004-0000-0200-000036000000}"/>
    <hyperlink ref="H118" r:id="rId570" xr:uid="{00000000-0004-0000-0200-000035000000}"/>
    <hyperlink ref="H112" r:id="rId571" display="..\..\..\Acquisti\2023\EV\Proforme\Belloli doc 4195 del 30-11-2023 -- Colombini PIGN QUOTE nota pro forma.pdf" xr:uid="{00000000-0004-0000-0200-000034000000}"/>
    <hyperlink ref="H105" r:id="rId572" display="..\..\..\Acquisti\2023\EV\Proforme\Belloli nota 4139 23.9.23 - EV vs Checchin.pdf" xr:uid="{00000000-0004-0000-0200-000033000000}"/>
    <hyperlink ref="H91" r:id="rId573" xr:uid="{00000000-0004-0000-0200-000032000000}"/>
    <hyperlink ref="H90" r:id="rId574" xr:uid="{00000000-0004-0000-0200-000031000000}"/>
    <hyperlink ref="H89" r:id="rId575" xr:uid="{00000000-0004-0000-0200-000030000000}"/>
    <hyperlink ref="H88" r:id="rId576" xr:uid="{00000000-0004-0000-0200-00002F000000}"/>
    <hyperlink ref="H87" r:id="rId577" xr:uid="{00000000-0004-0000-0200-00002E000000}"/>
    <hyperlink ref="H86" r:id="rId578" xr:uid="{00000000-0004-0000-0200-00002D000000}"/>
    <hyperlink ref="H85" r:id="rId579" xr:uid="{00000000-0004-0000-0200-00002C000000}"/>
    <hyperlink ref="H84" r:id="rId580" xr:uid="{00000000-0004-0000-0200-00002B000000}"/>
    <hyperlink ref="H79" r:id="rId581" xr:uid="{00000000-0004-0000-0200-00002A000000}"/>
    <hyperlink ref="H76" r:id="rId582" xr:uid="{00000000-0004-0000-0200-000029000000}"/>
    <hyperlink ref="H73" r:id="rId583" xr:uid="{00000000-0004-0000-0200-000028000000}"/>
    <hyperlink ref="H70" r:id="rId584" xr:uid="{00000000-0004-0000-0200-000027000000}"/>
    <hyperlink ref="H67" r:id="rId585" xr:uid="{00000000-0004-0000-0200-000026000000}"/>
    <hyperlink ref="H66" r:id="rId586" xr:uid="{00000000-0004-0000-0200-000025000000}"/>
    <hyperlink ref="H65" r:id="rId587" xr:uid="{00000000-0004-0000-0200-000024000000}"/>
    <hyperlink ref="H62" r:id="rId588" display="..\..\..\Acquisti\2024\EV\Fatture\EV - BACCINO ft 16 del 12-03-2024.pdf" xr:uid="{00000000-0004-0000-0200-000023000000}"/>
    <hyperlink ref="H60" r:id="rId589" xr:uid="{00000000-0004-0000-0200-000022000000}"/>
    <hyperlink ref="H55" r:id="rId590" xr:uid="{00000000-0004-0000-0200-000021000000}"/>
    <hyperlink ref="H54" r:id="rId591" xr:uid="{00000000-0004-0000-0200-000020000000}"/>
    <hyperlink ref="H53" r:id="rId592" xr:uid="{00000000-0004-0000-0200-00001F000000}"/>
    <hyperlink ref="H52" r:id="rId593" xr:uid="{00000000-0004-0000-0200-00001E000000}"/>
    <hyperlink ref="H51" r:id="rId594" xr:uid="{00000000-0004-0000-0200-00001D000000}"/>
    <hyperlink ref="H50" r:id="rId595" xr:uid="{00000000-0004-0000-0200-00001C000000}"/>
    <hyperlink ref="H49" r:id="rId596" xr:uid="{00000000-0004-0000-0200-00001B000000}"/>
    <hyperlink ref="H48" r:id="rId597" xr:uid="{00000000-0004-0000-0200-00001A000000}"/>
    <hyperlink ref="H47" r:id="rId598" xr:uid="{00000000-0004-0000-0200-000019000000}"/>
    <hyperlink ref="H43" r:id="rId599" xr:uid="{00000000-0004-0000-0200-000018000000}"/>
    <hyperlink ref="H42" r:id="rId600" xr:uid="{00000000-0004-0000-0200-000017000000}"/>
    <hyperlink ref="H41" r:id="rId601" xr:uid="{00000000-0004-0000-0200-000016000000}"/>
    <hyperlink ref="H40" r:id="rId602" xr:uid="{00000000-0004-0000-0200-000015000000}"/>
    <hyperlink ref="H39" r:id="rId603" xr:uid="{00000000-0004-0000-0200-000014000000}"/>
    <hyperlink ref="H38" r:id="rId604" xr:uid="{00000000-0004-0000-0200-000013000000}"/>
    <hyperlink ref="H37" r:id="rId605" xr:uid="{00000000-0004-0000-0200-000012000000}"/>
    <hyperlink ref="H36" r:id="rId606" xr:uid="{00000000-0004-0000-0200-000011000000}"/>
    <hyperlink ref="H35" r:id="rId607" xr:uid="{00000000-0004-0000-0200-000010000000}"/>
    <hyperlink ref="H34" r:id="rId608" xr:uid="{00000000-0004-0000-0200-00000F000000}"/>
    <hyperlink ref="H33" r:id="rId609" xr:uid="{00000000-0004-0000-0200-00000E000000}"/>
    <hyperlink ref="H32" r:id="rId610" xr:uid="{00000000-0004-0000-0200-00000D000000}"/>
    <hyperlink ref="H29" r:id="rId611" xr:uid="{00000000-0004-0000-0200-00000C000000}"/>
    <hyperlink ref="H28" r:id="rId612" xr:uid="{00000000-0004-0000-0200-00000B000000}"/>
    <hyperlink ref="H27" r:id="rId613" xr:uid="{00000000-0004-0000-0200-00000A000000}"/>
    <hyperlink ref="H26" r:id="rId614" xr:uid="{00000000-0004-0000-0200-000009000000}"/>
    <hyperlink ref="H25" r:id="rId615" xr:uid="{00000000-0004-0000-0200-000008000000}"/>
    <hyperlink ref="H21" r:id="rId616" xr:uid="{00000000-0004-0000-0200-000007000000}"/>
    <hyperlink ref="H16" r:id="rId617" xr:uid="{00000000-0004-0000-0200-000006000000}"/>
    <hyperlink ref="H15" r:id="rId618" xr:uid="{00000000-0004-0000-0200-000005000000}"/>
    <hyperlink ref="H8" r:id="rId619" xr:uid="{00000000-0004-0000-0200-000004000000}"/>
    <hyperlink ref="H7" r:id="rId620" xr:uid="{00000000-0004-0000-0200-000003000000}"/>
    <hyperlink ref="H6" r:id="rId621" xr:uid="{00000000-0004-0000-0200-000002000000}"/>
    <hyperlink ref="H5" r:id="rId622" xr:uid="{00000000-0004-0000-0200-000001000000}"/>
    <hyperlink ref="H4" r:id="rId623" xr:uid="{00000000-0004-0000-0200-000000000000}"/>
  </hyperlinks>
  <pageMargins left="0.7" right="0.7" top="0.75" bottom="0.75" header="0.3" footer="0.3"/>
  <pageSetup paperSize="9" orientation="portrait" r:id="rId624"/>
  <tableParts count="1">
    <tablePart r:id="rId62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8"/>
  <dimension ref="A1:M839"/>
  <sheetViews>
    <sheetView workbookViewId="0">
      <selection activeCell="C170" sqref="C170"/>
    </sheetView>
  </sheetViews>
  <sheetFormatPr defaultRowHeight="15"/>
  <cols>
    <col min="1" max="1" width="11" customWidth="1"/>
    <col min="2" max="2" width="45.5703125" bestFit="1" customWidth="1"/>
    <col min="3" max="3" width="11.42578125" customWidth="1"/>
    <col min="4" max="4" width="10.7109375" style="57" bestFit="1" customWidth="1"/>
    <col min="5" max="5" width="11.28515625" style="57" customWidth="1"/>
    <col min="7" max="7" width="12" style="11" bestFit="1" customWidth="1"/>
    <col min="8" max="8" width="10.42578125" customWidth="1"/>
    <col min="9" max="9" width="10.7109375" customWidth="1"/>
    <col min="13" max="13" width="102.7109375" bestFit="1" customWidth="1"/>
  </cols>
  <sheetData>
    <row r="1" spans="1:13">
      <c r="A1" t="s">
        <v>0</v>
      </c>
      <c r="B1" t="s">
        <v>1</v>
      </c>
      <c r="C1" t="s">
        <v>2</v>
      </c>
      <c r="D1" s="57" t="s">
        <v>3</v>
      </c>
      <c r="E1" s="57" t="s">
        <v>4</v>
      </c>
      <c r="F1" t="s">
        <v>5</v>
      </c>
      <c r="G1" s="1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2366</v>
      </c>
      <c r="C2" t="s">
        <v>15</v>
      </c>
      <c r="D2" s="57">
        <v>45967</v>
      </c>
      <c r="E2" s="57">
        <v>45967</v>
      </c>
      <c r="F2" t="s">
        <v>16</v>
      </c>
      <c r="G2" s="11">
        <v>698.1</v>
      </c>
      <c r="I2" t="s">
        <v>17</v>
      </c>
      <c r="J2" t="s">
        <v>18</v>
      </c>
      <c r="K2">
        <v>45982</v>
      </c>
      <c r="L2">
        <v>698.1</v>
      </c>
      <c r="M2" t="s">
        <v>19</v>
      </c>
    </row>
    <row r="3" spans="1:13">
      <c r="A3" t="s">
        <v>219</v>
      </c>
      <c r="B3" t="s">
        <v>2043</v>
      </c>
      <c r="C3" t="s">
        <v>21</v>
      </c>
      <c r="D3" s="57">
        <v>45939</v>
      </c>
      <c r="F3" t="s">
        <v>16</v>
      </c>
      <c r="G3" s="11">
        <v>85</v>
      </c>
      <c r="H3" t="s">
        <v>22</v>
      </c>
      <c r="I3" t="s">
        <v>23</v>
      </c>
      <c r="J3" t="s">
        <v>24</v>
      </c>
    </row>
    <row r="4" spans="1:13">
      <c r="A4" t="s">
        <v>219</v>
      </c>
      <c r="B4" t="s">
        <v>2044</v>
      </c>
      <c r="C4" t="s">
        <v>26</v>
      </c>
      <c r="D4" s="57">
        <v>45675</v>
      </c>
      <c r="E4" s="57">
        <v>45675</v>
      </c>
      <c r="F4" t="s">
        <v>16</v>
      </c>
      <c r="G4" s="11">
        <v>240</v>
      </c>
      <c r="H4" t="s">
        <v>27</v>
      </c>
      <c r="I4" t="s">
        <v>28</v>
      </c>
      <c r="J4" t="s">
        <v>24</v>
      </c>
    </row>
    <row r="5" spans="1:13">
      <c r="A5" t="s">
        <v>219</v>
      </c>
      <c r="B5" t="s">
        <v>2044</v>
      </c>
      <c r="C5" t="s">
        <v>29</v>
      </c>
      <c r="D5" s="57" t="s">
        <v>30</v>
      </c>
      <c r="F5" t="s">
        <v>16</v>
      </c>
      <c r="G5" s="11">
        <v>240</v>
      </c>
      <c r="H5" t="s">
        <v>31</v>
      </c>
      <c r="I5" t="s">
        <v>28</v>
      </c>
      <c r="J5" t="s">
        <v>24</v>
      </c>
    </row>
    <row r="6" spans="1:13">
      <c r="A6" t="s">
        <v>219</v>
      </c>
      <c r="B6" t="s">
        <v>2045</v>
      </c>
      <c r="C6" t="s">
        <v>37</v>
      </c>
      <c r="D6" s="57">
        <v>45699</v>
      </c>
      <c r="E6" s="57">
        <v>45699</v>
      </c>
      <c r="F6" t="s">
        <v>16</v>
      </c>
      <c r="G6" s="11">
        <v>80</v>
      </c>
      <c r="H6" t="s">
        <v>38</v>
      </c>
      <c r="I6" t="s">
        <v>28</v>
      </c>
      <c r="J6" t="s">
        <v>24</v>
      </c>
    </row>
    <row r="7" spans="1:13">
      <c r="A7" t="s">
        <v>219</v>
      </c>
      <c r="B7" t="s">
        <v>2046</v>
      </c>
      <c r="C7" t="s">
        <v>40</v>
      </c>
      <c r="D7" s="57">
        <v>45800</v>
      </c>
      <c r="F7" t="s">
        <v>16</v>
      </c>
      <c r="G7" s="11">
        <v>108</v>
      </c>
      <c r="H7" t="s">
        <v>41</v>
      </c>
      <c r="I7" t="s">
        <v>42</v>
      </c>
      <c r="J7" t="s">
        <v>43</v>
      </c>
    </row>
    <row r="8" spans="1:13">
      <c r="B8" t="s">
        <v>2367</v>
      </c>
      <c r="C8" t="s">
        <v>45</v>
      </c>
      <c r="D8" s="57">
        <v>45987</v>
      </c>
      <c r="E8" s="57">
        <v>45987</v>
      </c>
      <c r="G8" s="11">
        <v>189.99</v>
      </c>
      <c r="I8" t="s">
        <v>46</v>
      </c>
      <c r="J8" t="s">
        <v>47</v>
      </c>
      <c r="K8">
        <v>45987</v>
      </c>
      <c r="L8">
        <v>189.99</v>
      </c>
    </row>
    <row r="9" spans="1:13">
      <c r="B9" t="s">
        <v>2048</v>
      </c>
      <c r="C9" t="s">
        <v>53</v>
      </c>
      <c r="D9" s="57">
        <v>45647</v>
      </c>
      <c r="E9" s="57">
        <v>45707</v>
      </c>
      <c r="G9" s="11">
        <v>1390.8</v>
      </c>
      <c r="H9" t="s">
        <v>54</v>
      </c>
      <c r="I9" t="s">
        <v>55</v>
      </c>
      <c r="J9" t="s">
        <v>56</v>
      </c>
    </row>
    <row r="10" spans="1:13">
      <c r="A10" t="s">
        <v>61</v>
      </c>
      <c r="B10" t="s">
        <v>2049</v>
      </c>
      <c r="C10" t="s">
        <v>63</v>
      </c>
      <c r="D10" s="57">
        <v>45869</v>
      </c>
      <c r="E10" s="57">
        <v>45869</v>
      </c>
      <c r="F10" t="s">
        <v>16</v>
      </c>
      <c r="G10" s="11">
        <v>1633.83</v>
      </c>
      <c r="H10" t="s">
        <v>64</v>
      </c>
      <c r="I10" t="s">
        <v>65</v>
      </c>
      <c r="J10" t="s">
        <v>66</v>
      </c>
    </row>
    <row r="11" spans="1:13">
      <c r="A11" t="s">
        <v>67</v>
      </c>
      <c r="B11" t="s">
        <v>2049</v>
      </c>
      <c r="C11" t="s">
        <v>68</v>
      </c>
      <c r="E11" s="57">
        <v>45809</v>
      </c>
      <c r="F11" t="s">
        <v>16</v>
      </c>
      <c r="G11" s="11">
        <v>2192.42</v>
      </c>
      <c r="I11" t="s">
        <v>69</v>
      </c>
      <c r="J11" t="s">
        <v>66</v>
      </c>
      <c r="K11">
        <v>45809</v>
      </c>
      <c r="L11">
        <v>2192.42</v>
      </c>
    </row>
    <row r="12" spans="1:13">
      <c r="A12" t="s">
        <v>316</v>
      </c>
      <c r="B12" t="s">
        <v>2049</v>
      </c>
      <c r="C12" t="s">
        <v>68</v>
      </c>
      <c r="E12" s="57">
        <v>45839</v>
      </c>
      <c r="F12" t="s">
        <v>16</v>
      </c>
      <c r="G12" s="11">
        <v>2192.42</v>
      </c>
      <c r="I12" t="s">
        <v>69</v>
      </c>
      <c r="J12" t="s">
        <v>66</v>
      </c>
      <c r="K12">
        <v>45839</v>
      </c>
      <c r="L12">
        <v>2192.42</v>
      </c>
      <c r="M12" t="s">
        <v>70</v>
      </c>
    </row>
    <row r="13" spans="1:13">
      <c r="A13" t="s">
        <v>316</v>
      </c>
      <c r="B13" t="s">
        <v>2049</v>
      </c>
      <c r="C13" t="s">
        <v>68</v>
      </c>
      <c r="E13" s="57">
        <v>45854</v>
      </c>
      <c r="F13" t="s">
        <v>16</v>
      </c>
      <c r="G13" s="11">
        <v>2192.42</v>
      </c>
      <c r="I13" t="s">
        <v>69</v>
      </c>
      <c r="J13" t="s">
        <v>66</v>
      </c>
      <c r="K13">
        <v>45854</v>
      </c>
      <c r="L13">
        <v>2192.42</v>
      </c>
      <c r="M13" t="s">
        <v>71</v>
      </c>
    </row>
    <row r="14" spans="1:13">
      <c r="A14" t="s">
        <v>316</v>
      </c>
      <c r="B14" t="s">
        <v>2049</v>
      </c>
      <c r="C14" t="s">
        <v>68</v>
      </c>
      <c r="E14" s="57">
        <v>45869</v>
      </c>
      <c r="F14" t="s">
        <v>16</v>
      </c>
      <c r="G14" s="11">
        <v>2192.42</v>
      </c>
      <c r="I14" t="s">
        <v>69</v>
      </c>
      <c r="J14" t="s">
        <v>66</v>
      </c>
      <c r="K14">
        <v>45869</v>
      </c>
      <c r="L14">
        <v>2192.42</v>
      </c>
      <c r="M14" t="s">
        <v>71</v>
      </c>
    </row>
    <row r="15" spans="1:13">
      <c r="B15" t="s">
        <v>2050</v>
      </c>
      <c r="C15" t="s">
        <v>58</v>
      </c>
      <c r="D15" s="57">
        <v>45686</v>
      </c>
      <c r="E15" s="57">
        <v>45686</v>
      </c>
      <c r="F15" t="s">
        <v>16</v>
      </c>
      <c r="G15" s="11">
        <v>447.6</v>
      </c>
      <c r="H15" t="s">
        <v>59</v>
      </c>
      <c r="I15" t="s">
        <v>60</v>
      </c>
    </row>
    <row r="16" spans="1:13">
      <c r="A16" t="s">
        <v>316</v>
      </c>
      <c r="B16" t="s">
        <v>2051</v>
      </c>
      <c r="C16" t="s">
        <v>73</v>
      </c>
      <c r="D16" s="57">
        <v>45858</v>
      </c>
      <c r="E16" s="57">
        <v>45858</v>
      </c>
      <c r="F16" t="s">
        <v>49</v>
      </c>
      <c r="G16" s="11">
        <v>2690</v>
      </c>
      <c r="I16" t="s">
        <v>74</v>
      </c>
      <c r="J16" t="s">
        <v>75</v>
      </c>
      <c r="K16">
        <v>45952</v>
      </c>
      <c r="L16">
        <v>2690</v>
      </c>
      <c r="M16" t="s">
        <v>19</v>
      </c>
    </row>
    <row r="17" spans="1:13">
      <c r="A17" t="s">
        <v>13</v>
      </c>
      <c r="B17" t="s">
        <v>2053</v>
      </c>
      <c r="C17" t="s">
        <v>77</v>
      </c>
      <c r="D17" s="57">
        <v>45820</v>
      </c>
      <c r="E17" s="57">
        <v>45820</v>
      </c>
      <c r="F17" t="s">
        <v>49</v>
      </c>
      <c r="G17" s="11">
        <v>602</v>
      </c>
      <c r="H17" t="s">
        <v>78</v>
      </c>
      <c r="I17" t="s">
        <v>79</v>
      </c>
      <c r="J17" t="s">
        <v>56</v>
      </c>
    </row>
    <row r="18" spans="1:13">
      <c r="A18" t="s">
        <v>80</v>
      </c>
      <c r="B18" t="s">
        <v>2053</v>
      </c>
      <c r="C18" t="s">
        <v>81</v>
      </c>
      <c r="D18" s="57">
        <v>45972</v>
      </c>
      <c r="E18" s="57">
        <v>45972</v>
      </c>
      <c r="F18" t="s">
        <v>49</v>
      </c>
      <c r="G18" s="11">
        <v>-602</v>
      </c>
      <c r="I18" t="s">
        <v>82</v>
      </c>
      <c r="J18" t="s">
        <v>83</v>
      </c>
    </row>
    <row r="19" spans="1:13">
      <c r="A19" t="s">
        <v>13</v>
      </c>
      <c r="B19" t="s">
        <v>2055</v>
      </c>
      <c r="C19" t="s">
        <v>85</v>
      </c>
      <c r="D19" s="57">
        <v>45608</v>
      </c>
      <c r="E19" s="57">
        <v>45657</v>
      </c>
      <c r="F19" t="s">
        <v>49</v>
      </c>
      <c r="G19" s="11">
        <v>1977.42</v>
      </c>
      <c r="H19" t="s">
        <v>86</v>
      </c>
      <c r="I19" t="s">
        <v>87</v>
      </c>
      <c r="J19" t="s">
        <v>56</v>
      </c>
      <c r="K19">
        <v>45968</v>
      </c>
      <c r="L19">
        <v>1000</v>
      </c>
      <c r="M19" t="s">
        <v>19</v>
      </c>
    </row>
    <row r="20" spans="1:13">
      <c r="A20" t="s">
        <v>88</v>
      </c>
      <c r="B20" t="s">
        <v>2055</v>
      </c>
      <c r="C20" t="s">
        <v>85</v>
      </c>
      <c r="D20" s="57">
        <v>45973</v>
      </c>
      <c r="G20" s="11">
        <v>977.42000000000007</v>
      </c>
      <c r="I20" t="s">
        <v>89</v>
      </c>
    </row>
    <row r="21" spans="1:13">
      <c r="A21" t="s">
        <v>90</v>
      </c>
      <c r="B21" t="s">
        <v>2055</v>
      </c>
      <c r="C21" t="s">
        <v>91</v>
      </c>
      <c r="D21" s="57">
        <v>45626</v>
      </c>
      <c r="E21" s="57">
        <v>45656</v>
      </c>
      <c r="G21" s="11">
        <v>94.71</v>
      </c>
      <c r="H21" t="s">
        <v>92</v>
      </c>
      <c r="I21" t="s">
        <v>87</v>
      </c>
      <c r="J21" t="s">
        <v>56</v>
      </c>
    </row>
    <row r="22" spans="1:13">
      <c r="A22" t="s">
        <v>13</v>
      </c>
      <c r="B22" t="s">
        <v>2055</v>
      </c>
      <c r="C22" t="s">
        <v>93</v>
      </c>
      <c r="D22" s="57">
        <v>45817</v>
      </c>
      <c r="E22" s="57">
        <v>45817</v>
      </c>
      <c r="F22" t="s">
        <v>16</v>
      </c>
      <c r="G22" s="11">
        <v>219.6</v>
      </c>
      <c r="H22" t="s">
        <v>94</v>
      </c>
      <c r="I22" t="s">
        <v>95</v>
      </c>
      <c r="J22" t="s">
        <v>66</v>
      </c>
      <c r="K22">
        <v>45818</v>
      </c>
      <c r="L22" t="s">
        <v>96</v>
      </c>
      <c r="M22" t="s">
        <v>97</v>
      </c>
    </row>
    <row r="23" spans="1:13">
      <c r="A23" t="s">
        <v>13</v>
      </c>
      <c r="B23" t="s">
        <v>2055</v>
      </c>
      <c r="C23" t="s">
        <v>98</v>
      </c>
      <c r="D23" s="57">
        <v>45831</v>
      </c>
      <c r="E23" s="57">
        <v>45831</v>
      </c>
      <c r="F23" t="s">
        <v>49</v>
      </c>
      <c r="G23" s="11">
        <v>32.21</v>
      </c>
      <c r="H23" t="s">
        <v>99</v>
      </c>
      <c r="J23" t="s">
        <v>47</v>
      </c>
      <c r="K23">
        <v>45831</v>
      </c>
      <c r="L23">
        <v>32.21</v>
      </c>
      <c r="M23" t="s">
        <v>100</v>
      </c>
    </row>
    <row r="24" spans="1:13">
      <c r="A24" t="s">
        <v>13</v>
      </c>
      <c r="B24" t="s">
        <v>2057</v>
      </c>
      <c r="C24" t="s">
        <v>102</v>
      </c>
      <c r="D24" s="57">
        <v>45688</v>
      </c>
      <c r="E24" s="57">
        <v>45817</v>
      </c>
      <c r="F24" t="s">
        <v>16</v>
      </c>
      <c r="G24" s="11">
        <v>5049.7299999999996</v>
      </c>
      <c r="H24" t="s">
        <v>103</v>
      </c>
      <c r="I24" t="s">
        <v>104</v>
      </c>
      <c r="J24" t="s">
        <v>105</v>
      </c>
      <c r="K24">
        <v>45823</v>
      </c>
      <c r="L24">
        <v>5049.7299999999996</v>
      </c>
      <c r="M24" t="s">
        <v>106</v>
      </c>
    </row>
    <row r="25" spans="1:13">
      <c r="A25">
        <v>2024</v>
      </c>
      <c r="B25" t="s">
        <v>2058</v>
      </c>
      <c r="C25" t="s">
        <v>107</v>
      </c>
      <c r="D25" s="57">
        <v>45650</v>
      </c>
      <c r="E25" s="57">
        <v>45726</v>
      </c>
      <c r="F25" t="s">
        <v>16</v>
      </c>
      <c r="G25" s="11">
        <v>1288.3399999999999</v>
      </c>
      <c r="H25" t="s">
        <v>108</v>
      </c>
      <c r="I25" t="s">
        <v>109</v>
      </c>
      <c r="J25" t="s">
        <v>110</v>
      </c>
      <c r="K25">
        <v>45730</v>
      </c>
      <c r="L25">
        <v>1520.14</v>
      </c>
      <c r="M25" t="s">
        <v>111</v>
      </c>
    </row>
    <row r="26" spans="1:13">
      <c r="A26">
        <v>2024</v>
      </c>
      <c r="B26" t="s">
        <v>2058</v>
      </c>
      <c r="C26" t="s">
        <v>112</v>
      </c>
      <c r="D26" s="57">
        <v>45657</v>
      </c>
      <c r="E26" s="57">
        <v>45726</v>
      </c>
      <c r="F26" t="s">
        <v>16</v>
      </c>
      <c r="G26" s="11">
        <v>231.8</v>
      </c>
      <c r="H26" t="s">
        <v>113</v>
      </c>
      <c r="I26" t="s">
        <v>114</v>
      </c>
      <c r="J26" t="s">
        <v>110</v>
      </c>
      <c r="K26">
        <v>45730</v>
      </c>
      <c r="L26">
        <v>1520.14</v>
      </c>
      <c r="M26" t="s">
        <v>111</v>
      </c>
    </row>
    <row r="27" spans="1:13">
      <c r="A27" t="s">
        <v>13</v>
      </c>
      <c r="B27" t="s">
        <v>2057</v>
      </c>
      <c r="C27" t="s">
        <v>115</v>
      </c>
      <c r="D27" s="57">
        <v>45716</v>
      </c>
      <c r="E27" s="57">
        <v>45787</v>
      </c>
      <c r="F27" t="s">
        <v>16</v>
      </c>
      <c r="G27" s="11">
        <v>4933.58</v>
      </c>
      <c r="H27" t="s">
        <v>116</v>
      </c>
      <c r="I27" t="s">
        <v>117</v>
      </c>
      <c r="J27" t="s">
        <v>56</v>
      </c>
      <c r="K27">
        <v>45791</v>
      </c>
      <c r="L27">
        <v>4933.58</v>
      </c>
      <c r="M27" t="s">
        <v>19</v>
      </c>
    </row>
    <row r="28" spans="1:13">
      <c r="A28" t="s">
        <v>13</v>
      </c>
      <c r="B28" t="s">
        <v>2057</v>
      </c>
      <c r="C28" t="s">
        <v>118</v>
      </c>
      <c r="D28" s="57">
        <v>45747</v>
      </c>
      <c r="E28" s="57">
        <v>45853</v>
      </c>
      <c r="F28" t="s">
        <v>16</v>
      </c>
      <c r="G28" s="11">
        <v>3655.96</v>
      </c>
      <c r="H28" t="s">
        <v>119</v>
      </c>
      <c r="I28" t="s">
        <v>120</v>
      </c>
      <c r="J28" t="s">
        <v>105</v>
      </c>
      <c r="K28">
        <v>45853</v>
      </c>
      <c r="L28">
        <v>3655.96</v>
      </c>
      <c r="M28" t="s">
        <v>121</v>
      </c>
    </row>
    <row r="29" spans="1:13">
      <c r="A29" t="s">
        <v>13</v>
      </c>
      <c r="B29" t="s">
        <v>2057</v>
      </c>
      <c r="C29" t="s">
        <v>122</v>
      </c>
      <c r="D29" s="57">
        <v>45777</v>
      </c>
      <c r="E29" s="57">
        <v>45848</v>
      </c>
      <c r="F29" t="s">
        <v>16</v>
      </c>
      <c r="G29" s="11">
        <v>629.75</v>
      </c>
      <c r="H29" t="s">
        <v>123</v>
      </c>
      <c r="I29" t="s">
        <v>124</v>
      </c>
      <c r="J29" t="s">
        <v>125</v>
      </c>
      <c r="K29">
        <v>45848</v>
      </c>
      <c r="L29">
        <v>87.53</v>
      </c>
      <c r="M29" t="s">
        <v>126</v>
      </c>
    </row>
    <row r="30" spans="1:13">
      <c r="A30" t="s">
        <v>80</v>
      </c>
      <c r="B30" t="s">
        <v>2057</v>
      </c>
      <c r="C30" t="s">
        <v>127</v>
      </c>
      <c r="D30" s="57">
        <v>45777</v>
      </c>
      <c r="E30" s="57">
        <v>45848</v>
      </c>
      <c r="F30" t="s">
        <v>16</v>
      </c>
      <c r="G30" s="11">
        <v>-542.22</v>
      </c>
      <c r="H30" t="s">
        <v>128</v>
      </c>
      <c r="J30" t="s">
        <v>125</v>
      </c>
      <c r="K30">
        <v>45848</v>
      </c>
      <c r="L30">
        <v>-542.22</v>
      </c>
      <c r="M30" t="s">
        <v>129</v>
      </c>
    </row>
    <row r="31" spans="1:13">
      <c r="A31" t="s">
        <v>13</v>
      </c>
      <c r="B31" t="s">
        <v>2057</v>
      </c>
      <c r="C31" t="s">
        <v>130</v>
      </c>
      <c r="D31" s="57">
        <v>45808</v>
      </c>
      <c r="E31" s="57">
        <v>45879</v>
      </c>
      <c r="F31" t="s">
        <v>49</v>
      </c>
      <c r="G31" s="11">
        <v>1923.2</v>
      </c>
      <c r="H31" t="s">
        <v>131</v>
      </c>
      <c r="I31" t="s">
        <v>132</v>
      </c>
      <c r="J31" t="s">
        <v>105</v>
      </c>
      <c r="K31">
        <v>45950</v>
      </c>
      <c r="L31">
        <v>1923.2</v>
      </c>
      <c r="M31" t="s">
        <v>133</v>
      </c>
    </row>
    <row r="32" spans="1:13">
      <c r="A32" t="s">
        <v>13</v>
      </c>
      <c r="B32" t="s">
        <v>2057</v>
      </c>
      <c r="C32" t="s">
        <v>134</v>
      </c>
      <c r="D32" s="57">
        <v>45838</v>
      </c>
      <c r="E32" s="57">
        <v>45910</v>
      </c>
      <c r="F32" t="s">
        <v>16</v>
      </c>
      <c r="G32" s="11">
        <v>2859.9</v>
      </c>
      <c r="H32" t="s">
        <v>135</v>
      </c>
      <c r="I32" t="s">
        <v>132</v>
      </c>
      <c r="J32" t="s">
        <v>110</v>
      </c>
      <c r="K32">
        <v>45910</v>
      </c>
      <c r="L32">
        <v>2859.9</v>
      </c>
      <c r="M32" t="s">
        <v>19</v>
      </c>
    </row>
    <row r="33" spans="1:13">
      <c r="A33" t="s">
        <v>13</v>
      </c>
      <c r="B33" t="s">
        <v>2057</v>
      </c>
      <c r="C33" t="s">
        <v>136</v>
      </c>
      <c r="D33" s="57">
        <v>45900</v>
      </c>
      <c r="E33" s="57">
        <v>45971</v>
      </c>
      <c r="F33" t="s">
        <v>49</v>
      </c>
      <c r="G33" s="11">
        <v>567.29999999999995</v>
      </c>
      <c r="H33" t="s">
        <v>137</v>
      </c>
      <c r="I33" t="s">
        <v>138</v>
      </c>
      <c r="J33" t="s">
        <v>110</v>
      </c>
      <c r="K33">
        <v>45961</v>
      </c>
      <c r="L33">
        <v>567.29999999999995</v>
      </c>
      <c r="M33" t="s">
        <v>19</v>
      </c>
    </row>
    <row r="34" spans="1:13">
      <c r="A34" t="s">
        <v>13</v>
      </c>
      <c r="B34" t="s">
        <v>2057</v>
      </c>
      <c r="C34" t="s">
        <v>139</v>
      </c>
      <c r="D34" s="57">
        <v>45869</v>
      </c>
      <c r="E34" s="57">
        <v>45940</v>
      </c>
      <c r="G34" s="11">
        <v>1244.74</v>
      </c>
      <c r="H34" t="s">
        <v>140</v>
      </c>
      <c r="I34" t="s">
        <v>141</v>
      </c>
      <c r="J34" t="s">
        <v>142</v>
      </c>
      <c r="K34">
        <v>46001</v>
      </c>
      <c r="L34">
        <v>1258.1600000000001</v>
      </c>
      <c r="M34" t="s">
        <v>143</v>
      </c>
    </row>
    <row r="35" spans="1:13">
      <c r="A35" t="s">
        <v>13</v>
      </c>
      <c r="B35" t="s">
        <v>2057</v>
      </c>
      <c r="C35" t="s">
        <v>144</v>
      </c>
      <c r="D35" s="57">
        <v>45930</v>
      </c>
      <c r="E35" s="57">
        <v>46001</v>
      </c>
      <c r="G35" s="11">
        <v>13.42</v>
      </c>
      <c r="H35" t="s">
        <v>145</v>
      </c>
      <c r="I35" t="s">
        <v>46</v>
      </c>
      <c r="J35" t="s">
        <v>142</v>
      </c>
      <c r="K35">
        <v>46001</v>
      </c>
      <c r="L35">
        <v>1258.1600000000001</v>
      </c>
      <c r="M35" t="s">
        <v>143</v>
      </c>
    </row>
    <row r="36" spans="1:13">
      <c r="A36" t="s">
        <v>13</v>
      </c>
      <c r="B36" t="s">
        <v>2057</v>
      </c>
      <c r="G36" s="11">
        <v>13.42</v>
      </c>
      <c r="I36" t="s">
        <v>2368</v>
      </c>
    </row>
    <row r="37" spans="1:13">
      <c r="A37" t="s">
        <v>316</v>
      </c>
      <c r="B37" t="s">
        <v>2369</v>
      </c>
      <c r="C37" t="s">
        <v>174</v>
      </c>
      <c r="D37" s="57">
        <v>45982</v>
      </c>
      <c r="E37" s="57">
        <v>45982</v>
      </c>
      <c r="F37" t="s">
        <v>16</v>
      </c>
      <c r="G37" s="11">
        <v>5.27</v>
      </c>
      <c r="I37" t="s">
        <v>175</v>
      </c>
      <c r="J37" t="s">
        <v>176</v>
      </c>
      <c r="K37">
        <v>45982</v>
      </c>
      <c r="L37">
        <v>5.27</v>
      </c>
      <c r="M37" t="s">
        <v>19</v>
      </c>
    </row>
    <row r="38" spans="1:13">
      <c r="A38" t="s">
        <v>316</v>
      </c>
      <c r="B38" t="s">
        <v>2061</v>
      </c>
      <c r="C38" t="s">
        <v>147</v>
      </c>
      <c r="D38" s="57">
        <v>45687</v>
      </c>
      <c r="E38" s="57">
        <v>45687</v>
      </c>
      <c r="F38" t="s">
        <v>16</v>
      </c>
      <c r="G38" s="11">
        <v>333.48</v>
      </c>
      <c r="H38" t="s">
        <v>148</v>
      </c>
      <c r="I38" t="s">
        <v>149</v>
      </c>
      <c r="J38" t="s">
        <v>150</v>
      </c>
      <c r="K38">
        <v>45687</v>
      </c>
      <c r="L38">
        <v>333.48</v>
      </c>
      <c r="M38" t="s">
        <v>151</v>
      </c>
    </row>
    <row r="39" spans="1:13">
      <c r="A39" t="s">
        <v>316</v>
      </c>
      <c r="B39" t="s">
        <v>2061</v>
      </c>
      <c r="C39" t="s">
        <v>152</v>
      </c>
      <c r="D39" s="57">
        <v>45716</v>
      </c>
      <c r="E39" s="57">
        <v>45716</v>
      </c>
      <c r="F39" t="s">
        <v>16</v>
      </c>
      <c r="G39" s="11">
        <v>244.6</v>
      </c>
      <c r="H39" t="s">
        <v>153</v>
      </c>
      <c r="I39" t="s">
        <v>149</v>
      </c>
      <c r="J39" t="s">
        <v>154</v>
      </c>
      <c r="K39" t="s">
        <v>155</v>
      </c>
      <c r="L39">
        <v>244.6</v>
      </c>
      <c r="M39" t="s">
        <v>151</v>
      </c>
    </row>
    <row r="40" spans="1:13">
      <c r="A40" t="s">
        <v>316</v>
      </c>
      <c r="B40" t="s">
        <v>2061</v>
      </c>
      <c r="C40" t="s">
        <v>156</v>
      </c>
      <c r="D40" s="57">
        <v>45746</v>
      </c>
      <c r="E40" s="57">
        <v>45746</v>
      </c>
      <c r="F40" t="s">
        <v>16</v>
      </c>
      <c r="G40" s="11">
        <v>180.66</v>
      </c>
      <c r="H40" t="s">
        <v>157</v>
      </c>
      <c r="I40" t="s">
        <v>158</v>
      </c>
      <c r="J40" t="s">
        <v>150</v>
      </c>
      <c r="K40">
        <v>45746</v>
      </c>
      <c r="L40">
        <v>180.66</v>
      </c>
      <c r="M40" t="s">
        <v>151</v>
      </c>
    </row>
    <row r="41" spans="1:13">
      <c r="A41" t="s">
        <v>316</v>
      </c>
      <c r="B41" t="s">
        <v>2061</v>
      </c>
      <c r="C41" t="s">
        <v>159</v>
      </c>
      <c r="D41" s="57">
        <v>45777</v>
      </c>
      <c r="E41" s="57">
        <v>45777</v>
      </c>
      <c r="F41" t="s">
        <v>16</v>
      </c>
      <c r="G41" s="11">
        <v>247.8</v>
      </c>
      <c r="H41" t="s">
        <v>160</v>
      </c>
      <c r="I41" t="s">
        <v>158</v>
      </c>
      <c r="J41" t="s">
        <v>150</v>
      </c>
      <c r="K41">
        <v>45777</v>
      </c>
      <c r="L41">
        <v>247.8</v>
      </c>
      <c r="M41" t="s">
        <v>151</v>
      </c>
    </row>
    <row r="42" spans="1:13">
      <c r="A42" t="s">
        <v>316</v>
      </c>
      <c r="B42" t="s">
        <v>2061</v>
      </c>
      <c r="C42" t="s">
        <v>161</v>
      </c>
      <c r="D42" s="57">
        <v>45807</v>
      </c>
      <c r="E42" s="57">
        <v>45807</v>
      </c>
      <c r="F42" t="s">
        <v>16</v>
      </c>
      <c r="G42" s="11">
        <v>400.85</v>
      </c>
      <c r="H42" t="s">
        <v>162</v>
      </c>
      <c r="I42" t="s">
        <v>149</v>
      </c>
      <c r="J42" t="s">
        <v>150</v>
      </c>
      <c r="K42">
        <v>45807</v>
      </c>
      <c r="L42">
        <v>400.85</v>
      </c>
      <c r="M42" t="s">
        <v>151</v>
      </c>
    </row>
    <row r="43" spans="1:13">
      <c r="A43" t="s">
        <v>316</v>
      </c>
      <c r="B43" t="s">
        <v>2061</v>
      </c>
      <c r="C43" t="s">
        <v>163</v>
      </c>
      <c r="D43" s="57">
        <v>45838</v>
      </c>
      <c r="E43" s="57">
        <v>45838</v>
      </c>
      <c r="F43" t="s">
        <v>16</v>
      </c>
      <c r="G43" s="11">
        <v>211.2</v>
      </c>
      <c r="H43" t="s">
        <v>164</v>
      </c>
      <c r="I43" t="s">
        <v>149</v>
      </c>
      <c r="J43" t="s">
        <v>150</v>
      </c>
      <c r="K43">
        <v>45838</v>
      </c>
      <c r="L43">
        <v>211.2</v>
      </c>
      <c r="M43" t="s">
        <v>151</v>
      </c>
    </row>
    <row r="44" spans="1:13">
      <c r="A44" t="s">
        <v>316</v>
      </c>
      <c r="B44" t="s">
        <v>2061</v>
      </c>
      <c r="C44" t="s">
        <v>165</v>
      </c>
      <c r="D44" s="57">
        <v>45868</v>
      </c>
      <c r="E44" s="57">
        <v>45868</v>
      </c>
      <c r="F44" t="s">
        <v>16</v>
      </c>
      <c r="G44" s="11">
        <v>390.35</v>
      </c>
      <c r="H44" t="s">
        <v>166</v>
      </c>
      <c r="I44" t="s">
        <v>149</v>
      </c>
      <c r="J44" t="s">
        <v>150</v>
      </c>
      <c r="K44">
        <v>45868</v>
      </c>
      <c r="L44">
        <v>390.35</v>
      </c>
      <c r="M44" t="s">
        <v>151</v>
      </c>
    </row>
    <row r="45" spans="1:13">
      <c r="A45" t="s">
        <v>316</v>
      </c>
      <c r="B45" t="s">
        <v>2061</v>
      </c>
      <c r="C45" t="s">
        <v>167</v>
      </c>
      <c r="D45" s="57">
        <v>45899</v>
      </c>
      <c r="E45" s="57">
        <v>45899</v>
      </c>
      <c r="F45" t="s">
        <v>16</v>
      </c>
      <c r="G45" s="11">
        <v>267.16000000000003</v>
      </c>
      <c r="H45" t="s">
        <v>168</v>
      </c>
      <c r="I45" t="s">
        <v>149</v>
      </c>
      <c r="J45" t="s">
        <v>150</v>
      </c>
      <c r="K45">
        <v>45899</v>
      </c>
      <c r="L45">
        <v>267.16000000000003</v>
      </c>
      <c r="M45" t="s">
        <v>151</v>
      </c>
    </row>
    <row r="46" spans="1:13">
      <c r="A46" t="s">
        <v>316</v>
      </c>
      <c r="B46" t="s">
        <v>2061</v>
      </c>
      <c r="C46" t="s">
        <v>169</v>
      </c>
      <c r="D46" s="57">
        <v>45930</v>
      </c>
      <c r="E46" s="57">
        <v>45930</v>
      </c>
      <c r="F46" t="s">
        <v>16</v>
      </c>
      <c r="G46" s="11">
        <v>229.8</v>
      </c>
      <c r="H46" t="s">
        <v>170</v>
      </c>
      <c r="I46" t="s">
        <v>149</v>
      </c>
      <c r="J46" t="s">
        <v>150</v>
      </c>
      <c r="K46">
        <v>45930</v>
      </c>
      <c r="L46">
        <v>229.8</v>
      </c>
      <c r="M46" t="s">
        <v>151</v>
      </c>
    </row>
    <row r="47" spans="1:13">
      <c r="B47" t="s">
        <v>2061</v>
      </c>
      <c r="C47" t="s">
        <v>171</v>
      </c>
      <c r="D47" s="57">
        <v>45960</v>
      </c>
      <c r="E47" s="57">
        <v>45960</v>
      </c>
      <c r="F47" t="s">
        <v>49</v>
      </c>
      <c r="G47" s="11">
        <v>116.4</v>
      </c>
      <c r="I47" t="s">
        <v>149</v>
      </c>
      <c r="J47" t="s">
        <v>150</v>
      </c>
      <c r="K47">
        <v>45960</v>
      </c>
      <c r="L47">
        <v>116.4</v>
      </c>
      <c r="M47" t="s">
        <v>151</v>
      </c>
    </row>
    <row r="48" spans="1:13">
      <c r="B48" t="s">
        <v>2061</v>
      </c>
      <c r="C48" t="s">
        <v>172</v>
      </c>
      <c r="D48" s="57">
        <v>45991</v>
      </c>
      <c r="E48" s="57">
        <v>45991</v>
      </c>
      <c r="F48" t="s">
        <v>49</v>
      </c>
      <c r="G48" s="11">
        <v>111.9</v>
      </c>
      <c r="I48" t="s">
        <v>149</v>
      </c>
      <c r="J48" t="s">
        <v>150</v>
      </c>
      <c r="K48">
        <v>45991</v>
      </c>
      <c r="L48">
        <v>111.9</v>
      </c>
      <c r="M48" t="s">
        <v>151</v>
      </c>
    </row>
    <row r="49" spans="1:13">
      <c r="A49">
        <v>2024</v>
      </c>
      <c r="B49" t="s">
        <v>2063</v>
      </c>
      <c r="C49" t="s">
        <v>178</v>
      </c>
      <c r="D49" s="57">
        <v>45628</v>
      </c>
      <c r="F49" t="s">
        <v>16</v>
      </c>
      <c r="G49" s="11">
        <v>737.47</v>
      </c>
    </row>
    <row r="50" spans="1:13">
      <c r="B50" t="s">
        <v>2064</v>
      </c>
      <c r="C50" t="s">
        <v>53</v>
      </c>
      <c r="D50" s="57">
        <v>45712</v>
      </c>
      <c r="F50" t="s">
        <v>16</v>
      </c>
      <c r="G50" s="11">
        <v>447.6</v>
      </c>
      <c r="H50" t="s">
        <v>180</v>
      </c>
      <c r="I50" t="s">
        <v>181</v>
      </c>
      <c r="J50" t="s">
        <v>66</v>
      </c>
    </row>
    <row r="51" spans="1:13">
      <c r="A51">
        <v>2024</v>
      </c>
      <c r="B51" t="s">
        <v>2065</v>
      </c>
      <c r="C51" t="s">
        <v>183</v>
      </c>
      <c r="D51" s="57">
        <v>45363</v>
      </c>
      <c r="F51" t="s">
        <v>16</v>
      </c>
      <c r="G51" s="11">
        <v>180</v>
      </c>
      <c r="I51" t="s">
        <v>184</v>
      </c>
      <c r="J51" t="s">
        <v>185</v>
      </c>
    </row>
    <row r="52" spans="1:13">
      <c r="A52" t="s">
        <v>316</v>
      </c>
      <c r="B52" t="s">
        <v>2068</v>
      </c>
      <c r="C52" t="s">
        <v>187</v>
      </c>
      <c r="D52" s="57">
        <v>45674</v>
      </c>
      <c r="E52" s="57" t="s">
        <v>188</v>
      </c>
      <c r="F52" t="s">
        <v>16</v>
      </c>
      <c r="G52" s="11">
        <v>12801.52</v>
      </c>
      <c r="H52" t="s">
        <v>189</v>
      </c>
      <c r="I52" t="s">
        <v>190</v>
      </c>
      <c r="J52" t="s">
        <v>105</v>
      </c>
      <c r="K52" t="s">
        <v>188</v>
      </c>
      <c r="L52">
        <v>12801.52</v>
      </c>
      <c r="M52" t="s">
        <v>191</v>
      </c>
    </row>
    <row r="53" spans="1:13">
      <c r="A53" t="s">
        <v>316</v>
      </c>
      <c r="B53" t="s">
        <v>2068</v>
      </c>
      <c r="C53" t="s">
        <v>187</v>
      </c>
      <c r="D53" s="57">
        <v>45674</v>
      </c>
      <c r="E53" s="57">
        <v>45747</v>
      </c>
      <c r="F53" t="s">
        <v>16</v>
      </c>
      <c r="G53" s="11">
        <v>12801.52</v>
      </c>
      <c r="H53" t="s">
        <v>189</v>
      </c>
      <c r="I53" t="s">
        <v>190</v>
      </c>
      <c r="J53" t="s">
        <v>105</v>
      </c>
      <c r="K53">
        <v>45747</v>
      </c>
      <c r="L53">
        <v>12801.52</v>
      </c>
      <c r="M53" t="s">
        <v>192</v>
      </c>
    </row>
    <row r="54" spans="1:13">
      <c r="A54" t="s">
        <v>316</v>
      </c>
      <c r="B54" t="s">
        <v>2069</v>
      </c>
      <c r="C54" t="s">
        <v>194</v>
      </c>
      <c r="D54" s="57">
        <v>45665</v>
      </c>
      <c r="E54" s="57">
        <v>45688</v>
      </c>
      <c r="F54" t="s">
        <v>16</v>
      </c>
      <c r="G54" s="11">
        <v>80.52</v>
      </c>
      <c r="H54" t="s">
        <v>195</v>
      </c>
      <c r="I54" t="s">
        <v>196</v>
      </c>
      <c r="J54" t="s">
        <v>197</v>
      </c>
      <c r="K54">
        <v>45688</v>
      </c>
      <c r="L54">
        <v>80.52</v>
      </c>
      <c r="M54" t="s">
        <v>198</v>
      </c>
    </row>
    <row r="55" spans="1:13">
      <c r="A55" t="s">
        <v>199</v>
      </c>
      <c r="B55" t="s">
        <v>2069</v>
      </c>
      <c r="D55" s="57">
        <v>45696</v>
      </c>
      <c r="G55" s="11">
        <v>80.52</v>
      </c>
      <c r="I55" t="s">
        <v>196</v>
      </c>
      <c r="J55" t="s">
        <v>197</v>
      </c>
      <c r="M55" t="s">
        <v>200</v>
      </c>
    </row>
    <row r="56" spans="1:13">
      <c r="A56" t="s">
        <v>199</v>
      </c>
      <c r="B56" t="s">
        <v>2069</v>
      </c>
      <c r="D56" s="57">
        <v>45724</v>
      </c>
      <c r="G56" s="11">
        <v>80.52</v>
      </c>
      <c r="I56" t="s">
        <v>196</v>
      </c>
      <c r="J56" t="s">
        <v>197</v>
      </c>
      <c r="M56" t="s">
        <v>201</v>
      </c>
    </row>
    <row r="57" spans="1:13">
      <c r="A57" t="s">
        <v>316</v>
      </c>
      <c r="B57" t="s">
        <v>2069</v>
      </c>
      <c r="C57" t="s">
        <v>202</v>
      </c>
      <c r="D57" s="57">
        <v>45754</v>
      </c>
      <c r="E57" s="57">
        <v>45748</v>
      </c>
      <c r="F57" t="s">
        <v>49</v>
      </c>
      <c r="G57" s="11">
        <v>80.52</v>
      </c>
      <c r="H57" t="s">
        <v>195</v>
      </c>
      <c r="I57" t="s">
        <v>196</v>
      </c>
      <c r="J57" t="s">
        <v>197</v>
      </c>
      <c r="K57">
        <v>45748</v>
      </c>
      <c r="L57">
        <v>80.52</v>
      </c>
      <c r="M57" t="s">
        <v>203</v>
      </c>
    </row>
    <row r="58" spans="1:13">
      <c r="A58" t="s">
        <v>199</v>
      </c>
      <c r="B58" t="s">
        <v>2069</v>
      </c>
      <c r="D58" s="57">
        <v>45785</v>
      </c>
      <c r="G58" s="11">
        <v>80.52</v>
      </c>
      <c r="I58" t="s">
        <v>196</v>
      </c>
      <c r="J58" t="s">
        <v>197</v>
      </c>
      <c r="M58" t="s">
        <v>200</v>
      </c>
    </row>
    <row r="59" spans="1:13">
      <c r="A59" t="s">
        <v>199</v>
      </c>
      <c r="B59" t="s">
        <v>2069</v>
      </c>
      <c r="D59" s="57">
        <v>45816</v>
      </c>
      <c r="G59" s="11">
        <v>80.52</v>
      </c>
      <c r="I59" t="s">
        <v>196</v>
      </c>
      <c r="J59" t="s">
        <v>197</v>
      </c>
      <c r="M59" t="s">
        <v>201</v>
      </c>
    </row>
    <row r="60" spans="1:13">
      <c r="A60" t="s">
        <v>316</v>
      </c>
      <c r="B60" t="s">
        <v>2069</v>
      </c>
      <c r="C60" t="s">
        <v>204</v>
      </c>
      <c r="D60" s="57">
        <v>45845</v>
      </c>
      <c r="E60" s="57">
        <v>45840</v>
      </c>
      <c r="F60" t="s">
        <v>16</v>
      </c>
      <c r="G60" s="11">
        <v>80.52</v>
      </c>
      <c r="H60" t="s">
        <v>205</v>
      </c>
      <c r="I60" t="s">
        <v>196</v>
      </c>
      <c r="J60" t="s">
        <v>197</v>
      </c>
      <c r="K60">
        <v>45840</v>
      </c>
      <c r="L60">
        <v>80.52</v>
      </c>
      <c r="M60" t="s">
        <v>203</v>
      </c>
    </row>
    <row r="61" spans="1:13">
      <c r="A61" t="s">
        <v>199</v>
      </c>
      <c r="B61" t="s">
        <v>2069</v>
      </c>
      <c r="D61" s="57">
        <v>45877</v>
      </c>
      <c r="G61" s="11">
        <v>80.52</v>
      </c>
      <c r="I61" t="s">
        <v>196</v>
      </c>
      <c r="J61" t="s">
        <v>197</v>
      </c>
      <c r="M61" t="s">
        <v>206</v>
      </c>
    </row>
    <row r="62" spans="1:13">
      <c r="A62" t="s">
        <v>199</v>
      </c>
      <c r="B62" t="s">
        <v>2069</v>
      </c>
      <c r="D62" s="57">
        <v>45908</v>
      </c>
      <c r="G62" s="11">
        <v>80.52</v>
      </c>
      <c r="I62" t="s">
        <v>196</v>
      </c>
      <c r="J62" t="s">
        <v>197</v>
      </c>
      <c r="M62" t="s">
        <v>207</v>
      </c>
    </row>
    <row r="63" spans="1:13">
      <c r="A63" t="s">
        <v>316</v>
      </c>
      <c r="B63" t="s">
        <v>2069</v>
      </c>
      <c r="C63" t="s">
        <v>208</v>
      </c>
      <c r="D63" s="57">
        <v>45937</v>
      </c>
      <c r="E63" s="57">
        <v>45933</v>
      </c>
      <c r="F63" t="s">
        <v>49</v>
      </c>
      <c r="G63" s="11">
        <v>80.52</v>
      </c>
      <c r="H63" t="s">
        <v>209</v>
      </c>
      <c r="I63" t="s">
        <v>196</v>
      </c>
      <c r="J63" t="s">
        <v>197</v>
      </c>
      <c r="K63">
        <v>45933</v>
      </c>
      <c r="L63">
        <v>80.52</v>
      </c>
      <c r="M63" t="s">
        <v>210</v>
      </c>
    </row>
    <row r="64" spans="1:13">
      <c r="A64" t="s">
        <v>219</v>
      </c>
      <c r="B64" t="s">
        <v>2070</v>
      </c>
      <c r="C64" t="s">
        <v>212</v>
      </c>
      <c r="D64" s="57">
        <v>45873</v>
      </c>
      <c r="E64" s="57">
        <v>45873</v>
      </c>
      <c r="G64" s="11">
        <v>218.16</v>
      </c>
      <c r="H64" t="s">
        <v>213</v>
      </c>
      <c r="I64" t="s">
        <v>214</v>
      </c>
      <c r="J64" t="s">
        <v>215</v>
      </c>
    </row>
    <row r="65" spans="1:13">
      <c r="A65" t="s">
        <v>316</v>
      </c>
      <c r="B65" t="s">
        <v>2072</v>
      </c>
      <c r="C65" t="s">
        <v>221</v>
      </c>
      <c r="D65" s="57">
        <v>45688</v>
      </c>
      <c r="E65" s="57">
        <v>45688</v>
      </c>
      <c r="F65" t="s">
        <v>16</v>
      </c>
      <c r="G65" s="11">
        <v>0.61</v>
      </c>
      <c r="H65" t="s">
        <v>222</v>
      </c>
      <c r="I65" t="s">
        <v>196</v>
      </c>
      <c r="J65" t="s">
        <v>223</v>
      </c>
      <c r="K65">
        <v>45688</v>
      </c>
      <c r="L65">
        <v>0.61</v>
      </c>
      <c r="M65" t="s">
        <v>19</v>
      </c>
    </row>
    <row r="66" spans="1:13">
      <c r="A66" t="s">
        <v>316</v>
      </c>
      <c r="B66" t="s">
        <v>2072</v>
      </c>
      <c r="C66" t="s">
        <v>224</v>
      </c>
      <c r="D66" s="57">
        <v>45716</v>
      </c>
      <c r="E66" s="57">
        <v>45716</v>
      </c>
      <c r="F66" t="s">
        <v>16</v>
      </c>
      <c r="G66" s="11">
        <v>0.61</v>
      </c>
      <c r="H66" t="s">
        <v>225</v>
      </c>
      <c r="I66" t="s">
        <v>196</v>
      </c>
      <c r="J66" t="s">
        <v>223</v>
      </c>
      <c r="K66">
        <v>45716</v>
      </c>
      <c r="L66">
        <v>0.61</v>
      </c>
      <c r="M66" t="s">
        <v>19</v>
      </c>
    </row>
    <row r="67" spans="1:13">
      <c r="A67" t="s">
        <v>316</v>
      </c>
      <c r="B67" t="s">
        <v>2072</v>
      </c>
      <c r="C67" t="s">
        <v>226</v>
      </c>
      <c r="D67" s="57">
        <v>45777</v>
      </c>
      <c r="E67" s="57">
        <v>45777</v>
      </c>
      <c r="F67" t="s">
        <v>16</v>
      </c>
      <c r="G67" s="11">
        <v>0.61</v>
      </c>
      <c r="H67" t="s">
        <v>227</v>
      </c>
      <c r="I67" t="s">
        <v>196</v>
      </c>
      <c r="J67" t="s">
        <v>223</v>
      </c>
      <c r="K67">
        <v>45777</v>
      </c>
      <c r="L67">
        <v>0.61</v>
      </c>
      <c r="M67" t="s">
        <v>19</v>
      </c>
    </row>
    <row r="68" spans="1:13">
      <c r="A68" t="s">
        <v>316</v>
      </c>
      <c r="B68" t="s">
        <v>2072</v>
      </c>
      <c r="C68" t="s">
        <v>228</v>
      </c>
      <c r="D68" s="57">
        <v>45807</v>
      </c>
      <c r="E68" s="57">
        <v>45807</v>
      </c>
      <c r="F68" t="s">
        <v>16</v>
      </c>
      <c r="G68" s="11">
        <v>0.61</v>
      </c>
      <c r="H68" t="s">
        <v>229</v>
      </c>
      <c r="I68" t="s">
        <v>196</v>
      </c>
      <c r="J68" t="s">
        <v>223</v>
      </c>
      <c r="K68">
        <v>45807</v>
      </c>
      <c r="L68">
        <v>0.61</v>
      </c>
      <c r="M68" t="s">
        <v>19</v>
      </c>
    </row>
    <row r="69" spans="1:13">
      <c r="A69" t="s">
        <v>316</v>
      </c>
      <c r="B69" t="s">
        <v>2072</v>
      </c>
      <c r="C69" t="s">
        <v>230</v>
      </c>
      <c r="D69" s="57">
        <v>45838</v>
      </c>
      <c r="E69" s="57">
        <v>45838</v>
      </c>
      <c r="F69" t="s">
        <v>16</v>
      </c>
      <c r="G69" s="11">
        <v>0.61</v>
      </c>
      <c r="H69" t="s">
        <v>231</v>
      </c>
      <c r="I69" t="s">
        <v>196</v>
      </c>
      <c r="J69" t="s">
        <v>223</v>
      </c>
      <c r="K69">
        <v>45838</v>
      </c>
      <c r="L69">
        <v>0.61</v>
      </c>
      <c r="M69" t="s">
        <v>19</v>
      </c>
    </row>
    <row r="70" spans="1:13">
      <c r="A70" t="s">
        <v>316</v>
      </c>
      <c r="B70" t="s">
        <v>2072</v>
      </c>
      <c r="C70" t="s">
        <v>232</v>
      </c>
      <c r="D70" s="57">
        <v>45869</v>
      </c>
      <c r="E70" s="57">
        <v>45869</v>
      </c>
      <c r="F70" t="s">
        <v>16</v>
      </c>
      <c r="G70" s="11">
        <v>0.61</v>
      </c>
      <c r="H70" t="s">
        <v>233</v>
      </c>
      <c r="I70" t="s">
        <v>196</v>
      </c>
      <c r="J70" t="s">
        <v>223</v>
      </c>
      <c r="K70">
        <v>45869</v>
      </c>
      <c r="L70">
        <v>0.61</v>
      </c>
      <c r="M70" t="s">
        <v>19</v>
      </c>
    </row>
    <row r="71" spans="1:13">
      <c r="A71" t="s">
        <v>316</v>
      </c>
      <c r="B71" t="s">
        <v>2072</v>
      </c>
      <c r="C71" t="s">
        <v>234</v>
      </c>
      <c r="D71" s="57">
        <v>45898</v>
      </c>
      <c r="E71" s="57">
        <v>45898</v>
      </c>
      <c r="F71" t="s">
        <v>16</v>
      </c>
      <c r="G71" s="11">
        <v>0.61</v>
      </c>
      <c r="H71" t="s">
        <v>235</v>
      </c>
      <c r="I71" t="s">
        <v>196</v>
      </c>
      <c r="J71" t="s">
        <v>223</v>
      </c>
      <c r="K71">
        <v>45898</v>
      </c>
      <c r="L71">
        <v>0.61</v>
      </c>
      <c r="M71" t="s">
        <v>19</v>
      </c>
    </row>
    <row r="72" spans="1:13">
      <c r="A72" t="s">
        <v>316</v>
      </c>
      <c r="B72" t="s">
        <v>2072</v>
      </c>
      <c r="C72" t="s">
        <v>236</v>
      </c>
      <c r="D72" s="57">
        <v>45930</v>
      </c>
      <c r="E72" s="57">
        <v>45930</v>
      </c>
      <c r="F72" t="s">
        <v>16</v>
      </c>
      <c r="G72" s="11">
        <v>0.61</v>
      </c>
      <c r="H72" t="s">
        <v>237</v>
      </c>
      <c r="I72" t="s">
        <v>196</v>
      </c>
      <c r="J72" t="s">
        <v>223</v>
      </c>
      <c r="K72">
        <v>45930</v>
      </c>
      <c r="L72">
        <v>0.61</v>
      </c>
      <c r="M72" t="s">
        <v>19</v>
      </c>
    </row>
    <row r="73" spans="1:13">
      <c r="A73" t="s">
        <v>316</v>
      </c>
      <c r="B73" t="s">
        <v>2072</v>
      </c>
      <c r="C73" t="s">
        <v>238</v>
      </c>
      <c r="D73" s="57">
        <v>45961</v>
      </c>
      <c r="E73" s="57">
        <v>45961</v>
      </c>
      <c r="F73" t="s">
        <v>16</v>
      </c>
      <c r="G73" s="11">
        <v>0.61</v>
      </c>
      <c r="I73" t="s">
        <v>196</v>
      </c>
      <c r="J73" t="s">
        <v>223</v>
      </c>
      <c r="K73">
        <v>45961</v>
      </c>
      <c r="L73">
        <v>0.61</v>
      </c>
      <c r="M73" t="s">
        <v>19</v>
      </c>
    </row>
    <row r="74" spans="1:13">
      <c r="B74" t="s">
        <v>2072</v>
      </c>
      <c r="C74" t="s">
        <v>239</v>
      </c>
      <c r="D74" s="57">
        <v>45989</v>
      </c>
      <c r="E74" s="57">
        <v>45989</v>
      </c>
      <c r="F74" t="s">
        <v>49</v>
      </c>
      <c r="G74" s="11">
        <v>0.61</v>
      </c>
      <c r="I74" t="s">
        <v>196</v>
      </c>
      <c r="J74" t="s">
        <v>223</v>
      </c>
      <c r="K74">
        <v>45989</v>
      </c>
      <c r="L74">
        <v>0.61</v>
      </c>
      <c r="M74" t="s">
        <v>19</v>
      </c>
    </row>
    <row r="75" spans="1:13">
      <c r="A75">
        <v>2020</v>
      </c>
      <c r="B75" t="s">
        <v>2074</v>
      </c>
      <c r="C75" t="s">
        <v>2075</v>
      </c>
      <c r="D75" s="57">
        <v>44096</v>
      </c>
      <c r="G75" s="11">
        <v>859.92</v>
      </c>
      <c r="H75" t="s">
        <v>2370</v>
      </c>
      <c r="I75" t="s">
        <v>2076</v>
      </c>
      <c r="J75" t="s">
        <v>56</v>
      </c>
    </row>
    <row r="76" spans="1:13">
      <c r="A76">
        <v>2020</v>
      </c>
      <c r="B76" t="s">
        <v>2074</v>
      </c>
      <c r="C76" t="s">
        <v>2075</v>
      </c>
      <c r="D76" s="57">
        <v>44096</v>
      </c>
      <c r="F76" t="s">
        <v>16</v>
      </c>
      <c r="G76" s="11">
        <v>160</v>
      </c>
      <c r="I76" t="s">
        <v>2076</v>
      </c>
      <c r="J76" t="s">
        <v>185</v>
      </c>
    </row>
    <row r="77" spans="1:13">
      <c r="A77">
        <v>2023</v>
      </c>
      <c r="B77" t="s">
        <v>2074</v>
      </c>
      <c r="C77" t="s">
        <v>241</v>
      </c>
      <c r="D77" s="57">
        <v>45155</v>
      </c>
      <c r="E77" s="57">
        <v>45240</v>
      </c>
      <c r="G77" s="11">
        <v>3869.64</v>
      </c>
      <c r="H77" t="s">
        <v>242</v>
      </c>
      <c r="I77" t="s">
        <v>243</v>
      </c>
      <c r="J77" t="s">
        <v>56</v>
      </c>
    </row>
    <row r="78" spans="1:13">
      <c r="A78">
        <v>2023</v>
      </c>
      <c r="B78" t="s">
        <v>2074</v>
      </c>
      <c r="C78" t="s">
        <v>241</v>
      </c>
      <c r="D78" s="57">
        <v>45155</v>
      </c>
      <c r="F78" t="s">
        <v>16</v>
      </c>
      <c r="G78" s="11">
        <v>720</v>
      </c>
      <c r="I78" t="s">
        <v>243</v>
      </c>
      <c r="J78" t="s">
        <v>185</v>
      </c>
    </row>
    <row r="79" spans="1:13">
      <c r="A79" t="s">
        <v>316</v>
      </c>
      <c r="B79" t="s">
        <v>2074</v>
      </c>
      <c r="C79" t="s">
        <v>244</v>
      </c>
      <c r="D79" s="57">
        <v>45946</v>
      </c>
      <c r="E79" s="57">
        <v>45946</v>
      </c>
      <c r="F79" t="s">
        <v>49</v>
      </c>
      <c r="G79" s="11">
        <v>859.92</v>
      </c>
      <c r="I79" t="s">
        <v>245</v>
      </c>
      <c r="J79" t="s">
        <v>56</v>
      </c>
      <c r="K79">
        <v>45945</v>
      </c>
      <c r="L79">
        <v>859.92</v>
      </c>
      <c r="M79" t="s">
        <v>246</v>
      </c>
    </row>
    <row r="80" spans="1:13">
      <c r="A80" t="s">
        <v>316</v>
      </c>
      <c r="B80" t="s">
        <v>2074</v>
      </c>
      <c r="C80" t="s">
        <v>244</v>
      </c>
      <c r="D80" s="57">
        <v>45946</v>
      </c>
      <c r="E80" s="57">
        <v>45977</v>
      </c>
      <c r="G80" s="11">
        <v>160</v>
      </c>
      <c r="I80" t="s">
        <v>245</v>
      </c>
      <c r="J80" t="s">
        <v>185</v>
      </c>
      <c r="K80">
        <v>45977</v>
      </c>
      <c r="L80">
        <v>160</v>
      </c>
    </row>
    <row r="81" spans="1:13">
      <c r="A81" t="s">
        <v>316</v>
      </c>
      <c r="B81" t="s">
        <v>2074</v>
      </c>
      <c r="C81" t="s">
        <v>247</v>
      </c>
      <c r="D81" s="57">
        <v>45946</v>
      </c>
      <c r="E81" s="57">
        <v>45946</v>
      </c>
      <c r="F81" t="s">
        <v>49</v>
      </c>
      <c r="G81" s="11">
        <v>1140.08</v>
      </c>
      <c r="I81" t="s">
        <v>248</v>
      </c>
      <c r="J81" t="s">
        <v>56</v>
      </c>
      <c r="K81">
        <v>45945</v>
      </c>
      <c r="L81">
        <v>1140.08</v>
      </c>
      <c r="M81" t="s">
        <v>246</v>
      </c>
    </row>
    <row r="82" spans="1:13">
      <c r="A82" t="s">
        <v>316</v>
      </c>
      <c r="B82" t="s">
        <v>2074</v>
      </c>
      <c r="C82" t="s">
        <v>247</v>
      </c>
      <c r="D82" s="57">
        <v>45946</v>
      </c>
      <c r="E82" s="57">
        <v>45977</v>
      </c>
      <c r="G82" s="11">
        <v>212.13</v>
      </c>
      <c r="I82" t="s">
        <v>248</v>
      </c>
      <c r="J82" t="s">
        <v>185</v>
      </c>
      <c r="K82">
        <v>45977</v>
      </c>
      <c r="L82">
        <v>212.13</v>
      </c>
    </row>
    <row r="83" spans="1:13">
      <c r="A83" t="s">
        <v>316</v>
      </c>
      <c r="B83" t="s">
        <v>2074</v>
      </c>
      <c r="C83" t="s">
        <v>249</v>
      </c>
      <c r="D83" s="57">
        <v>45964</v>
      </c>
      <c r="E83" s="57">
        <v>45960</v>
      </c>
      <c r="F83" t="s">
        <v>16</v>
      </c>
      <c r="G83" s="11">
        <v>2000</v>
      </c>
      <c r="I83" t="s">
        <v>250</v>
      </c>
      <c r="J83" t="s">
        <v>56</v>
      </c>
      <c r="K83">
        <v>45960</v>
      </c>
      <c r="L83">
        <v>2000</v>
      </c>
      <c r="M83" t="s">
        <v>246</v>
      </c>
    </row>
    <row r="84" spans="1:13">
      <c r="A84" t="s">
        <v>316</v>
      </c>
      <c r="B84" t="s">
        <v>2074</v>
      </c>
      <c r="C84" t="s">
        <v>249</v>
      </c>
      <c r="D84" s="57">
        <v>45660</v>
      </c>
      <c r="E84" s="57">
        <v>45977</v>
      </c>
      <c r="G84" s="11">
        <v>372.13</v>
      </c>
      <c r="I84" t="s">
        <v>250</v>
      </c>
      <c r="J84" t="s">
        <v>185</v>
      </c>
      <c r="K84">
        <v>45977</v>
      </c>
      <c r="L84">
        <v>372.13</v>
      </c>
    </row>
    <row r="85" spans="1:13">
      <c r="A85">
        <v>2023</v>
      </c>
      <c r="B85" t="s">
        <v>2079</v>
      </c>
      <c r="C85" t="s">
        <v>252</v>
      </c>
      <c r="D85" s="57">
        <v>45192</v>
      </c>
      <c r="F85" t="s">
        <v>16</v>
      </c>
      <c r="G85" s="11">
        <v>693.68</v>
      </c>
      <c r="I85" t="s">
        <v>253</v>
      </c>
      <c r="J85" t="s">
        <v>185</v>
      </c>
    </row>
    <row r="86" spans="1:13">
      <c r="A86">
        <v>2023</v>
      </c>
      <c r="B86" t="s">
        <v>2079</v>
      </c>
      <c r="C86" t="s">
        <v>255</v>
      </c>
      <c r="D86" s="57">
        <v>45226</v>
      </c>
      <c r="F86" t="s">
        <v>16</v>
      </c>
      <c r="G86" s="11">
        <v>380.19</v>
      </c>
      <c r="I86" t="s">
        <v>257</v>
      </c>
      <c r="J86" t="s">
        <v>185</v>
      </c>
    </row>
    <row r="87" spans="1:13">
      <c r="A87">
        <v>2023</v>
      </c>
      <c r="B87" t="s">
        <v>2079</v>
      </c>
      <c r="C87" t="s">
        <v>258</v>
      </c>
      <c r="D87" s="57">
        <v>45236</v>
      </c>
      <c r="F87" t="s">
        <v>16</v>
      </c>
      <c r="G87" s="11">
        <v>230</v>
      </c>
      <c r="I87" t="s">
        <v>257</v>
      </c>
      <c r="J87" t="s">
        <v>185</v>
      </c>
    </row>
    <row r="88" spans="1:13">
      <c r="A88">
        <v>2023</v>
      </c>
      <c r="B88" t="s">
        <v>2079</v>
      </c>
      <c r="C88" t="s">
        <v>260</v>
      </c>
      <c r="D88" s="57">
        <v>45250</v>
      </c>
      <c r="F88" t="s">
        <v>16</v>
      </c>
      <c r="G88" s="11">
        <v>184</v>
      </c>
      <c r="I88" t="s">
        <v>257</v>
      </c>
      <c r="J88" t="s">
        <v>185</v>
      </c>
    </row>
    <row r="89" spans="1:13">
      <c r="A89">
        <v>2023</v>
      </c>
      <c r="B89" t="s">
        <v>2079</v>
      </c>
      <c r="C89" t="s">
        <v>262</v>
      </c>
      <c r="D89" s="57">
        <v>45260</v>
      </c>
      <c r="F89" t="s">
        <v>16</v>
      </c>
      <c r="G89" s="11">
        <v>227.3</v>
      </c>
      <c r="I89" t="s">
        <v>257</v>
      </c>
      <c r="J89" t="s">
        <v>185</v>
      </c>
    </row>
    <row r="90" spans="1:13">
      <c r="A90">
        <v>2024</v>
      </c>
      <c r="B90" t="s">
        <v>2079</v>
      </c>
      <c r="C90" t="s">
        <v>264</v>
      </c>
      <c r="D90" s="57">
        <v>45566</v>
      </c>
      <c r="E90" s="57">
        <v>45673</v>
      </c>
      <c r="F90" t="s">
        <v>16</v>
      </c>
      <c r="G90" s="11">
        <v>262.19</v>
      </c>
      <c r="J90" t="s">
        <v>185</v>
      </c>
    </row>
    <row r="91" spans="1:13">
      <c r="A91" t="s">
        <v>90</v>
      </c>
      <c r="B91" t="s">
        <v>2079</v>
      </c>
      <c r="C91" t="s">
        <v>265</v>
      </c>
      <c r="D91" s="57">
        <v>45740</v>
      </c>
      <c r="E91" s="57">
        <v>45740</v>
      </c>
      <c r="G91" s="11">
        <v>1282.19</v>
      </c>
      <c r="H91" t="s">
        <v>266</v>
      </c>
      <c r="I91" t="s">
        <v>267</v>
      </c>
      <c r="J91" t="s">
        <v>56</v>
      </c>
    </row>
    <row r="92" spans="1:13">
      <c r="A92" t="s">
        <v>90</v>
      </c>
      <c r="B92" t="s">
        <v>2079</v>
      </c>
      <c r="C92" t="s">
        <v>265</v>
      </c>
      <c r="D92" s="57">
        <v>45740</v>
      </c>
      <c r="E92" s="57">
        <v>45763</v>
      </c>
      <c r="G92" s="11">
        <v>197.8</v>
      </c>
      <c r="J92" t="s">
        <v>185</v>
      </c>
    </row>
    <row r="93" spans="1:13">
      <c r="A93" t="s">
        <v>90</v>
      </c>
      <c r="B93" t="s">
        <v>2084</v>
      </c>
      <c r="C93" t="s">
        <v>269</v>
      </c>
      <c r="D93" s="57">
        <v>45473</v>
      </c>
      <c r="E93" s="57">
        <v>45514</v>
      </c>
      <c r="G93" s="11">
        <v>643.05999999999995</v>
      </c>
      <c r="H93" t="s">
        <v>270</v>
      </c>
      <c r="I93" t="s">
        <v>271</v>
      </c>
      <c r="J93" t="s">
        <v>56</v>
      </c>
    </row>
    <row r="94" spans="1:13">
      <c r="A94" t="s">
        <v>90</v>
      </c>
      <c r="B94" t="s">
        <v>2084</v>
      </c>
      <c r="C94" t="s">
        <v>272</v>
      </c>
      <c r="D94" s="57">
        <v>45504</v>
      </c>
      <c r="E94" s="57">
        <v>45545</v>
      </c>
      <c r="G94" s="11">
        <v>1381.35</v>
      </c>
      <c r="H94" t="s">
        <v>273</v>
      </c>
      <c r="I94" t="s">
        <v>274</v>
      </c>
      <c r="J94" t="s">
        <v>56</v>
      </c>
    </row>
    <row r="95" spans="1:13">
      <c r="A95" t="s">
        <v>275</v>
      </c>
      <c r="B95" t="s">
        <v>2085</v>
      </c>
      <c r="C95" t="s">
        <v>277</v>
      </c>
      <c r="D95" s="57">
        <v>45787</v>
      </c>
      <c r="F95" t="s">
        <v>16</v>
      </c>
      <c r="G95" s="11">
        <v>111</v>
      </c>
      <c r="H95" t="s">
        <v>278</v>
      </c>
      <c r="I95" t="s">
        <v>279</v>
      </c>
      <c r="K95">
        <v>45787</v>
      </c>
      <c r="L95">
        <v>111</v>
      </c>
    </row>
    <row r="96" spans="1:13">
      <c r="A96" t="s">
        <v>275</v>
      </c>
      <c r="B96" t="s">
        <v>2089</v>
      </c>
      <c r="C96" t="s">
        <v>281</v>
      </c>
      <c r="D96" s="57">
        <v>45807</v>
      </c>
      <c r="E96" s="57">
        <v>45838</v>
      </c>
      <c r="F96" t="s">
        <v>16</v>
      </c>
      <c r="G96" s="11">
        <v>314.64</v>
      </c>
      <c r="H96" t="s">
        <v>282</v>
      </c>
      <c r="I96" t="s">
        <v>283</v>
      </c>
      <c r="J96" t="s">
        <v>56</v>
      </c>
    </row>
    <row r="97" spans="1:13">
      <c r="A97" t="s">
        <v>13</v>
      </c>
      <c r="B97" t="s">
        <v>2090</v>
      </c>
      <c r="C97" t="s">
        <v>285</v>
      </c>
      <c r="D97" s="57">
        <v>45733</v>
      </c>
      <c r="E97" s="57">
        <v>45733</v>
      </c>
      <c r="F97" t="s">
        <v>16</v>
      </c>
      <c r="G97" s="11">
        <v>233.02</v>
      </c>
      <c r="H97" t="s">
        <v>286</v>
      </c>
      <c r="I97" t="s">
        <v>287</v>
      </c>
      <c r="J97" t="s">
        <v>56</v>
      </c>
      <c r="K97">
        <v>45736</v>
      </c>
      <c r="L97">
        <v>233.02</v>
      </c>
      <c r="M97" t="s">
        <v>288</v>
      </c>
    </row>
    <row r="98" spans="1:13">
      <c r="A98" t="s">
        <v>13</v>
      </c>
      <c r="B98" t="s">
        <v>2090</v>
      </c>
      <c r="C98" t="s">
        <v>289</v>
      </c>
      <c r="D98" s="57">
        <v>45777</v>
      </c>
      <c r="E98" s="57">
        <v>45777</v>
      </c>
      <c r="F98" t="s">
        <v>16</v>
      </c>
      <c r="G98" s="11">
        <v>142.74</v>
      </c>
      <c r="H98" t="s">
        <v>290</v>
      </c>
      <c r="I98" t="s">
        <v>291</v>
      </c>
      <c r="J98" t="s">
        <v>66</v>
      </c>
      <c r="K98">
        <v>45817</v>
      </c>
      <c r="L98">
        <v>142.74</v>
      </c>
      <c r="M98" t="s">
        <v>198</v>
      </c>
    </row>
    <row r="99" spans="1:13">
      <c r="A99" t="s">
        <v>292</v>
      </c>
      <c r="B99" t="s">
        <v>2090</v>
      </c>
      <c r="C99" t="s">
        <v>293</v>
      </c>
      <c r="D99" s="57">
        <v>45824</v>
      </c>
      <c r="E99" s="57">
        <v>45824</v>
      </c>
      <c r="F99" t="s">
        <v>16</v>
      </c>
      <c r="G99" s="11">
        <v>126.88</v>
      </c>
      <c r="H99" t="s">
        <v>294</v>
      </c>
      <c r="I99" t="s">
        <v>295</v>
      </c>
      <c r="J99" t="s">
        <v>66</v>
      </c>
      <c r="K99">
        <v>45833</v>
      </c>
      <c r="L99">
        <v>126.88</v>
      </c>
      <c r="M99" t="s">
        <v>296</v>
      </c>
    </row>
    <row r="100" spans="1:13">
      <c r="A100" t="s">
        <v>13</v>
      </c>
      <c r="B100" t="s">
        <v>2090</v>
      </c>
      <c r="C100" t="s">
        <v>297</v>
      </c>
      <c r="D100" s="57">
        <v>45841</v>
      </c>
      <c r="E100" s="57">
        <v>45841</v>
      </c>
      <c r="F100" t="s">
        <v>49</v>
      </c>
      <c r="G100" s="11">
        <v>220.82</v>
      </c>
      <c r="H100" t="s">
        <v>298</v>
      </c>
      <c r="I100" t="s">
        <v>299</v>
      </c>
      <c r="J100" t="s">
        <v>66</v>
      </c>
      <c r="K100">
        <v>46310</v>
      </c>
      <c r="L100">
        <v>220.82</v>
      </c>
      <c r="M100" t="s">
        <v>246</v>
      </c>
    </row>
    <row r="101" spans="1:13">
      <c r="A101" t="s">
        <v>13</v>
      </c>
      <c r="B101" t="s">
        <v>2090</v>
      </c>
      <c r="C101" t="s">
        <v>300</v>
      </c>
      <c r="D101" s="57">
        <v>45862</v>
      </c>
      <c r="E101" s="57">
        <v>45862</v>
      </c>
      <c r="F101" t="s">
        <v>49</v>
      </c>
      <c r="G101" s="11">
        <v>68.319999999999993</v>
      </c>
      <c r="H101" t="s">
        <v>301</v>
      </c>
      <c r="I101" t="s">
        <v>302</v>
      </c>
      <c r="J101" t="s">
        <v>66</v>
      </c>
      <c r="K101">
        <v>46310</v>
      </c>
      <c r="L101">
        <v>68.319999999999993</v>
      </c>
      <c r="M101" t="s">
        <v>246</v>
      </c>
    </row>
    <row r="102" spans="1:13">
      <c r="A102" t="s">
        <v>13</v>
      </c>
      <c r="B102" t="s">
        <v>2090</v>
      </c>
      <c r="C102" t="s">
        <v>303</v>
      </c>
      <c r="D102" s="57">
        <v>45897</v>
      </c>
      <c r="E102" s="57">
        <v>45897</v>
      </c>
      <c r="F102" t="s">
        <v>49</v>
      </c>
      <c r="G102" s="11">
        <v>395.25</v>
      </c>
      <c r="H102" t="s">
        <v>304</v>
      </c>
      <c r="I102" t="s">
        <v>305</v>
      </c>
      <c r="J102" t="s">
        <v>66</v>
      </c>
      <c r="K102">
        <v>46310</v>
      </c>
      <c r="L102">
        <v>395.25</v>
      </c>
      <c r="M102" t="s">
        <v>246</v>
      </c>
    </row>
    <row r="103" spans="1:13">
      <c r="A103" t="s">
        <v>306</v>
      </c>
      <c r="B103" t="s">
        <v>2090</v>
      </c>
      <c r="C103" t="s">
        <v>2093</v>
      </c>
      <c r="D103" s="57">
        <v>45824</v>
      </c>
      <c r="G103" s="11">
        <v>126.88</v>
      </c>
      <c r="H103" t="s">
        <v>294</v>
      </c>
      <c r="I103" t="s">
        <v>307</v>
      </c>
      <c r="J103" t="s">
        <v>308</v>
      </c>
    </row>
    <row r="104" spans="1:13">
      <c r="A104" t="s">
        <v>13</v>
      </c>
      <c r="B104" t="s">
        <v>2094</v>
      </c>
      <c r="C104" t="s">
        <v>310</v>
      </c>
      <c r="D104" s="57">
        <v>45868</v>
      </c>
      <c r="E104" s="57">
        <v>45869</v>
      </c>
      <c r="F104" t="s">
        <v>16</v>
      </c>
      <c r="G104" s="11">
        <v>10000</v>
      </c>
      <c r="H104" t="s">
        <v>311</v>
      </c>
      <c r="I104" t="s">
        <v>312</v>
      </c>
      <c r="J104" t="s">
        <v>66</v>
      </c>
      <c r="K104">
        <v>45869</v>
      </c>
      <c r="L104">
        <v>10000</v>
      </c>
      <c r="M104" t="s">
        <v>19</v>
      </c>
    </row>
    <row r="105" spans="1:13">
      <c r="A105" t="s">
        <v>13</v>
      </c>
      <c r="B105" t="s">
        <v>2094</v>
      </c>
      <c r="C105" t="s">
        <v>310</v>
      </c>
      <c r="D105" s="57">
        <v>45868</v>
      </c>
      <c r="E105" s="57">
        <v>45923</v>
      </c>
      <c r="F105" t="s">
        <v>49</v>
      </c>
      <c r="G105" s="11">
        <v>10000</v>
      </c>
      <c r="I105" t="s">
        <v>312</v>
      </c>
      <c r="J105" t="s">
        <v>66</v>
      </c>
      <c r="K105">
        <v>45923</v>
      </c>
      <c r="L105">
        <v>10000</v>
      </c>
      <c r="M105" t="s">
        <v>313</v>
      </c>
    </row>
    <row r="106" spans="1:13">
      <c r="A106" t="s">
        <v>13</v>
      </c>
      <c r="B106" t="s">
        <v>2094</v>
      </c>
      <c r="C106" t="s">
        <v>310</v>
      </c>
      <c r="D106" s="57">
        <v>45868</v>
      </c>
      <c r="E106" s="57">
        <v>45944</v>
      </c>
      <c r="F106" t="s">
        <v>49</v>
      </c>
      <c r="G106" s="11">
        <v>5000</v>
      </c>
      <c r="I106" t="s">
        <v>312</v>
      </c>
      <c r="J106" t="s">
        <v>66</v>
      </c>
      <c r="K106">
        <v>45944</v>
      </c>
      <c r="L106">
        <v>5000</v>
      </c>
      <c r="M106" t="s">
        <v>313</v>
      </c>
    </row>
    <row r="107" spans="1:13">
      <c r="A107" t="s">
        <v>13</v>
      </c>
      <c r="B107" t="s">
        <v>2094</v>
      </c>
      <c r="C107" t="s">
        <v>310</v>
      </c>
      <c r="D107" s="57">
        <v>45868</v>
      </c>
      <c r="E107" s="57">
        <v>45947</v>
      </c>
      <c r="F107" t="s">
        <v>49</v>
      </c>
      <c r="G107" s="11">
        <v>5000</v>
      </c>
      <c r="I107" t="s">
        <v>312</v>
      </c>
      <c r="J107" t="s">
        <v>66</v>
      </c>
      <c r="K107">
        <v>45947</v>
      </c>
      <c r="L107">
        <v>5000</v>
      </c>
      <c r="M107" t="s">
        <v>313</v>
      </c>
    </row>
    <row r="108" spans="1:13">
      <c r="A108" t="s">
        <v>13</v>
      </c>
      <c r="B108" t="s">
        <v>2094</v>
      </c>
      <c r="C108" t="s">
        <v>310</v>
      </c>
      <c r="D108" s="57">
        <v>45868</v>
      </c>
      <c r="E108" s="57">
        <v>45952</v>
      </c>
      <c r="F108" t="s">
        <v>49</v>
      </c>
      <c r="G108" s="11">
        <v>10000</v>
      </c>
      <c r="I108" t="s">
        <v>312</v>
      </c>
      <c r="J108" t="s">
        <v>66</v>
      </c>
      <c r="K108">
        <v>45952</v>
      </c>
      <c r="L108">
        <v>10000</v>
      </c>
      <c r="M108" t="s">
        <v>313</v>
      </c>
    </row>
    <row r="109" spans="1:13">
      <c r="A109" t="s">
        <v>13</v>
      </c>
      <c r="B109" t="s">
        <v>2094</v>
      </c>
      <c r="C109" t="s">
        <v>314</v>
      </c>
      <c r="D109" s="57">
        <v>45958</v>
      </c>
      <c r="E109" s="57">
        <v>45958</v>
      </c>
      <c r="G109" s="11">
        <v>30000</v>
      </c>
      <c r="I109" t="s">
        <v>312</v>
      </c>
      <c r="J109" t="s">
        <v>83</v>
      </c>
    </row>
    <row r="110" spans="1:13">
      <c r="A110" t="s">
        <v>13</v>
      </c>
      <c r="B110" t="s">
        <v>2094</v>
      </c>
      <c r="C110" t="s">
        <v>314</v>
      </c>
      <c r="G110" s="11">
        <v>10008</v>
      </c>
      <c r="I110" t="s">
        <v>312</v>
      </c>
      <c r="J110" t="s">
        <v>83</v>
      </c>
      <c r="K110">
        <v>45974</v>
      </c>
      <c r="L110">
        <v>19992</v>
      </c>
      <c r="M110" t="s">
        <v>315</v>
      </c>
    </row>
    <row r="111" spans="1:13">
      <c r="B111" t="s">
        <v>2094</v>
      </c>
      <c r="C111" t="s">
        <v>314</v>
      </c>
      <c r="I111" t="s">
        <v>312</v>
      </c>
    </row>
    <row r="112" spans="1:13">
      <c r="A112" t="s">
        <v>316</v>
      </c>
      <c r="B112" t="s">
        <v>2094</v>
      </c>
      <c r="C112" t="s">
        <v>317</v>
      </c>
      <c r="D112" s="57">
        <v>45978</v>
      </c>
      <c r="E112" s="57">
        <v>45978</v>
      </c>
      <c r="G112" s="11">
        <v>30000</v>
      </c>
      <c r="I112" t="s">
        <v>312</v>
      </c>
      <c r="J112" t="s">
        <v>83</v>
      </c>
    </row>
    <row r="113" spans="1:13">
      <c r="A113" t="s">
        <v>13</v>
      </c>
      <c r="B113" t="s">
        <v>2098</v>
      </c>
      <c r="C113" t="s">
        <v>319</v>
      </c>
      <c r="D113" s="57">
        <v>45672</v>
      </c>
      <c r="E113" s="57">
        <v>45716</v>
      </c>
      <c r="F113" t="s">
        <v>16</v>
      </c>
      <c r="G113" s="11">
        <v>2685.5</v>
      </c>
      <c r="H113" t="s">
        <v>320</v>
      </c>
      <c r="I113" t="s">
        <v>321</v>
      </c>
      <c r="K113">
        <v>45733</v>
      </c>
      <c r="L113">
        <v>4138.68</v>
      </c>
      <c r="M113" t="s">
        <v>111</v>
      </c>
    </row>
    <row r="114" spans="1:13">
      <c r="A114" t="s">
        <v>13</v>
      </c>
      <c r="B114" t="s">
        <v>2098</v>
      </c>
      <c r="C114" t="s">
        <v>322</v>
      </c>
      <c r="D114" s="57">
        <v>45703</v>
      </c>
      <c r="E114" s="57">
        <v>45747</v>
      </c>
      <c r="F114" t="s">
        <v>16</v>
      </c>
      <c r="G114" s="11">
        <v>2906.35</v>
      </c>
      <c r="K114">
        <v>45733</v>
      </c>
      <c r="L114">
        <v>1453.18</v>
      </c>
      <c r="M114" t="s">
        <v>111</v>
      </c>
    </row>
    <row r="115" spans="1:13">
      <c r="A115" t="s">
        <v>13</v>
      </c>
      <c r="B115" t="s">
        <v>2098</v>
      </c>
      <c r="C115" t="s">
        <v>322</v>
      </c>
      <c r="D115" s="57">
        <v>45703</v>
      </c>
      <c r="E115" s="57">
        <v>45747</v>
      </c>
      <c r="F115" t="s">
        <v>16</v>
      </c>
      <c r="G115" s="11">
        <v>1453.17</v>
      </c>
      <c r="I115" t="s">
        <v>323</v>
      </c>
      <c r="K115">
        <v>45945</v>
      </c>
      <c r="L115">
        <v>1560</v>
      </c>
      <c r="M115" t="s">
        <v>71</v>
      </c>
    </row>
    <row r="116" spans="1:13">
      <c r="A116" t="s">
        <v>13</v>
      </c>
      <c r="B116" t="s">
        <v>2098</v>
      </c>
      <c r="C116" t="s">
        <v>324</v>
      </c>
      <c r="D116" s="57">
        <v>45808</v>
      </c>
      <c r="E116" s="57">
        <v>45838</v>
      </c>
      <c r="F116" t="s">
        <v>16</v>
      </c>
      <c r="G116" s="11">
        <v>2963.54</v>
      </c>
      <c r="K116">
        <v>45945</v>
      </c>
      <c r="L116">
        <v>106</v>
      </c>
      <c r="M116" t="s">
        <v>71</v>
      </c>
    </row>
    <row r="117" spans="1:13">
      <c r="A117" t="s">
        <v>13</v>
      </c>
      <c r="B117" t="s">
        <v>2098</v>
      </c>
      <c r="C117" t="s">
        <v>324</v>
      </c>
      <c r="D117" s="57">
        <v>45808</v>
      </c>
      <c r="E117" s="57">
        <v>45838</v>
      </c>
      <c r="F117" t="s">
        <v>16</v>
      </c>
      <c r="G117" s="11">
        <v>2857.54</v>
      </c>
      <c r="I117" t="s">
        <v>325</v>
      </c>
      <c r="K117">
        <v>45960</v>
      </c>
      <c r="L117">
        <v>1560</v>
      </c>
      <c r="M117" t="s">
        <v>326</v>
      </c>
    </row>
    <row r="118" spans="1:13">
      <c r="A118" t="s">
        <v>13</v>
      </c>
      <c r="B118" t="s">
        <v>2098</v>
      </c>
      <c r="C118" t="s">
        <v>324</v>
      </c>
      <c r="D118" s="57">
        <v>45808</v>
      </c>
      <c r="E118" s="57">
        <v>45838</v>
      </c>
      <c r="G118" s="11">
        <v>1297.54</v>
      </c>
      <c r="I118" t="s">
        <v>327</v>
      </c>
    </row>
    <row r="119" spans="1:13">
      <c r="A119" t="s">
        <v>13</v>
      </c>
      <c r="B119" t="s">
        <v>2098</v>
      </c>
      <c r="C119" t="s">
        <v>324</v>
      </c>
      <c r="D119" s="57">
        <v>45808</v>
      </c>
      <c r="E119" s="57">
        <v>45838</v>
      </c>
      <c r="G119" s="11">
        <v>882.07999999999993</v>
      </c>
      <c r="I119" t="s">
        <v>328</v>
      </c>
    </row>
    <row r="120" spans="1:13">
      <c r="A120" t="s">
        <v>13</v>
      </c>
      <c r="B120" t="s">
        <v>2098</v>
      </c>
      <c r="C120" t="s">
        <v>329</v>
      </c>
      <c r="D120" s="57">
        <v>45901</v>
      </c>
      <c r="E120" s="57">
        <v>45901</v>
      </c>
      <c r="G120" s="11">
        <v>-415.46</v>
      </c>
    </row>
    <row r="121" spans="1:13">
      <c r="A121" t="s">
        <v>333</v>
      </c>
      <c r="B121" t="s">
        <v>2099</v>
      </c>
      <c r="C121" t="s">
        <v>335</v>
      </c>
      <c r="D121" s="57">
        <v>45682</v>
      </c>
      <c r="F121" t="s">
        <v>16</v>
      </c>
      <c r="G121" s="11">
        <v>5276.37</v>
      </c>
      <c r="H121" t="s">
        <v>336</v>
      </c>
      <c r="I121" t="s">
        <v>337</v>
      </c>
      <c r="J121" t="s">
        <v>56</v>
      </c>
    </row>
    <row r="122" spans="1:13">
      <c r="A122" t="s">
        <v>333</v>
      </c>
      <c r="B122" t="s">
        <v>2099</v>
      </c>
      <c r="C122" t="s">
        <v>338</v>
      </c>
      <c r="D122" s="57">
        <v>45680</v>
      </c>
      <c r="E122" s="57">
        <v>45682</v>
      </c>
      <c r="F122" t="s">
        <v>16</v>
      </c>
      <c r="G122" s="11">
        <v>6008.44</v>
      </c>
      <c r="H122" t="s">
        <v>339</v>
      </c>
      <c r="I122" t="s">
        <v>337</v>
      </c>
      <c r="J122" t="s">
        <v>66</v>
      </c>
      <c r="K122">
        <v>45681</v>
      </c>
      <c r="L122">
        <v>6008.44</v>
      </c>
      <c r="M122" t="s">
        <v>111</v>
      </c>
    </row>
    <row r="123" spans="1:13">
      <c r="A123" t="s">
        <v>333</v>
      </c>
      <c r="B123" t="s">
        <v>2099</v>
      </c>
      <c r="C123" t="s">
        <v>340</v>
      </c>
      <c r="D123" s="57">
        <v>45687</v>
      </c>
      <c r="F123" t="s">
        <v>16</v>
      </c>
      <c r="G123" s="11">
        <v>5345.42</v>
      </c>
      <c r="H123" t="s">
        <v>341</v>
      </c>
      <c r="I123" t="s">
        <v>342</v>
      </c>
      <c r="J123" t="s">
        <v>56</v>
      </c>
    </row>
    <row r="124" spans="1:13">
      <c r="A124" t="s">
        <v>316</v>
      </c>
      <c r="B124" t="s">
        <v>2099</v>
      </c>
      <c r="C124" t="s">
        <v>343</v>
      </c>
      <c r="D124" s="57">
        <v>45798</v>
      </c>
      <c r="F124" t="s">
        <v>16</v>
      </c>
      <c r="G124" s="11">
        <v>5000</v>
      </c>
      <c r="H124" t="s">
        <v>344</v>
      </c>
      <c r="I124" t="s">
        <v>342</v>
      </c>
      <c r="J124" t="s">
        <v>56</v>
      </c>
      <c r="K124">
        <v>45800</v>
      </c>
      <c r="L124">
        <v>5000</v>
      </c>
      <c r="M124" t="s">
        <v>345</v>
      </c>
    </row>
    <row r="125" spans="1:13">
      <c r="A125" t="s">
        <v>219</v>
      </c>
      <c r="B125" t="s">
        <v>2371</v>
      </c>
      <c r="C125" t="s">
        <v>347</v>
      </c>
      <c r="D125" s="57">
        <v>45757</v>
      </c>
      <c r="E125" s="57">
        <v>45757</v>
      </c>
      <c r="F125" t="s">
        <v>16</v>
      </c>
      <c r="G125" s="11">
        <v>127.8</v>
      </c>
      <c r="H125" t="s">
        <v>348</v>
      </c>
      <c r="I125" t="s">
        <v>349</v>
      </c>
      <c r="J125" t="s">
        <v>350</v>
      </c>
    </row>
    <row r="126" spans="1:13">
      <c r="A126" t="s">
        <v>316</v>
      </c>
      <c r="B126" t="s">
        <v>2372</v>
      </c>
      <c r="C126" t="s">
        <v>371</v>
      </c>
      <c r="D126" s="57">
        <v>45987</v>
      </c>
      <c r="E126" s="57">
        <v>45987</v>
      </c>
      <c r="F126" t="s">
        <v>16</v>
      </c>
      <c r="G126" s="11">
        <v>31.99</v>
      </c>
      <c r="I126" t="s">
        <v>218</v>
      </c>
      <c r="J126" t="s">
        <v>219</v>
      </c>
      <c r="K126">
        <v>45987</v>
      </c>
      <c r="L126">
        <v>31.99</v>
      </c>
      <c r="M126" t="s">
        <v>219</v>
      </c>
    </row>
    <row r="127" spans="1:13">
      <c r="A127" t="s">
        <v>316</v>
      </c>
      <c r="B127" t="s">
        <v>2104</v>
      </c>
      <c r="C127" t="s">
        <v>352</v>
      </c>
      <c r="D127" s="57">
        <v>45688</v>
      </c>
      <c r="E127" s="57">
        <v>45747</v>
      </c>
      <c r="F127" t="s">
        <v>16</v>
      </c>
      <c r="G127" s="11">
        <v>218.72</v>
      </c>
      <c r="H127" t="s">
        <v>353</v>
      </c>
      <c r="I127" t="s">
        <v>349</v>
      </c>
      <c r="J127" t="s">
        <v>354</v>
      </c>
      <c r="K127">
        <v>45868</v>
      </c>
      <c r="L127">
        <v>218.72</v>
      </c>
      <c r="M127" t="s">
        <v>19</v>
      </c>
    </row>
    <row r="128" spans="1:13">
      <c r="A128" t="s">
        <v>67</v>
      </c>
      <c r="B128" t="s">
        <v>2104</v>
      </c>
      <c r="C128" t="s">
        <v>355</v>
      </c>
      <c r="D128" s="57">
        <v>45716</v>
      </c>
      <c r="E128" s="57">
        <v>45716</v>
      </c>
      <c r="F128" t="s">
        <v>16</v>
      </c>
      <c r="G128" s="11">
        <v>4.7</v>
      </c>
      <c r="H128" t="s">
        <v>356</v>
      </c>
      <c r="I128" t="s">
        <v>349</v>
      </c>
      <c r="J128" t="s">
        <v>56</v>
      </c>
    </row>
    <row r="129" spans="1:13">
      <c r="A129" t="s">
        <v>316</v>
      </c>
      <c r="B129" t="s">
        <v>2104</v>
      </c>
      <c r="C129" t="s">
        <v>357</v>
      </c>
      <c r="D129" s="57">
        <v>45771</v>
      </c>
      <c r="E129" s="57">
        <v>45771</v>
      </c>
      <c r="F129" t="s">
        <v>16</v>
      </c>
      <c r="G129" s="11">
        <v>21.2</v>
      </c>
      <c r="H129" t="s">
        <v>358</v>
      </c>
      <c r="I129" t="s">
        <v>349</v>
      </c>
      <c r="J129" t="s">
        <v>24</v>
      </c>
      <c r="K129">
        <v>45771</v>
      </c>
      <c r="L129">
        <v>21.2</v>
      </c>
      <c r="M129" t="s">
        <v>219</v>
      </c>
    </row>
    <row r="130" spans="1:13">
      <c r="A130" t="s">
        <v>316</v>
      </c>
      <c r="B130" t="s">
        <v>2104</v>
      </c>
      <c r="C130" t="s">
        <v>359</v>
      </c>
      <c r="D130" s="57">
        <v>45828</v>
      </c>
      <c r="E130" s="57">
        <v>45828</v>
      </c>
      <c r="F130" t="s">
        <v>16</v>
      </c>
      <c r="G130" s="11">
        <v>15.47</v>
      </c>
      <c r="H130" t="s">
        <v>360</v>
      </c>
      <c r="I130" t="s">
        <v>349</v>
      </c>
      <c r="J130" t="s">
        <v>219</v>
      </c>
      <c r="K130">
        <v>45828</v>
      </c>
      <c r="L130">
        <v>15.47</v>
      </c>
      <c r="M130" t="s">
        <v>361</v>
      </c>
    </row>
    <row r="131" spans="1:13">
      <c r="A131" t="s">
        <v>316</v>
      </c>
      <c r="B131" t="s">
        <v>2104</v>
      </c>
      <c r="C131" t="s">
        <v>362</v>
      </c>
      <c r="D131" s="57">
        <v>45831</v>
      </c>
      <c r="E131" s="57">
        <v>45831</v>
      </c>
      <c r="F131" t="s">
        <v>16</v>
      </c>
      <c r="G131" s="11">
        <v>37.94</v>
      </c>
      <c r="H131" t="s">
        <v>363</v>
      </c>
      <c r="I131" t="s">
        <v>364</v>
      </c>
      <c r="J131" t="s">
        <v>361</v>
      </c>
      <c r="K131">
        <v>45831</v>
      </c>
      <c r="L131">
        <v>37.94</v>
      </c>
      <c r="M131" t="s">
        <v>361</v>
      </c>
    </row>
    <row r="132" spans="1:13">
      <c r="A132" t="s">
        <v>365</v>
      </c>
      <c r="B132" t="s">
        <v>2104</v>
      </c>
      <c r="C132" t="s">
        <v>366</v>
      </c>
      <c r="D132" s="57">
        <v>45838</v>
      </c>
      <c r="E132" s="57">
        <v>45905</v>
      </c>
      <c r="F132" t="s">
        <v>16</v>
      </c>
      <c r="G132" s="11">
        <v>33.659999999999997</v>
      </c>
      <c r="H132" t="s">
        <v>367</v>
      </c>
      <c r="I132" t="s">
        <v>349</v>
      </c>
    </row>
    <row r="133" spans="1:13">
      <c r="A133" t="s">
        <v>90</v>
      </c>
      <c r="B133" t="s">
        <v>2104</v>
      </c>
      <c r="C133" t="s">
        <v>368</v>
      </c>
      <c r="D133" s="57">
        <v>45869</v>
      </c>
      <c r="G133" s="11">
        <v>11.24</v>
      </c>
      <c r="H133" t="s">
        <v>369</v>
      </c>
      <c r="I133" t="s">
        <v>349</v>
      </c>
      <c r="J133" t="s">
        <v>56</v>
      </c>
    </row>
    <row r="134" spans="1:13">
      <c r="A134" t="s">
        <v>385</v>
      </c>
      <c r="B134" t="s">
        <v>2105</v>
      </c>
      <c r="C134" t="s">
        <v>2106</v>
      </c>
      <c r="D134" s="57">
        <v>45673</v>
      </c>
      <c r="E134" s="57">
        <v>45716</v>
      </c>
      <c r="F134" t="s">
        <v>16</v>
      </c>
      <c r="G134" s="11">
        <v>16925.38</v>
      </c>
      <c r="H134" t="s">
        <v>388</v>
      </c>
      <c r="I134" t="s">
        <v>342</v>
      </c>
      <c r="J134" t="s">
        <v>389</v>
      </c>
      <c r="K134">
        <v>45685</v>
      </c>
      <c r="L134">
        <v>16925.38</v>
      </c>
      <c r="M134" t="s">
        <v>111</v>
      </c>
    </row>
    <row r="135" spans="1:13">
      <c r="A135" t="s">
        <v>385</v>
      </c>
      <c r="B135" t="s">
        <v>2105</v>
      </c>
      <c r="C135" t="s">
        <v>390</v>
      </c>
      <c r="D135" s="57">
        <v>45700</v>
      </c>
      <c r="E135" s="57">
        <v>45747</v>
      </c>
      <c r="F135" t="s">
        <v>16</v>
      </c>
      <c r="G135" s="11">
        <v>11766.72</v>
      </c>
      <c r="H135" t="s">
        <v>391</v>
      </c>
      <c r="I135" t="s">
        <v>312</v>
      </c>
      <c r="J135" t="s">
        <v>56</v>
      </c>
      <c r="K135">
        <v>45730</v>
      </c>
      <c r="L135">
        <v>11766.72</v>
      </c>
      <c r="M135" t="s">
        <v>111</v>
      </c>
    </row>
    <row r="136" spans="1:13">
      <c r="A136" t="s">
        <v>13</v>
      </c>
      <c r="B136" t="s">
        <v>2105</v>
      </c>
      <c r="C136" t="s">
        <v>392</v>
      </c>
      <c r="D136" s="57">
        <v>45716</v>
      </c>
      <c r="E136" s="57">
        <v>45777</v>
      </c>
      <c r="F136" t="s">
        <v>16</v>
      </c>
      <c r="G136" s="11">
        <v>12667.41</v>
      </c>
      <c r="H136" t="s">
        <v>393</v>
      </c>
      <c r="I136" t="s">
        <v>312</v>
      </c>
      <c r="J136" t="s">
        <v>110</v>
      </c>
      <c r="K136">
        <v>45853</v>
      </c>
      <c r="L136">
        <v>12667.41</v>
      </c>
      <c r="M136" t="s">
        <v>394</v>
      </c>
    </row>
    <row r="137" spans="1:13">
      <c r="A137" t="s">
        <v>13</v>
      </c>
      <c r="B137" t="s">
        <v>2108</v>
      </c>
      <c r="C137" t="s">
        <v>376</v>
      </c>
      <c r="D137" s="57">
        <v>45995</v>
      </c>
      <c r="E137" s="57">
        <v>45995</v>
      </c>
      <c r="F137" t="s">
        <v>49</v>
      </c>
      <c r="G137" s="11">
        <v>16</v>
      </c>
      <c r="I137" t="s">
        <v>377</v>
      </c>
      <c r="J137" t="s">
        <v>18</v>
      </c>
      <c r="K137">
        <v>45995</v>
      </c>
      <c r="L137">
        <v>16</v>
      </c>
      <c r="M137" t="s">
        <v>345</v>
      </c>
    </row>
    <row r="138" spans="1:13">
      <c r="A138" t="s">
        <v>13</v>
      </c>
      <c r="B138" t="s">
        <v>2108</v>
      </c>
      <c r="C138" t="s">
        <v>378</v>
      </c>
      <c r="D138" s="57">
        <v>45995</v>
      </c>
      <c r="E138" s="57">
        <v>45995</v>
      </c>
      <c r="F138" t="s">
        <v>49</v>
      </c>
      <c r="G138" s="11">
        <v>8.33</v>
      </c>
      <c r="I138" t="s">
        <v>379</v>
      </c>
      <c r="J138" t="s">
        <v>18</v>
      </c>
      <c r="K138">
        <v>45995</v>
      </c>
      <c r="L138">
        <v>8.33</v>
      </c>
      <c r="M138" t="s">
        <v>345</v>
      </c>
    </row>
    <row r="139" spans="1:13">
      <c r="A139" t="s">
        <v>13</v>
      </c>
      <c r="B139" t="s">
        <v>2108</v>
      </c>
      <c r="C139" t="s">
        <v>380</v>
      </c>
      <c r="D139" s="57">
        <v>45995</v>
      </c>
      <c r="E139" s="57">
        <v>45995</v>
      </c>
      <c r="F139" t="s">
        <v>49</v>
      </c>
      <c r="G139" s="11">
        <v>10.33</v>
      </c>
      <c r="I139" t="s">
        <v>379</v>
      </c>
      <c r="J139" t="s">
        <v>18</v>
      </c>
      <c r="K139">
        <v>45995</v>
      </c>
      <c r="L139">
        <v>10.33</v>
      </c>
      <c r="M139" t="s">
        <v>345</v>
      </c>
    </row>
    <row r="140" spans="1:13">
      <c r="A140" t="s">
        <v>13</v>
      </c>
      <c r="B140" t="s">
        <v>2108</v>
      </c>
      <c r="C140" t="s">
        <v>381</v>
      </c>
      <c r="D140" s="57">
        <v>45995</v>
      </c>
      <c r="E140" s="57">
        <v>45995</v>
      </c>
      <c r="F140" t="s">
        <v>49</v>
      </c>
      <c r="G140" s="11">
        <v>18</v>
      </c>
      <c r="I140" t="s">
        <v>379</v>
      </c>
      <c r="J140" t="s">
        <v>18</v>
      </c>
      <c r="K140">
        <v>45995</v>
      </c>
      <c r="L140">
        <v>18</v>
      </c>
      <c r="M140" t="s">
        <v>345</v>
      </c>
    </row>
    <row r="141" spans="1:13">
      <c r="A141" t="s">
        <v>13</v>
      </c>
      <c r="B141" t="s">
        <v>2108</v>
      </c>
      <c r="C141" t="s">
        <v>382</v>
      </c>
      <c r="D141" s="57">
        <v>46003</v>
      </c>
      <c r="E141" s="57">
        <v>46003</v>
      </c>
      <c r="F141" t="s">
        <v>49</v>
      </c>
      <c r="G141" s="11">
        <v>10</v>
      </c>
      <c r="I141" t="s">
        <v>379</v>
      </c>
      <c r="J141" t="s">
        <v>18</v>
      </c>
      <c r="K141" t="s">
        <v>383</v>
      </c>
      <c r="L141">
        <v>10</v>
      </c>
      <c r="M141" t="s">
        <v>345</v>
      </c>
    </row>
    <row r="142" spans="1:13">
      <c r="A142" t="s">
        <v>13</v>
      </c>
      <c r="B142" t="s">
        <v>2108</v>
      </c>
      <c r="C142" t="s">
        <v>384</v>
      </c>
      <c r="D142" s="57">
        <v>46003</v>
      </c>
      <c r="E142" s="57">
        <v>46003</v>
      </c>
      <c r="F142" t="s">
        <v>49</v>
      </c>
      <c r="G142" s="11">
        <v>16</v>
      </c>
      <c r="I142" t="s">
        <v>379</v>
      </c>
      <c r="J142" t="s">
        <v>18</v>
      </c>
      <c r="K142">
        <v>46003</v>
      </c>
      <c r="L142">
        <v>16</v>
      </c>
      <c r="M142" t="s">
        <v>345</v>
      </c>
    </row>
    <row r="143" spans="1:13">
      <c r="A143" t="s">
        <v>316</v>
      </c>
      <c r="B143" t="s">
        <v>2110</v>
      </c>
      <c r="C143" t="s">
        <v>396</v>
      </c>
      <c r="D143" s="57">
        <v>45734</v>
      </c>
      <c r="E143" s="57">
        <v>45808</v>
      </c>
      <c r="F143" t="s">
        <v>16</v>
      </c>
      <c r="G143" s="11">
        <v>702.72</v>
      </c>
      <c r="H143" t="s">
        <v>397</v>
      </c>
      <c r="I143" t="s">
        <v>398</v>
      </c>
      <c r="J143" t="s">
        <v>399</v>
      </c>
      <c r="K143">
        <v>45811</v>
      </c>
      <c r="L143">
        <v>702.72</v>
      </c>
    </row>
    <row r="144" spans="1:13">
      <c r="A144" t="s">
        <v>385</v>
      </c>
      <c r="B144" t="s">
        <v>2111</v>
      </c>
      <c r="C144" t="s">
        <v>401</v>
      </c>
      <c r="D144" s="57">
        <v>45694</v>
      </c>
      <c r="F144" t="s">
        <v>16</v>
      </c>
      <c r="G144" s="11">
        <v>7481.6</v>
      </c>
      <c r="H144" t="s">
        <v>402</v>
      </c>
      <c r="I144" t="s">
        <v>312</v>
      </c>
      <c r="J144" t="s">
        <v>66</v>
      </c>
    </row>
    <row r="145" spans="1:13">
      <c r="A145" t="s">
        <v>385</v>
      </c>
      <c r="B145" t="s">
        <v>2111</v>
      </c>
      <c r="C145" t="s">
        <v>401</v>
      </c>
      <c r="D145" s="57">
        <v>45694</v>
      </c>
      <c r="F145" t="s">
        <v>16</v>
      </c>
      <c r="G145" s="11">
        <v>3500</v>
      </c>
      <c r="H145" t="s">
        <v>402</v>
      </c>
      <c r="I145" t="s">
        <v>312</v>
      </c>
      <c r="J145" t="s">
        <v>66</v>
      </c>
      <c r="K145">
        <v>45730</v>
      </c>
      <c r="L145">
        <v>3500</v>
      </c>
      <c r="M145" t="s">
        <v>111</v>
      </c>
    </row>
    <row r="146" spans="1:13">
      <c r="A146" t="s">
        <v>13</v>
      </c>
      <c r="B146" t="s">
        <v>2111</v>
      </c>
      <c r="C146" t="s">
        <v>401</v>
      </c>
      <c r="D146" s="57">
        <v>45694</v>
      </c>
      <c r="G146" s="11">
        <v>3981.6</v>
      </c>
      <c r="H146" t="s">
        <v>402</v>
      </c>
      <c r="I146" t="s">
        <v>312</v>
      </c>
      <c r="J146" t="s">
        <v>66</v>
      </c>
    </row>
    <row r="147" spans="1:13">
      <c r="A147" t="s">
        <v>90</v>
      </c>
      <c r="B147" t="s">
        <v>2113</v>
      </c>
      <c r="C147" t="s">
        <v>407</v>
      </c>
      <c r="D147" s="57">
        <v>45918</v>
      </c>
      <c r="E147" s="57">
        <v>45727</v>
      </c>
      <c r="G147" s="11">
        <v>3933.18</v>
      </c>
      <c r="H147" t="s">
        <v>408</v>
      </c>
      <c r="I147" t="s">
        <v>409</v>
      </c>
      <c r="J147" t="s">
        <v>56</v>
      </c>
    </row>
    <row r="148" spans="1:13">
      <c r="B148" t="s">
        <v>2114</v>
      </c>
      <c r="C148" t="s">
        <v>411</v>
      </c>
      <c r="D148" s="57">
        <v>45896</v>
      </c>
      <c r="E148" s="57">
        <v>45896</v>
      </c>
      <c r="F148" t="s">
        <v>16</v>
      </c>
      <c r="G148" s="11">
        <v>406.94</v>
      </c>
      <c r="H148" t="s">
        <v>412</v>
      </c>
      <c r="I148" t="s">
        <v>413</v>
      </c>
      <c r="J148" t="s">
        <v>66</v>
      </c>
      <c r="K148">
        <v>45989</v>
      </c>
      <c r="L148" t="s">
        <v>394</v>
      </c>
    </row>
    <row r="149" spans="1:13">
      <c r="A149" t="s">
        <v>47</v>
      </c>
      <c r="B149" t="s">
        <v>2115</v>
      </c>
      <c r="C149" t="s">
        <v>415</v>
      </c>
      <c r="D149" s="57">
        <v>45699</v>
      </c>
      <c r="F149" t="s">
        <v>16</v>
      </c>
      <c r="G149" s="11">
        <v>63.42</v>
      </c>
      <c r="H149" t="s">
        <v>416</v>
      </c>
      <c r="I149" t="s">
        <v>417</v>
      </c>
      <c r="J149" t="s">
        <v>24</v>
      </c>
    </row>
    <row r="150" spans="1:13">
      <c r="A150" t="s">
        <v>13</v>
      </c>
      <c r="B150" t="s">
        <v>2116</v>
      </c>
      <c r="C150" t="s">
        <v>419</v>
      </c>
      <c r="D150" s="57">
        <v>45873</v>
      </c>
      <c r="F150" t="s">
        <v>16</v>
      </c>
      <c r="G150" s="11">
        <v>55.96</v>
      </c>
      <c r="H150" t="s">
        <v>420</v>
      </c>
      <c r="I150" t="s">
        <v>421</v>
      </c>
      <c r="J150" t="s">
        <v>215</v>
      </c>
      <c r="K150">
        <v>45873</v>
      </c>
      <c r="L150">
        <v>55.96</v>
      </c>
      <c r="M150" t="s">
        <v>422</v>
      </c>
    </row>
    <row r="151" spans="1:13">
      <c r="A151" t="s">
        <v>13</v>
      </c>
      <c r="B151" t="s">
        <v>2116</v>
      </c>
      <c r="C151" t="s">
        <v>423</v>
      </c>
      <c r="D151" s="57">
        <v>45903</v>
      </c>
      <c r="F151" t="s">
        <v>49</v>
      </c>
      <c r="G151" s="11">
        <v>51.24</v>
      </c>
      <c r="H151" t="s">
        <v>424</v>
      </c>
      <c r="J151" t="s">
        <v>425</v>
      </c>
    </row>
    <row r="152" spans="1:13">
      <c r="A152" t="s">
        <v>13</v>
      </c>
      <c r="B152" t="s">
        <v>2116</v>
      </c>
      <c r="C152" t="s">
        <v>426</v>
      </c>
      <c r="D152" s="57">
        <v>45966</v>
      </c>
      <c r="E152" s="57">
        <v>45966</v>
      </c>
      <c r="F152" t="s">
        <v>49</v>
      </c>
      <c r="G152" s="11">
        <v>51.24</v>
      </c>
      <c r="I152" t="s">
        <v>427</v>
      </c>
      <c r="J152" t="s">
        <v>428</v>
      </c>
      <c r="L152">
        <v>51.24</v>
      </c>
    </row>
    <row r="153" spans="1:13">
      <c r="A153" t="s">
        <v>13</v>
      </c>
      <c r="B153" t="s">
        <v>2118</v>
      </c>
      <c r="C153" t="s">
        <v>430</v>
      </c>
      <c r="D153" s="57">
        <v>45685</v>
      </c>
      <c r="E153" s="57">
        <v>45705</v>
      </c>
      <c r="F153" t="s">
        <v>16</v>
      </c>
      <c r="G153" s="11">
        <v>450.51</v>
      </c>
      <c r="H153" t="s">
        <v>431</v>
      </c>
      <c r="I153" t="s">
        <v>87</v>
      </c>
      <c r="J153" t="s">
        <v>150</v>
      </c>
      <c r="K153">
        <v>45705</v>
      </c>
      <c r="L153">
        <v>450.51</v>
      </c>
      <c r="M153" t="s">
        <v>345</v>
      </c>
    </row>
    <row r="154" spans="1:13">
      <c r="A154" t="s">
        <v>13</v>
      </c>
      <c r="B154" t="s">
        <v>2118</v>
      </c>
      <c r="C154" t="s">
        <v>432</v>
      </c>
      <c r="D154" s="57">
        <v>45714</v>
      </c>
      <c r="E154" s="57">
        <v>45734</v>
      </c>
      <c r="F154" t="s">
        <v>16</v>
      </c>
      <c r="G154" s="11">
        <v>1230.1500000000001</v>
      </c>
      <c r="H154" t="s">
        <v>433</v>
      </c>
      <c r="I154" t="s">
        <v>87</v>
      </c>
      <c r="J154" t="s">
        <v>150</v>
      </c>
      <c r="K154">
        <v>45734</v>
      </c>
      <c r="L154">
        <v>1230.1500000000001</v>
      </c>
      <c r="M154" t="s">
        <v>345</v>
      </c>
    </row>
    <row r="155" spans="1:13">
      <c r="A155" t="s">
        <v>13</v>
      </c>
      <c r="B155" t="s">
        <v>2118</v>
      </c>
      <c r="C155" t="s">
        <v>434</v>
      </c>
      <c r="D155" s="57">
        <v>45741</v>
      </c>
      <c r="E155" s="57">
        <v>45761</v>
      </c>
      <c r="F155" t="s">
        <v>16</v>
      </c>
      <c r="G155" s="11">
        <v>37.86</v>
      </c>
      <c r="H155" t="s">
        <v>435</v>
      </c>
      <c r="I155" t="s">
        <v>436</v>
      </c>
      <c r="J155" t="s">
        <v>150</v>
      </c>
      <c r="K155">
        <v>45761</v>
      </c>
      <c r="L155">
        <v>37.86</v>
      </c>
      <c r="M155" t="s">
        <v>345</v>
      </c>
    </row>
    <row r="156" spans="1:13">
      <c r="A156" t="s">
        <v>13</v>
      </c>
      <c r="B156" t="s">
        <v>2118</v>
      </c>
      <c r="C156" t="s">
        <v>437</v>
      </c>
      <c r="D156" s="57">
        <v>45741</v>
      </c>
      <c r="E156" s="57">
        <v>45761</v>
      </c>
      <c r="F156" t="s">
        <v>16</v>
      </c>
      <c r="G156" s="11">
        <v>225.75</v>
      </c>
      <c r="H156" t="s">
        <v>438</v>
      </c>
      <c r="I156" t="s">
        <v>87</v>
      </c>
      <c r="J156" t="s">
        <v>150</v>
      </c>
      <c r="K156">
        <v>45764</v>
      </c>
      <c r="L156">
        <v>225.75</v>
      </c>
      <c r="M156" t="s">
        <v>345</v>
      </c>
    </row>
    <row r="157" spans="1:13">
      <c r="A157" t="s">
        <v>13</v>
      </c>
      <c r="B157" t="s">
        <v>2118</v>
      </c>
      <c r="C157" t="s">
        <v>439</v>
      </c>
      <c r="D157" s="57">
        <v>45775</v>
      </c>
      <c r="E157" s="57">
        <v>45796</v>
      </c>
      <c r="F157" t="s">
        <v>16</v>
      </c>
      <c r="G157" s="11">
        <v>265.18</v>
      </c>
      <c r="H157" t="s">
        <v>440</v>
      </c>
      <c r="I157" t="s">
        <v>87</v>
      </c>
      <c r="J157" t="s">
        <v>150</v>
      </c>
      <c r="K157">
        <v>45796</v>
      </c>
      <c r="L157">
        <v>265.18</v>
      </c>
      <c r="M157" t="s">
        <v>345</v>
      </c>
    </row>
    <row r="158" spans="1:13">
      <c r="A158" t="s">
        <v>13</v>
      </c>
      <c r="B158" t="s">
        <v>2118</v>
      </c>
      <c r="C158" t="s">
        <v>441</v>
      </c>
      <c r="D158" s="57">
        <v>45804</v>
      </c>
      <c r="E158" s="57">
        <v>45824</v>
      </c>
      <c r="F158" t="s">
        <v>16</v>
      </c>
      <c r="G158" s="11">
        <v>37.49</v>
      </c>
      <c r="H158" t="s">
        <v>442</v>
      </c>
      <c r="I158" t="s">
        <v>87</v>
      </c>
      <c r="J158" t="s">
        <v>150</v>
      </c>
      <c r="K158">
        <v>45824</v>
      </c>
      <c r="L158">
        <v>37.49</v>
      </c>
      <c r="M158" t="s">
        <v>345</v>
      </c>
    </row>
    <row r="159" spans="1:13">
      <c r="A159" t="s">
        <v>13</v>
      </c>
      <c r="B159" t="s">
        <v>2118</v>
      </c>
      <c r="C159" t="s">
        <v>443</v>
      </c>
      <c r="D159" s="57">
        <v>45804</v>
      </c>
      <c r="F159" t="s">
        <v>16</v>
      </c>
      <c r="G159" s="11">
        <v>-82.19</v>
      </c>
      <c r="H159" t="s">
        <v>444</v>
      </c>
      <c r="I159" t="s">
        <v>87</v>
      </c>
      <c r="J159" t="s">
        <v>150</v>
      </c>
      <c r="K159" t="s">
        <v>80</v>
      </c>
      <c r="L159">
        <v>-82.19</v>
      </c>
      <c r="M159" t="s">
        <v>345</v>
      </c>
    </row>
    <row r="160" spans="1:13">
      <c r="A160" t="s">
        <v>13</v>
      </c>
      <c r="B160" t="s">
        <v>2118</v>
      </c>
      <c r="C160" t="s">
        <v>445</v>
      </c>
      <c r="D160" s="57">
        <v>45833</v>
      </c>
      <c r="E160" s="57">
        <v>45853</v>
      </c>
      <c r="F160" t="s">
        <v>16</v>
      </c>
      <c r="G160" s="11">
        <v>38.19</v>
      </c>
      <c r="H160" t="s">
        <v>446</v>
      </c>
      <c r="I160" t="s">
        <v>87</v>
      </c>
      <c r="J160" t="s">
        <v>150</v>
      </c>
      <c r="K160">
        <v>45853</v>
      </c>
      <c r="L160">
        <v>38.19</v>
      </c>
      <c r="M160" t="s">
        <v>345</v>
      </c>
    </row>
    <row r="161" spans="1:13">
      <c r="A161" t="s">
        <v>13</v>
      </c>
      <c r="B161" t="s">
        <v>2118</v>
      </c>
      <c r="C161" t="s">
        <v>447</v>
      </c>
      <c r="D161" s="57">
        <v>45864</v>
      </c>
      <c r="E161" s="57">
        <v>45887</v>
      </c>
      <c r="F161" t="s">
        <v>16</v>
      </c>
      <c r="G161" s="11">
        <v>145.81</v>
      </c>
      <c r="H161" t="s">
        <v>448</v>
      </c>
      <c r="I161" t="s">
        <v>436</v>
      </c>
      <c r="J161" t="s">
        <v>150</v>
      </c>
      <c r="K161">
        <v>45887</v>
      </c>
      <c r="L161">
        <v>145.81</v>
      </c>
      <c r="M161" t="s">
        <v>345</v>
      </c>
    </row>
    <row r="162" spans="1:13">
      <c r="A162" t="s">
        <v>13</v>
      </c>
      <c r="B162" t="s">
        <v>2118</v>
      </c>
      <c r="C162" t="s">
        <v>449</v>
      </c>
      <c r="D162" s="57">
        <v>45895</v>
      </c>
      <c r="E162" s="57">
        <v>45915</v>
      </c>
      <c r="F162" t="s">
        <v>49</v>
      </c>
      <c r="G162" s="11">
        <v>10.84</v>
      </c>
      <c r="H162" t="s">
        <v>450</v>
      </c>
      <c r="I162" t="s">
        <v>87</v>
      </c>
      <c r="J162" t="s">
        <v>150</v>
      </c>
      <c r="K162">
        <v>45915</v>
      </c>
      <c r="L162">
        <v>10.84</v>
      </c>
      <c r="M162" t="s">
        <v>345</v>
      </c>
    </row>
    <row r="163" spans="1:13">
      <c r="A163" t="s">
        <v>13</v>
      </c>
      <c r="B163" t="s">
        <v>2373</v>
      </c>
      <c r="C163" t="s">
        <v>459</v>
      </c>
      <c r="D163" s="57">
        <v>45974</v>
      </c>
      <c r="E163" s="57">
        <v>45974</v>
      </c>
      <c r="F163" t="s">
        <v>49</v>
      </c>
      <c r="G163" s="11">
        <v>176.5</v>
      </c>
      <c r="I163" t="s">
        <v>460</v>
      </c>
      <c r="J163" t="s">
        <v>18</v>
      </c>
      <c r="K163">
        <v>45944</v>
      </c>
      <c r="L163">
        <v>176.5</v>
      </c>
      <c r="M163" t="s">
        <v>19</v>
      </c>
    </row>
    <row r="164" spans="1:13">
      <c r="A164" t="s">
        <v>13</v>
      </c>
      <c r="B164" t="s">
        <v>2374</v>
      </c>
      <c r="C164" t="s">
        <v>452</v>
      </c>
      <c r="D164" s="57">
        <v>45978</v>
      </c>
      <c r="E164" s="57">
        <v>45978</v>
      </c>
      <c r="G164" s="11">
        <v>1098</v>
      </c>
      <c r="I164" t="s">
        <v>453</v>
      </c>
      <c r="J164" t="s">
        <v>354</v>
      </c>
    </row>
    <row r="165" spans="1:13">
      <c r="A165" t="s">
        <v>13</v>
      </c>
      <c r="B165" t="s">
        <v>2122</v>
      </c>
      <c r="C165" t="s">
        <v>455</v>
      </c>
      <c r="D165" s="57">
        <v>45870</v>
      </c>
      <c r="E165" s="57">
        <v>45870</v>
      </c>
      <c r="F165" t="s">
        <v>16</v>
      </c>
      <c r="G165" s="11">
        <v>124</v>
      </c>
      <c r="H165" t="s">
        <v>456</v>
      </c>
      <c r="I165" t="s">
        <v>457</v>
      </c>
      <c r="J165" t="s">
        <v>215</v>
      </c>
    </row>
    <row r="166" spans="1:13">
      <c r="A166" t="s">
        <v>475</v>
      </c>
      <c r="B166" t="s">
        <v>2123</v>
      </c>
      <c r="C166" t="s">
        <v>340</v>
      </c>
      <c r="D166" s="57">
        <v>45685</v>
      </c>
      <c r="E166" s="57">
        <v>45685</v>
      </c>
      <c r="F166" t="s">
        <v>16</v>
      </c>
      <c r="G166" s="11">
        <v>4998</v>
      </c>
      <c r="H166" t="s">
        <v>477</v>
      </c>
      <c r="I166" t="s">
        <v>342</v>
      </c>
      <c r="J166" t="s">
        <v>66</v>
      </c>
    </row>
    <row r="167" spans="1:13">
      <c r="A167" t="s">
        <v>464</v>
      </c>
      <c r="B167" t="s">
        <v>2124</v>
      </c>
      <c r="C167" t="s">
        <v>317</v>
      </c>
      <c r="D167" s="57">
        <v>45860</v>
      </c>
      <c r="E167" s="57">
        <v>45860</v>
      </c>
      <c r="F167" t="s">
        <v>16</v>
      </c>
      <c r="G167" s="11">
        <v>1389.44</v>
      </c>
      <c r="H167" t="s">
        <v>466</v>
      </c>
      <c r="I167" t="s">
        <v>467</v>
      </c>
      <c r="J167" t="s">
        <v>56</v>
      </c>
      <c r="K167">
        <v>45824</v>
      </c>
      <c r="L167">
        <v>1068.8</v>
      </c>
      <c r="M167" t="s">
        <v>198</v>
      </c>
    </row>
    <row r="168" spans="1:13">
      <c r="A168" t="s">
        <v>316</v>
      </c>
      <c r="B168" t="s">
        <v>2124</v>
      </c>
      <c r="C168" t="s">
        <v>468</v>
      </c>
      <c r="D168" s="57">
        <v>45939</v>
      </c>
      <c r="E168" s="57">
        <v>45939</v>
      </c>
      <c r="F168" t="s">
        <v>16</v>
      </c>
      <c r="G168" s="11">
        <v>3206.4</v>
      </c>
      <c r="H168" t="s">
        <v>469</v>
      </c>
      <c r="I168" t="s">
        <v>470</v>
      </c>
      <c r="J168" t="s">
        <v>56</v>
      </c>
      <c r="K168">
        <v>45945</v>
      </c>
      <c r="L168">
        <v>3206.4</v>
      </c>
      <c r="M168" t="s">
        <v>246</v>
      </c>
    </row>
    <row r="169" spans="1:13">
      <c r="A169" t="s">
        <v>316</v>
      </c>
      <c r="B169" t="s">
        <v>2124</v>
      </c>
      <c r="C169" t="s">
        <v>396</v>
      </c>
      <c r="D169" s="57">
        <v>45939</v>
      </c>
      <c r="E169" s="57">
        <v>45939</v>
      </c>
      <c r="G169" s="11">
        <v>1603.2</v>
      </c>
      <c r="H169" t="s">
        <v>471</v>
      </c>
      <c r="I169" t="s">
        <v>472</v>
      </c>
      <c r="J169" t="s">
        <v>66</v>
      </c>
    </row>
    <row r="170" spans="1:13">
      <c r="A170" t="s">
        <v>316</v>
      </c>
      <c r="B170" t="s">
        <v>2124</v>
      </c>
      <c r="C170" t="s">
        <v>473</v>
      </c>
      <c r="D170" s="57">
        <v>45968</v>
      </c>
      <c r="E170" s="57">
        <v>45968</v>
      </c>
      <c r="G170" s="11">
        <v>572.32000000000005</v>
      </c>
      <c r="I170" t="s">
        <v>474</v>
      </c>
      <c r="J170" t="s">
        <v>83</v>
      </c>
      <c r="L170">
        <v>572.32000000000005</v>
      </c>
    </row>
    <row r="171" spans="1:13">
      <c r="A171" t="s">
        <v>475</v>
      </c>
      <c r="B171" t="s">
        <v>2126</v>
      </c>
      <c r="C171" t="s">
        <v>479</v>
      </c>
      <c r="D171" s="57">
        <v>45705</v>
      </c>
      <c r="E171" s="57">
        <v>45810</v>
      </c>
      <c r="G171" s="11">
        <v>3500</v>
      </c>
      <c r="H171" t="s">
        <v>480</v>
      </c>
      <c r="I171" t="s">
        <v>481</v>
      </c>
      <c r="J171" t="s">
        <v>56</v>
      </c>
    </row>
    <row r="172" spans="1:13">
      <c r="A172" t="s">
        <v>475</v>
      </c>
      <c r="B172" t="s">
        <v>2126</v>
      </c>
      <c r="C172" t="s">
        <v>482</v>
      </c>
      <c r="D172" s="57">
        <v>45798</v>
      </c>
      <c r="E172" s="57">
        <v>45810</v>
      </c>
      <c r="G172" s="11">
        <v>700</v>
      </c>
      <c r="H172" t="s">
        <v>483</v>
      </c>
      <c r="I172" t="s">
        <v>484</v>
      </c>
      <c r="J172" t="s">
        <v>56</v>
      </c>
      <c r="K172">
        <v>45910</v>
      </c>
      <c r="L172" t="s">
        <v>485</v>
      </c>
      <c r="M172" t="s">
        <v>71</v>
      </c>
    </row>
    <row r="173" spans="1:13">
      <c r="A173" t="s">
        <v>475</v>
      </c>
      <c r="B173" t="s">
        <v>2126</v>
      </c>
      <c r="C173" t="s">
        <v>482</v>
      </c>
      <c r="D173" s="57">
        <v>45798</v>
      </c>
      <c r="E173" s="57">
        <v>45810</v>
      </c>
      <c r="F173" t="s">
        <v>16</v>
      </c>
      <c r="G173" s="11">
        <v>8000</v>
      </c>
      <c r="H173" t="s">
        <v>483</v>
      </c>
      <c r="I173" t="s">
        <v>484</v>
      </c>
      <c r="J173" t="s">
        <v>56</v>
      </c>
      <c r="K173">
        <v>45910</v>
      </c>
      <c r="L173" t="s">
        <v>486</v>
      </c>
      <c r="M173" t="s">
        <v>71</v>
      </c>
    </row>
    <row r="174" spans="1:13">
      <c r="A174" t="s">
        <v>316</v>
      </c>
      <c r="B174" t="s">
        <v>2128</v>
      </c>
      <c r="C174" t="s">
        <v>488</v>
      </c>
      <c r="D174" s="57">
        <v>45775</v>
      </c>
      <c r="E174" s="57">
        <v>45848</v>
      </c>
      <c r="F174" t="s">
        <v>16</v>
      </c>
      <c r="G174" s="11">
        <v>1058</v>
      </c>
      <c r="H174" t="s">
        <v>489</v>
      </c>
      <c r="I174" t="s">
        <v>490</v>
      </c>
      <c r="J174" t="s">
        <v>491</v>
      </c>
      <c r="K174">
        <v>45880</v>
      </c>
      <c r="L174">
        <v>1058</v>
      </c>
      <c r="M174" t="s">
        <v>19</v>
      </c>
    </row>
    <row r="175" spans="1:13">
      <c r="A175" t="s">
        <v>492</v>
      </c>
      <c r="B175" t="s">
        <v>2128</v>
      </c>
      <c r="C175" t="s">
        <v>488</v>
      </c>
      <c r="D175" s="57">
        <v>45775</v>
      </c>
      <c r="E175" s="57">
        <v>45879</v>
      </c>
      <c r="F175" t="s">
        <v>16</v>
      </c>
      <c r="G175" s="11">
        <v>1058</v>
      </c>
      <c r="H175" t="s">
        <v>489</v>
      </c>
      <c r="I175" t="s">
        <v>490</v>
      </c>
      <c r="J175" t="s">
        <v>491</v>
      </c>
      <c r="K175">
        <v>45910</v>
      </c>
      <c r="L175">
        <v>1058</v>
      </c>
      <c r="M175" t="s">
        <v>19</v>
      </c>
    </row>
    <row r="176" spans="1:13">
      <c r="A176" t="s">
        <v>493</v>
      </c>
      <c r="B176" t="s">
        <v>2129</v>
      </c>
      <c r="C176" t="s">
        <v>495</v>
      </c>
      <c r="D176" s="57">
        <v>45698</v>
      </c>
      <c r="F176" t="s">
        <v>16</v>
      </c>
      <c r="G176" s="11">
        <v>7139.52</v>
      </c>
      <c r="H176" t="s">
        <v>496</v>
      </c>
      <c r="I176" t="s">
        <v>312</v>
      </c>
      <c r="J176" t="s">
        <v>56</v>
      </c>
    </row>
    <row r="177" spans="1:13">
      <c r="A177" t="s">
        <v>497</v>
      </c>
      <c r="B177" t="s">
        <v>2129</v>
      </c>
      <c r="C177" t="s">
        <v>482</v>
      </c>
      <c r="D177" s="57">
        <v>45897</v>
      </c>
      <c r="F177" t="s">
        <v>16</v>
      </c>
      <c r="G177" s="11">
        <v>3000</v>
      </c>
      <c r="H177" t="s">
        <v>498</v>
      </c>
      <c r="I177" t="s">
        <v>499</v>
      </c>
    </row>
    <row r="178" spans="1:13">
      <c r="A178" t="s">
        <v>500</v>
      </c>
      <c r="B178" t="s">
        <v>2129</v>
      </c>
      <c r="C178" t="s">
        <v>501</v>
      </c>
      <c r="D178" s="57">
        <v>45910</v>
      </c>
      <c r="F178" t="s">
        <v>16</v>
      </c>
      <c r="G178" s="11">
        <v>-3000</v>
      </c>
      <c r="H178" t="s">
        <v>502</v>
      </c>
      <c r="I178" t="s">
        <v>503</v>
      </c>
    </row>
    <row r="179" spans="1:13">
      <c r="A179" t="s">
        <v>13</v>
      </c>
      <c r="B179" t="s">
        <v>2130</v>
      </c>
      <c r="C179" t="s">
        <v>505</v>
      </c>
      <c r="D179" s="57">
        <v>45835</v>
      </c>
      <c r="E179" s="57">
        <v>45869</v>
      </c>
      <c r="F179" t="s">
        <v>16</v>
      </c>
      <c r="G179" s="11">
        <v>36.659999999999997</v>
      </c>
      <c r="H179" t="s">
        <v>506</v>
      </c>
      <c r="I179" t="s">
        <v>279</v>
      </c>
      <c r="J179" t="s">
        <v>150</v>
      </c>
      <c r="K179">
        <v>45869</v>
      </c>
      <c r="L179">
        <v>36.659999999999997</v>
      </c>
      <c r="M179" t="s">
        <v>19</v>
      </c>
    </row>
    <row r="180" spans="1:13">
      <c r="A180" t="s">
        <v>13</v>
      </c>
      <c r="B180" t="s">
        <v>2130</v>
      </c>
      <c r="C180" t="s">
        <v>507</v>
      </c>
      <c r="D180" s="57">
        <v>45929</v>
      </c>
      <c r="E180" s="57">
        <v>45961</v>
      </c>
      <c r="F180" t="s">
        <v>16</v>
      </c>
      <c r="G180" s="11">
        <v>36.659999999999997</v>
      </c>
      <c r="H180" t="s">
        <v>508</v>
      </c>
      <c r="I180" t="s">
        <v>279</v>
      </c>
      <c r="J180" t="s">
        <v>150</v>
      </c>
      <c r="K180">
        <v>45961</v>
      </c>
      <c r="L180">
        <v>36.659999999999997</v>
      </c>
      <c r="M180" t="s">
        <v>509</v>
      </c>
    </row>
    <row r="181" spans="1:13">
      <c r="A181" t="s">
        <v>510</v>
      </c>
      <c r="B181" t="s">
        <v>2130</v>
      </c>
      <c r="C181" t="s">
        <v>511</v>
      </c>
      <c r="D181" s="57">
        <v>45988</v>
      </c>
      <c r="E181" s="57">
        <v>46022</v>
      </c>
      <c r="G181" s="11">
        <v>111.58</v>
      </c>
      <c r="I181" t="s">
        <v>512</v>
      </c>
      <c r="J181" t="s">
        <v>150</v>
      </c>
      <c r="K181">
        <v>46022</v>
      </c>
      <c r="L181">
        <v>111.58</v>
      </c>
      <c r="M181" t="s">
        <v>509</v>
      </c>
    </row>
    <row r="182" spans="1:13">
      <c r="A182" t="s">
        <v>316</v>
      </c>
      <c r="B182" t="s">
        <v>2132</v>
      </c>
      <c r="C182" t="s">
        <v>514</v>
      </c>
      <c r="D182" s="57">
        <v>45675</v>
      </c>
      <c r="E182" s="57">
        <v>45675</v>
      </c>
      <c r="F182" t="s">
        <v>16</v>
      </c>
      <c r="G182" s="11">
        <v>26</v>
      </c>
      <c r="H182" t="s">
        <v>515</v>
      </c>
      <c r="I182" t="s">
        <v>516</v>
      </c>
    </row>
    <row r="183" spans="1:13">
      <c r="A183" t="s">
        <v>316</v>
      </c>
      <c r="B183" t="s">
        <v>2132</v>
      </c>
      <c r="C183" t="s">
        <v>517</v>
      </c>
      <c r="D183" s="57">
        <v>45734</v>
      </c>
      <c r="F183" t="s">
        <v>16</v>
      </c>
      <c r="G183" s="11">
        <v>26</v>
      </c>
      <c r="H183" t="s">
        <v>518</v>
      </c>
      <c r="I183" t="s">
        <v>519</v>
      </c>
    </row>
    <row r="184" spans="1:13">
      <c r="A184" t="s">
        <v>316</v>
      </c>
      <c r="B184" t="s">
        <v>2132</v>
      </c>
      <c r="C184" t="s">
        <v>520</v>
      </c>
      <c r="D184" s="57">
        <v>45738</v>
      </c>
      <c r="F184" t="s">
        <v>16</v>
      </c>
      <c r="G184" s="11">
        <v>39</v>
      </c>
      <c r="H184" t="s">
        <v>521</v>
      </c>
      <c r="I184" t="s">
        <v>42</v>
      </c>
    </row>
    <row r="185" spans="1:13">
      <c r="A185" t="s">
        <v>316</v>
      </c>
      <c r="B185" t="s">
        <v>2132</v>
      </c>
      <c r="C185" t="s">
        <v>522</v>
      </c>
      <c r="D185" s="57">
        <v>45745</v>
      </c>
      <c r="F185" t="s">
        <v>16</v>
      </c>
      <c r="G185" s="11">
        <v>26</v>
      </c>
      <c r="H185" t="s">
        <v>523</v>
      </c>
      <c r="I185" t="s">
        <v>42</v>
      </c>
    </row>
    <row r="186" spans="1:13">
      <c r="A186" t="s">
        <v>316</v>
      </c>
      <c r="B186" t="s">
        <v>2132</v>
      </c>
      <c r="C186" t="s">
        <v>524</v>
      </c>
      <c r="D186" s="57">
        <v>45752</v>
      </c>
      <c r="F186" t="s">
        <v>16</v>
      </c>
      <c r="G186" s="11">
        <v>26</v>
      </c>
      <c r="H186" t="s">
        <v>525</v>
      </c>
      <c r="I186" t="s">
        <v>42</v>
      </c>
    </row>
    <row r="187" spans="1:13">
      <c r="A187" t="s">
        <v>316</v>
      </c>
      <c r="B187" t="s">
        <v>2132</v>
      </c>
      <c r="C187" t="s">
        <v>526</v>
      </c>
      <c r="D187" s="57">
        <v>45757</v>
      </c>
      <c r="F187" t="s">
        <v>16</v>
      </c>
      <c r="G187" s="11">
        <v>26</v>
      </c>
      <c r="H187" t="s">
        <v>527</v>
      </c>
      <c r="I187" t="s">
        <v>42</v>
      </c>
    </row>
    <row r="188" spans="1:13">
      <c r="A188" t="s">
        <v>316</v>
      </c>
      <c r="B188" t="s">
        <v>2132</v>
      </c>
      <c r="C188" t="s">
        <v>528</v>
      </c>
      <c r="D188" s="57">
        <v>45758</v>
      </c>
      <c r="F188" t="s">
        <v>16</v>
      </c>
      <c r="G188" s="11">
        <v>52</v>
      </c>
      <c r="H188" t="s">
        <v>529</v>
      </c>
      <c r="I188" t="s">
        <v>42</v>
      </c>
    </row>
    <row r="189" spans="1:13">
      <c r="A189" t="s">
        <v>316</v>
      </c>
      <c r="B189" t="s">
        <v>2132</v>
      </c>
      <c r="C189" t="s">
        <v>530</v>
      </c>
      <c r="D189" s="57">
        <v>45762</v>
      </c>
      <c r="F189" t="s">
        <v>16</v>
      </c>
      <c r="G189" s="11">
        <v>52</v>
      </c>
      <c r="H189" t="s">
        <v>531</v>
      </c>
      <c r="I189" t="s">
        <v>457</v>
      </c>
    </row>
    <row r="190" spans="1:13">
      <c r="A190" t="s">
        <v>316</v>
      </c>
      <c r="B190" t="s">
        <v>2132</v>
      </c>
      <c r="C190" t="s">
        <v>532</v>
      </c>
      <c r="D190" s="57">
        <v>45763</v>
      </c>
      <c r="F190" t="s">
        <v>16</v>
      </c>
      <c r="G190" s="11">
        <v>52</v>
      </c>
      <c r="H190" t="s">
        <v>533</v>
      </c>
      <c r="I190" t="s">
        <v>457</v>
      </c>
    </row>
    <row r="191" spans="1:13">
      <c r="A191" t="s">
        <v>316</v>
      </c>
      <c r="B191" t="s">
        <v>2132</v>
      </c>
      <c r="C191" t="s">
        <v>534</v>
      </c>
      <c r="D191" s="57">
        <v>45764</v>
      </c>
      <c r="F191" t="s">
        <v>16</v>
      </c>
      <c r="G191" s="11">
        <v>63</v>
      </c>
      <c r="H191" t="s">
        <v>535</v>
      </c>
      <c r="I191" t="s">
        <v>457</v>
      </c>
    </row>
    <row r="192" spans="1:13">
      <c r="A192" t="s">
        <v>316</v>
      </c>
      <c r="B192" t="s">
        <v>2132</v>
      </c>
      <c r="C192" t="s">
        <v>536</v>
      </c>
      <c r="D192" s="57">
        <v>45765</v>
      </c>
      <c r="F192" t="s">
        <v>16</v>
      </c>
      <c r="G192" s="11">
        <v>52</v>
      </c>
      <c r="H192" t="s">
        <v>537</v>
      </c>
      <c r="I192" t="s">
        <v>457</v>
      </c>
    </row>
    <row r="193" spans="1:13">
      <c r="A193" t="s">
        <v>316</v>
      </c>
      <c r="B193" t="s">
        <v>2132</v>
      </c>
      <c r="C193" t="s">
        <v>538</v>
      </c>
      <c r="D193" s="57">
        <v>45784</v>
      </c>
      <c r="F193" t="s">
        <v>16</v>
      </c>
      <c r="G193" s="11">
        <v>26</v>
      </c>
      <c r="H193" t="s">
        <v>539</v>
      </c>
      <c r="I193" t="s">
        <v>457</v>
      </c>
    </row>
    <row r="194" spans="1:13">
      <c r="A194" t="s">
        <v>316</v>
      </c>
      <c r="B194" t="s">
        <v>2132</v>
      </c>
      <c r="C194" t="s">
        <v>540</v>
      </c>
      <c r="D194" s="57">
        <v>45785</v>
      </c>
      <c r="F194" t="s">
        <v>16</v>
      </c>
      <c r="G194" s="11">
        <v>26</v>
      </c>
      <c r="H194" t="s">
        <v>541</v>
      </c>
      <c r="I194" t="s">
        <v>457</v>
      </c>
    </row>
    <row r="195" spans="1:13">
      <c r="A195" t="s">
        <v>316</v>
      </c>
      <c r="B195" t="s">
        <v>2132</v>
      </c>
      <c r="C195" t="s">
        <v>542</v>
      </c>
      <c r="D195" s="57">
        <v>45790</v>
      </c>
      <c r="F195" t="s">
        <v>16</v>
      </c>
      <c r="G195" s="11">
        <v>39</v>
      </c>
      <c r="H195" t="s">
        <v>543</v>
      </c>
      <c r="I195" t="s">
        <v>42</v>
      </c>
    </row>
    <row r="196" spans="1:13">
      <c r="A196" t="s">
        <v>316</v>
      </c>
      <c r="B196" t="s">
        <v>2132</v>
      </c>
      <c r="C196" t="s">
        <v>544</v>
      </c>
      <c r="D196" s="57">
        <v>45791</v>
      </c>
      <c r="F196" t="s">
        <v>16</v>
      </c>
      <c r="G196" s="11">
        <v>39</v>
      </c>
      <c r="H196" t="s">
        <v>545</v>
      </c>
      <c r="I196" t="s">
        <v>42</v>
      </c>
    </row>
    <row r="197" spans="1:13">
      <c r="A197" t="s">
        <v>316</v>
      </c>
      <c r="B197" t="s">
        <v>2132</v>
      </c>
      <c r="C197" t="s">
        <v>546</v>
      </c>
      <c r="D197" s="57">
        <v>45808</v>
      </c>
      <c r="F197" t="s">
        <v>16</v>
      </c>
      <c r="G197" s="11">
        <v>13</v>
      </c>
      <c r="H197" t="s">
        <v>547</v>
      </c>
      <c r="I197" t="s">
        <v>42</v>
      </c>
    </row>
    <row r="198" spans="1:13">
      <c r="A198" t="s">
        <v>316</v>
      </c>
      <c r="B198" t="s">
        <v>2132</v>
      </c>
      <c r="C198" t="s">
        <v>548</v>
      </c>
      <c r="D198" s="57">
        <v>45839</v>
      </c>
      <c r="F198" t="s">
        <v>16</v>
      </c>
      <c r="G198" s="11">
        <v>78</v>
      </c>
      <c r="H198" t="s">
        <v>549</v>
      </c>
      <c r="I198" t="s">
        <v>42</v>
      </c>
    </row>
    <row r="199" spans="1:13">
      <c r="A199" t="s">
        <v>316</v>
      </c>
      <c r="B199" t="s">
        <v>2132</v>
      </c>
      <c r="C199" t="s">
        <v>550</v>
      </c>
      <c r="D199" s="57">
        <v>45839</v>
      </c>
      <c r="F199" t="s">
        <v>16</v>
      </c>
      <c r="G199" s="11">
        <v>78</v>
      </c>
      <c r="H199" t="s">
        <v>551</v>
      </c>
      <c r="I199" t="s">
        <v>42</v>
      </c>
    </row>
    <row r="200" spans="1:13">
      <c r="A200" t="s">
        <v>316</v>
      </c>
      <c r="B200" t="s">
        <v>2132</v>
      </c>
      <c r="C200" t="s">
        <v>552</v>
      </c>
      <c r="D200" s="57">
        <v>45839</v>
      </c>
      <c r="F200" t="s">
        <v>16</v>
      </c>
      <c r="G200" s="11">
        <v>-78</v>
      </c>
      <c r="H200" t="s">
        <v>553</v>
      </c>
      <c r="I200" t="s">
        <v>554</v>
      </c>
    </row>
    <row r="201" spans="1:13">
      <c r="A201" t="s">
        <v>316</v>
      </c>
      <c r="B201" t="s">
        <v>2132</v>
      </c>
      <c r="C201" t="s">
        <v>555</v>
      </c>
      <c r="D201" s="57">
        <v>45919</v>
      </c>
      <c r="F201" t="s">
        <v>16</v>
      </c>
      <c r="G201" s="11">
        <v>26</v>
      </c>
      <c r="H201" t="s">
        <v>556</v>
      </c>
      <c r="I201" t="s">
        <v>457</v>
      </c>
    </row>
    <row r="202" spans="1:13">
      <c r="A202" t="s">
        <v>557</v>
      </c>
      <c r="B202" t="s">
        <v>2134</v>
      </c>
      <c r="F202" t="s">
        <v>49</v>
      </c>
      <c r="G202" s="11">
        <v>2000</v>
      </c>
      <c r="J202" t="s">
        <v>83</v>
      </c>
      <c r="K202">
        <v>45957</v>
      </c>
      <c r="L202">
        <v>2000</v>
      </c>
      <c r="M202" t="s">
        <v>246</v>
      </c>
    </row>
    <row r="203" spans="1:13">
      <c r="A203" t="s">
        <v>316</v>
      </c>
      <c r="B203" t="s">
        <v>2135</v>
      </c>
      <c r="C203" t="s">
        <v>560</v>
      </c>
      <c r="D203" s="57">
        <v>45688</v>
      </c>
      <c r="E203" s="57">
        <v>45688</v>
      </c>
      <c r="F203" t="s">
        <v>16</v>
      </c>
      <c r="G203" s="11">
        <v>5000</v>
      </c>
      <c r="H203" t="s">
        <v>561</v>
      </c>
      <c r="I203" t="s">
        <v>312</v>
      </c>
      <c r="J203" t="s">
        <v>56</v>
      </c>
      <c r="K203">
        <v>45712</v>
      </c>
      <c r="L203">
        <v>5000</v>
      </c>
      <c r="M203" t="s">
        <v>111</v>
      </c>
    </row>
    <row r="204" spans="1:13">
      <c r="A204" t="s">
        <v>316</v>
      </c>
      <c r="B204" t="s">
        <v>2135</v>
      </c>
      <c r="C204" t="s">
        <v>560</v>
      </c>
      <c r="D204" s="57">
        <v>45688</v>
      </c>
      <c r="E204" s="57">
        <v>45688</v>
      </c>
      <c r="F204" t="s">
        <v>16</v>
      </c>
      <c r="G204" s="11">
        <v>4000</v>
      </c>
      <c r="H204" t="s">
        <v>561</v>
      </c>
      <c r="I204" t="s">
        <v>312</v>
      </c>
      <c r="J204" t="s">
        <v>56</v>
      </c>
      <c r="K204">
        <v>45791</v>
      </c>
      <c r="L204">
        <v>4000</v>
      </c>
      <c r="M204" t="s">
        <v>345</v>
      </c>
    </row>
    <row r="205" spans="1:13">
      <c r="A205" t="s">
        <v>316</v>
      </c>
      <c r="B205" t="s">
        <v>2136</v>
      </c>
      <c r="C205" t="s">
        <v>563</v>
      </c>
      <c r="D205" s="57">
        <v>45687</v>
      </c>
      <c r="E205" s="57">
        <v>45687</v>
      </c>
      <c r="F205" t="s">
        <v>16</v>
      </c>
      <c r="G205" s="11">
        <v>2.8</v>
      </c>
      <c r="H205" t="s">
        <v>564</v>
      </c>
      <c r="I205" t="s">
        <v>565</v>
      </c>
      <c r="J205" t="s">
        <v>150</v>
      </c>
      <c r="K205">
        <v>45687</v>
      </c>
      <c r="L205">
        <v>2.8</v>
      </c>
      <c r="M205" t="s">
        <v>151</v>
      </c>
    </row>
    <row r="206" spans="1:13">
      <c r="A206">
        <v>2024</v>
      </c>
      <c r="B206" t="s">
        <v>2137</v>
      </c>
      <c r="C206" t="s">
        <v>568</v>
      </c>
      <c r="D206" s="57">
        <v>45637</v>
      </c>
      <c r="E206" s="57">
        <v>45657</v>
      </c>
      <c r="F206" t="s">
        <v>16</v>
      </c>
      <c r="G206" s="11">
        <v>272.72000000000003</v>
      </c>
      <c r="H206" t="s">
        <v>569</v>
      </c>
      <c r="I206" t="s">
        <v>312</v>
      </c>
      <c r="J206" t="s">
        <v>570</v>
      </c>
      <c r="M206" t="s">
        <v>571</v>
      </c>
    </row>
    <row r="207" spans="1:13">
      <c r="B207" t="s">
        <v>2137</v>
      </c>
      <c r="C207" t="s">
        <v>572</v>
      </c>
      <c r="D207" s="57">
        <v>45670</v>
      </c>
      <c r="E207" s="57">
        <v>45691</v>
      </c>
      <c r="F207" t="s">
        <v>16</v>
      </c>
      <c r="G207" s="11">
        <v>301.44</v>
      </c>
      <c r="H207" t="s">
        <v>573</v>
      </c>
      <c r="I207" t="s">
        <v>342</v>
      </c>
      <c r="J207" t="s">
        <v>570</v>
      </c>
      <c r="M207" t="s">
        <v>571</v>
      </c>
    </row>
    <row r="208" spans="1:13">
      <c r="B208" t="s">
        <v>2137</v>
      </c>
      <c r="C208" t="s">
        <v>574</v>
      </c>
      <c r="D208" s="57">
        <v>45698</v>
      </c>
      <c r="E208" s="57">
        <v>45719</v>
      </c>
      <c r="F208" t="s">
        <v>16</v>
      </c>
      <c r="G208" s="11">
        <v>32.04</v>
      </c>
      <c r="H208" t="s">
        <v>575</v>
      </c>
      <c r="I208" t="s">
        <v>312</v>
      </c>
      <c r="J208" t="s">
        <v>570</v>
      </c>
      <c r="M208" t="s">
        <v>571</v>
      </c>
    </row>
    <row r="209" spans="1:13">
      <c r="A209" t="s">
        <v>576</v>
      </c>
      <c r="B209" t="s">
        <v>2137</v>
      </c>
      <c r="C209" t="s">
        <v>2139</v>
      </c>
      <c r="F209" t="s">
        <v>49</v>
      </c>
      <c r="G209" s="11">
        <v>400</v>
      </c>
      <c r="I209" t="s">
        <v>577</v>
      </c>
      <c r="J209" t="s">
        <v>83</v>
      </c>
      <c r="K209">
        <v>45957</v>
      </c>
      <c r="L209">
        <v>400</v>
      </c>
      <c r="M209" t="s">
        <v>246</v>
      </c>
    </row>
    <row r="210" spans="1:13">
      <c r="B210" t="s">
        <v>2141</v>
      </c>
      <c r="C210" t="s">
        <v>741</v>
      </c>
      <c r="D210" s="57">
        <v>45748</v>
      </c>
      <c r="F210" t="s">
        <v>16</v>
      </c>
      <c r="G210" s="11">
        <v>77</v>
      </c>
      <c r="H210" t="s">
        <v>742</v>
      </c>
      <c r="J210" t="s">
        <v>150</v>
      </c>
      <c r="K210">
        <v>45776</v>
      </c>
    </row>
    <row r="211" spans="1:13">
      <c r="B211" t="s">
        <v>2141</v>
      </c>
      <c r="C211" t="s">
        <v>743</v>
      </c>
      <c r="D211" s="57">
        <v>45870</v>
      </c>
      <c r="F211" t="s">
        <v>16</v>
      </c>
      <c r="G211" s="11">
        <v>77</v>
      </c>
      <c r="H211" t="s">
        <v>744</v>
      </c>
      <c r="J211" t="s">
        <v>150</v>
      </c>
    </row>
    <row r="212" spans="1:13">
      <c r="B212" t="s">
        <v>2142</v>
      </c>
      <c r="C212" t="s">
        <v>581</v>
      </c>
      <c r="D212" s="57">
        <v>45688</v>
      </c>
      <c r="E212" s="57">
        <v>45726</v>
      </c>
      <c r="F212" t="s">
        <v>16</v>
      </c>
      <c r="G212" s="11">
        <v>638.42999999999995</v>
      </c>
      <c r="H212" t="s">
        <v>582</v>
      </c>
      <c r="I212" t="s">
        <v>312</v>
      </c>
      <c r="J212" t="s">
        <v>66</v>
      </c>
      <c r="K212">
        <v>45730</v>
      </c>
      <c r="L212">
        <v>638.42999999999995</v>
      </c>
      <c r="M212" t="s">
        <v>111</v>
      </c>
    </row>
    <row r="213" spans="1:13">
      <c r="B213" t="s">
        <v>2142</v>
      </c>
      <c r="C213" t="s">
        <v>583</v>
      </c>
      <c r="D213" s="57">
        <v>45716</v>
      </c>
      <c r="E213" s="57">
        <v>45757</v>
      </c>
      <c r="F213" t="s">
        <v>16</v>
      </c>
      <c r="G213" s="11">
        <v>489.71</v>
      </c>
      <c r="H213" t="s">
        <v>584</v>
      </c>
      <c r="I213" t="s">
        <v>436</v>
      </c>
      <c r="J213" t="s">
        <v>110</v>
      </c>
      <c r="K213">
        <v>45757</v>
      </c>
      <c r="L213">
        <v>489.71</v>
      </c>
    </row>
    <row r="214" spans="1:13">
      <c r="B214" t="s">
        <v>2142</v>
      </c>
      <c r="C214" t="s">
        <v>585</v>
      </c>
      <c r="D214" s="57">
        <v>45747</v>
      </c>
      <c r="G214" s="11">
        <v>573.77</v>
      </c>
    </row>
    <row r="215" spans="1:13">
      <c r="B215" t="s">
        <v>2142</v>
      </c>
      <c r="C215" t="s">
        <v>586</v>
      </c>
      <c r="D215" s="57">
        <v>45808</v>
      </c>
      <c r="E215" s="57">
        <v>45848</v>
      </c>
      <c r="F215" t="s">
        <v>16</v>
      </c>
      <c r="G215" s="11">
        <v>1349.69</v>
      </c>
      <c r="H215" t="s">
        <v>587</v>
      </c>
      <c r="I215" t="s">
        <v>588</v>
      </c>
      <c r="J215" t="s">
        <v>83</v>
      </c>
      <c r="K215">
        <v>45945</v>
      </c>
      <c r="L215">
        <v>2065.71</v>
      </c>
      <c r="M215" t="s">
        <v>589</v>
      </c>
    </row>
    <row r="216" spans="1:13">
      <c r="B216" t="s">
        <v>2142</v>
      </c>
      <c r="C216" t="s">
        <v>590</v>
      </c>
      <c r="D216" s="57">
        <v>45869</v>
      </c>
      <c r="E216" s="57">
        <v>45910</v>
      </c>
      <c r="F216" t="s">
        <v>16</v>
      </c>
      <c r="G216" s="11">
        <v>716.02</v>
      </c>
      <c r="H216" t="s">
        <v>591</v>
      </c>
      <c r="I216" t="s">
        <v>592</v>
      </c>
      <c r="J216" t="s">
        <v>83</v>
      </c>
      <c r="K216">
        <v>45945</v>
      </c>
      <c r="L216">
        <v>2065.71</v>
      </c>
      <c r="M216" t="s">
        <v>589</v>
      </c>
    </row>
    <row r="217" spans="1:13">
      <c r="A217" t="s">
        <v>13</v>
      </c>
      <c r="B217" t="s">
        <v>2143</v>
      </c>
      <c r="C217" t="s">
        <v>594</v>
      </c>
      <c r="D217" s="57">
        <v>45638</v>
      </c>
      <c r="E217" s="57">
        <v>45698</v>
      </c>
      <c r="F217" t="s">
        <v>16</v>
      </c>
      <c r="G217" s="11">
        <v>158.6</v>
      </c>
      <c r="H217" t="s">
        <v>595</v>
      </c>
      <c r="I217" t="s">
        <v>596</v>
      </c>
      <c r="J217" t="s">
        <v>597</v>
      </c>
    </row>
    <row r="218" spans="1:13">
      <c r="A218" t="s">
        <v>13</v>
      </c>
      <c r="B218" t="s">
        <v>2143</v>
      </c>
      <c r="C218" t="s">
        <v>598</v>
      </c>
      <c r="D218" s="57">
        <v>45643</v>
      </c>
      <c r="E218" s="57">
        <v>45703</v>
      </c>
      <c r="F218" t="s">
        <v>16</v>
      </c>
      <c r="G218" s="11">
        <v>158.6</v>
      </c>
      <c r="H218" t="s">
        <v>599</v>
      </c>
      <c r="I218" t="s">
        <v>312</v>
      </c>
      <c r="J218" t="s">
        <v>56</v>
      </c>
    </row>
    <row r="219" spans="1:13">
      <c r="A219" t="s">
        <v>13</v>
      </c>
      <c r="B219" t="s">
        <v>2143</v>
      </c>
      <c r="C219" t="s">
        <v>600</v>
      </c>
      <c r="D219" s="57">
        <v>45666</v>
      </c>
      <c r="E219" s="57">
        <v>45747</v>
      </c>
      <c r="F219" t="s">
        <v>16</v>
      </c>
      <c r="G219" s="11">
        <v>158.6</v>
      </c>
      <c r="H219" t="s">
        <v>601</v>
      </c>
      <c r="I219" t="s">
        <v>87</v>
      </c>
      <c r="J219" t="s">
        <v>56</v>
      </c>
    </row>
    <row r="220" spans="1:13">
      <c r="A220" t="s">
        <v>13</v>
      </c>
      <c r="B220" t="s">
        <v>2143</v>
      </c>
      <c r="C220" t="s">
        <v>602</v>
      </c>
      <c r="D220" s="57">
        <v>45671</v>
      </c>
      <c r="E220" s="57">
        <v>45747</v>
      </c>
      <c r="F220" t="s">
        <v>16</v>
      </c>
      <c r="G220" s="11">
        <v>158.6</v>
      </c>
      <c r="H220" t="s">
        <v>603</v>
      </c>
      <c r="I220" t="s">
        <v>312</v>
      </c>
      <c r="J220" t="s">
        <v>56</v>
      </c>
    </row>
    <row r="221" spans="1:13">
      <c r="A221" t="s">
        <v>13</v>
      </c>
      <c r="B221" t="s">
        <v>2143</v>
      </c>
      <c r="C221" t="s">
        <v>604</v>
      </c>
      <c r="D221" s="57">
        <v>45694</v>
      </c>
      <c r="F221" t="s">
        <v>16</v>
      </c>
      <c r="G221" s="11">
        <v>158.6</v>
      </c>
      <c r="H221" t="s">
        <v>605</v>
      </c>
      <c r="I221" t="s">
        <v>87</v>
      </c>
      <c r="J221" t="s">
        <v>56</v>
      </c>
    </row>
    <row r="222" spans="1:13">
      <c r="A222" t="s">
        <v>13</v>
      </c>
      <c r="B222" t="s">
        <v>2143</v>
      </c>
      <c r="C222" t="s">
        <v>606</v>
      </c>
      <c r="D222" s="57">
        <v>45699</v>
      </c>
      <c r="F222" t="s">
        <v>16</v>
      </c>
      <c r="G222" s="11">
        <v>158.6</v>
      </c>
      <c r="H222" t="s">
        <v>607</v>
      </c>
      <c r="I222" t="s">
        <v>608</v>
      </c>
      <c r="J222" t="s">
        <v>56</v>
      </c>
    </row>
    <row r="223" spans="1:13">
      <c r="A223" t="s">
        <v>13</v>
      </c>
      <c r="B223" t="s">
        <v>2143</v>
      </c>
      <c r="C223" t="s">
        <v>609</v>
      </c>
      <c r="D223" s="57">
        <v>45722</v>
      </c>
      <c r="F223" t="s">
        <v>16</v>
      </c>
      <c r="G223" s="11">
        <v>158.6</v>
      </c>
      <c r="H223" t="s">
        <v>610</v>
      </c>
      <c r="I223" t="s">
        <v>87</v>
      </c>
      <c r="J223" t="s">
        <v>66</v>
      </c>
    </row>
    <row r="224" spans="1:13">
      <c r="A224" t="s">
        <v>13</v>
      </c>
      <c r="B224" t="s">
        <v>2143</v>
      </c>
      <c r="C224" t="s">
        <v>611</v>
      </c>
      <c r="D224" s="57">
        <v>45750</v>
      </c>
      <c r="F224" t="s">
        <v>49</v>
      </c>
      <c r="G224" s="11">
        <v>158.6</v>
      </c>
      <c r="H224" t="s">
        <v>612</v>
      </c>
      <c r="I224" t="s">
        <v>87</v>
      </c>
      <c r="J224" t="s">
        <v>56</v>
      </c>
      <c r="K224">
        <v>45968</v>
      </c>
      <c r="L224">
        <v>634.4</v>
      </c>
      <c r="M224" t="s">
        <v>613</v>
      </c>
    </row>
    <row r="225" spans="1:13">
      <c r="A225" t="s">
        <v>13</v>
      </c>
      <c r="B225" t="s">
        <v>2143</v>
      </c>
      <c r="C225" t="s">
        <v>614</v>
      </c>
      <c r="D225" s="57">
        <v>45778</v>
      </c>
      <c r="F225" t="s">
        <v>49</v>
      </c>
      <c r="G225" s="11">
        <v>158.6</v>
      </c>
      <c r="H225" t="s">
        <v>615</v>
      </c>
      <c r="I225" t="s">
        <v>87</v>
      </c>
      <c r="J225" t="s">
        <v>56</v>
      </c>
      <c r="K225">
        <v>45968</v>
      </c>
      <c r="L225">
        <v>634.4</v>
      </c>
      <c r="M225" t="s">
        <v>613</v>
      </c>
    </row>
    <row r="226" spans="1:13">
      <c r="A226" t="s">
        <v>13</v>
      </c>
      <c r="B226" t="s">
        <v>2143</v>
      </c>
      <c r="C226" t="s">
        <v>616</v>
      </c>
      <c r="D226" s="57">
        <v>45806</v>
      </c>
      <c r="F226" t="s">
        <v>49</v>
      </c>
      <c r="G226" s="11">
        <v>158.6</v>
      </c>
      <c r="H226" t="s">
        <v>617</v>
      </c>
      <c r="I226" t="s">
        <v>87</v>
      </c>
      <c r="J226" t="s">
        <v>56</v>
      </c>
      <c r="K226">
        <v>45968</v>
      </c>
      <c r="L226">
        <v>634.4</v>
      </c>
      <c r="M226" t="s">
        <v>613</v>
      </c>
    </row>
    <row r="227" spans="1:13">
      <c r="A227" t="s">
        <v>13</v>
      </c>
      <c r="B227" t="s">
        <v>2143</v>
      </c>
      <c r="C227" t="s">
        <v>618</v>
      </c>
      <c r="D227" s="57">
        <v>45834</v>
      </c>
      <c r="F227" t="s">
        <v>49</v>
      </c>
      <c r="G227" s="11">
        <v>158.6</v>
      </c>
      <c r="H227" t="s">
        <v>446</v>
      </c>
      <c r="I227" t="s">
        <v>436</v>
      </c>
      <c r="J227" t="s">
        <v>56</v>
      </c>
      <c r="K227">
        <v>45968</v>
      </c>
      <c r="L227">
        <v>634.4</v>
      </c>
      <c r="M227" t="s">
        <v>613</v>
      </c>
    </row>
    <row r="228" spans="1:13">
      <c r="B228" t="s">
        <v>2144</v>
      </c>
      <c r="C228" t="s">
        <v>620</v>
      </c>
      <c r="F228" t="s">
        <v>16</v>
      </c>
      <c r="G228" s="11">
        <v>6400</v>
      </c>
      <c r="H228" t="s">
        <v>621</v>
      </c>
      <c r="J228" t="s">
        <v>622</v>
      </c>
    </row>
    <row r="229" spans="1:13">
      <c r="B229" t="s">
        <v>2144</v>
      </c>
      <c r="E229" s="57">
        <v>45713</v>
      </c>
      <c r="F229" t="s">
        <v>16</v>
      </c>
      <c r="G229" s="11">
        <v>2757.9</v>
      </c>
      <c r="H229" t="s">
        <v>623</v>
      </c>
      <c r="J229" t="s">
        <v>56</v>
      </c>
      <c r="K229">
        <v>45826</v>
      </c>
      <c r="L229">
        <v>4000</v>
      </c>
      <c r="M229" t="s">
        <v>345</v>
      </c>
    </row>
    <row r="230" spans="1:13">
      <c r="B230" t="s">
        <v>2144</v>
      </c>
      <c r="E230" s="57">
        <v>45736</v>
      </c>
      <c r="F230" t="s">
        <v>16</v>
      </c>
      <c r="G230" s="11">
        <v>1985.2</v>
      </c>
      <c r="J230" t="s">
        <v>56</v>
      </c>
      <c r="K230">
        <v>45826</v>
      </c>
      <c r="L230">
        <v>4000</v>
      </c>
      <c r="M230" t="s">
        <v>345</v>
      </c>
    </row>
    <row r="231" spans="1:13">
      <c r="B231" t="s">
        <v>2144</v>
      </c>
      <c r="E231" s="57">
        <v>45769</v>
      </c>
      <c r="F231" t="s">
        <v>16</v>
      </c>
      <c r="G231" s="11">
        <v>2014.8</v>
      </c>
      <c r="J231" t="s">
        <v>66</v>
      </c>
      <c r="K231">
        <v>45826</v>
      </c>
      <c r="L231">
        <v>2175.13</v>
      </c>
      <c r="M231" t="s">
        <v>111</v>
      </c>
    </row>
    <row r="232" spans="1:13">
      <c r="B232" t="s">
        <v>2144</v>
      </c>
      <c r="E232" s="57">
        <v>45769</v>
      </c>
      <c r="F232" t="s">
        <v>16</v>
      </c>
      <c r="G232" s="11">
        <v>56.489999999999782</v>
      </c>
      <c r="J232" t="s">
        <v>66</v>
      </c>
      <c r="K232">
        <v>45826</v>
      </c>
      <c r="L232">
        <v>2175.13</v>
      </c>
      <c r="M232" t="s">
        <v>111</v>
      </c>
    </row>
    <row r="233" spans="1:13">
      <c r="B233" t="s">
        <v>2144</v>
      </c>
      <c r="E233" s="57">
        <v>45797</v>
      </c>
      <c r="F233" t="s">
        <v>16</v>
      </c>
      <c r="G233" s="11">
        <v>2118.64</v>
      </c>
      <c r="J233" t="s">
        <v>56</v>
      </c>
    </row>
    <row r="234" spans="1:13">
      <c r="B234" t="s">
        <v>2144</v>
      </c>
      <c r="E234" s="57">
        <v>45797</v>
      </c>
      <c r="G234" s="11">
        <v>2433.0100000000002</v>
      </c>
      <c r="J234" t="s">
        <v>56</v>
      </c>
    </row>
    <row r="235" spans="1:13">
      <c r="B235" t="s">
        <v>2144</v>
      </c>
      <c r="E235" s="57">
        <v>45859</v>
      </c>
      <c r="G235" s="11">
        <v>2219.64</v>
      </c>
      <c r="J235" t="s">
        <v>56</v>
      </c>
    </row>
    <row r="236" spans="1:13">
      <c r="A236" t="s">
        <v>90</v>
      </c>
      <c r="B236" t="s">
        <v>2144</v>
      </c>
      <c r="I236" t="s">
        <v>2375</v>
      </c>
    </row>
    <row r="237" spans="1:13">
      <c r="B237" t="s">
        <v>2144</v>
      </c>
      <c r="C237" t="s">
        <v>624</v>
      </c>
      <c r="E237" s="57">
        <v>45981</v>
      </c>
      <c r="F237" t="s">
        <v>49</v>
      </c>
      <c r="G237" s="11">
        <v>1423.22</v>
      </c>
      <c r="I237" t="s">
        <v>625</v>
      </c>
      <c r="J237" t="s">
        <v>83</v>
      </c>
      <c r="K237">
        <v>45978</v>
      </c>
      <c r="L237">
        <v>1423</v>
      </c>
      <c r="M237" t="s">
        <v>19</v>
      </c>
    </row>
    <row r="238" spans="1:13">
      <c r="B238" t="s">
        <v>2144</v>
      </c>
      <c r="F238" t="s">
        <v>16</v>
      </c>
      <c r="G238" s="11">
        <v>2458.96</v>
      </c>
      <c r="J238" t="s">
        <v>56</v>
      </c>
      <c r="K238">
        <v>45945</v>
      </c>
      <c r="L238">
        <v>2458.96</v>
      </c>
      <c r="M238" t="s">
        <v>71</v>
      </c>
    </row>
    <row r="239" spans="1:13">
      <c r="A239" t="s">
        <v>2376</v>
      </c>
      <c r="B239" t="s">
        <v>2144</v>
      </c>
      <c r="G239" s="11">
        <v>5700</v>
      </c>
      <c r="I239" t="s">
        <v>2377</v>
      </c>
      <c r="J239" t="s">
        <v>622</v>
      </c>
    </row>
    <row r="240" spans="1:13">
      <c r="A240" t="s">
        <v>626</v>
      </c>
      <c r="B240" t="s">
        <v>2144</v>
      </c>
      <c r="J240" t="s">
        <v>622</v>
      </c>
      <c r="K240">
        <v>45992</v>
      </c>
      <c r="L240">
        <v>1140</v>
      </c>
      <c r="M240" t="s">
        <v>627</v>
      </c>
    </row>
    <row r="241" spans="1:13">
      <c r="A241" t="s">
        <v>628</v>
      </c>
      <c r="B241" t="s">
        <v>2144</v>
      </c>
      <c r="J241" t="s">
        <v>622</v>
      </c>
      <c r="K241">
        <v>46020</v>
      </c>
      <c r="L241">
        <v>1140</v>
      </c>
      <c r="M241" t="s">
        <v>627</v>
      </c>
    </row>
    <row r="242" spans="1:13">
      <c r="A242" t="s">
        <v>629</v>
      </c>
      <c r="B242" t="s">
        <v>2144</v>
      </c>
      <c r="J242" t="s">
        <v>622</v>
      </c>
      <c r="K242">
        <v>46052</v>
      </c>
      <c r="L242">
        <v>1140</v>
      </c>
      <c r="M242" t="s">
        <v>627</v>
      </c>
    </row>
    <row r="243" spans="1:13">
      <c r="A243" t="s">
        <v>630</v>
      </c>
      <c r="B243" t="s">
        <v>2144</v>
      </c>
      <c r="J243" t="s">
        <v>622</v>
      </c>
      <c r="K243">
        <v>46080</v>
      </c>
      <c r="L243">
        <v>1140</v>
      </c>
      <c r="M243" t="s">
        <v>627</v>
      </c>
    </row>
    <row r="244" spans="1:13">
      <c r="A244" t="s">
        <v>631</v>
      </c>
      <c r="B244" t="s">
        <v>2144</v>
      </c>
      <c r="J244" t="s">
        <v>622</v>
      </c>
      <c r="K244">
        <v>46112</v>
      </c>
      <c r="L244">
        <v>1140</v>
      </c>
      <c r="M244" t="s">
        <v>627</v>
      </c>
    </row>
    <row r="245" spans="1:13">
      <c r="A245" t="s">
        <v>634</v>
      </c>
      <c r="B245" t="s">
        <v>2152</v>
      </c>
      <c r="C245" t="s">
        <v>468</v>
      </c>
      <c r="D245" s="57">
        <v>45672</v>
      </c>
      <c r="F245" t="s">
        <v>16</v>
      </c>
      <c r="G245" s="11">
        <v>9901.9500000000007</v>
      </c>
      <c r="H245" t="s">
        <v>636</v>
      </c>
      <c r="J245" t="s">
        <v>637</v>
      </c>
      <c r="K245" t="s">
        <v>638</v>
      </c>
    </row>
    <row r="246" spans="1:13">
      <c r="A246" t="s">
        <v>634</v>
      </c>
      <c r="B246" t="s">
        <v>2152</v>
      </c>
      <c r="C246" t="s">
        <v>468</v>
      </c>
      <c r="D246" s="57">
        <v>45672</v>
      </c>
      <c r="F246" t="s">
        <v>16</v>
      </c>
      <c r="G246" s="11">
        <v>2145.2099999999991</v>
      </c>
      <c r="H246" t="s">
        <v>636</v>
      </c>
      <c r="J246" t="s">
        <v>637</v>
      </c>
      <c r="K246" t="s">
        <v>639</v>
      </c>
      <c r="M246" t="s">
        <v>640</v>
      </c>
    </row>
    <row r="247" spans="1:13">
      <c r="A247" t="s">
        <v>634</v>
      </c>
      <c r="B247" t="s">
        <v>2152</v>
      </c>
      <c r="C247" t="s">
        <v>641</v>
      </c>
      <c r="D247" s="57">
        <v>45688</v>
      </c>
      <c r="F247" t="s">
        <v>16</v>
      </c>
      <c r="G247" s="11">
        <v>5655.13</v>
      </c>
      <c r="H247" t="s">
        <v>642</v>
      </c>
      <c r="J247" t="s">
        <v>637</v>
      </c>
      <c r="K247" t="s">
        <v>638</v>
      </c>
    </row>
    <row r="248" spans="1:13">
      <c r="A248" t="s">
        <v>634</v>
      </c>
      <c r="B248" t="s">
        <v>2152</v>
      </c>
      <c r="C248" t="s">
        <v>641</v>
      </c>
      <c r="D248" s="57">
        <v>45688</v>
      </c>
      <c r="F248" t="s">
        <v>16</v>
      </c>
      <c r="G248" s="11">
        <v>1244.1300000000001</v>
      </c>
      <c r="H248" t="s">
        <v>642</v>
      </c>
      <c r="J248" t="s">
        <v>637</v>
      </c>
      <c r="K248" t="s">
        <v>643</v>
      </c>
    </row>
    <row r="249" spans="1:13">
      <c r="A249" t="s">
        <v>634</v>
      </c>
      <c r="B249" t="s">
        <v>2152</v>
      </c>
      <c r="C249" t="s">
        <v>644</v>
      </c>
      <c r="D249" s="57">
        <v>45580</v>
      </c>
      <c r="E249" s="57">
        <v>45580</v>
      </c>
      <c r="F249" t="s">
        <v>16</v>
      </c>
      <c r="G249" s="11">
        <v>5104.53</v>
      </c>
      <c r="H249" t="s">
        <v>645</v>
      </c>
      <c r="I249" t="s">
        <v>646</v>
      </c>
      <c r="J249" t="s">
        <v>637</v>
      </c>
      <c r="K249" t="s">
        <v>643</v>
      </c>
    </row>
    <row r="250" spans="1:13">
      <c r="A250" t="s">
        <v>634</v>
      </c>
      <c r="B250" t="s">
        <v>2152</v>
      </c>
      <c r="C250" t="s">
        <v>647</v>
      </c>
      <c r="D250" s="57">
        <v>45596</v>
      </c>
      <c r="E250" s="57">
        <v>45596</v>
      </c>
      <c r="F250" t="s">
        <v>16</v>
      </c>
      <c r="G250" s="11">
        <v>4437.7700000000004</v>
      </c>
      <c r="H250" t="s">
        <v>648</v>
      </c>
      <c r="I250" t="s">
        <v>649</v>
      </c>
      <c r="J250" t="s">
        <v>637</v>
      </c>
      <c r="K250" t="s">
        <v>650</v>
      </c>
    </row>
    <row r="251" spans="1:13">
      <c r="A251" t="s">
        <v>634</v>
      </c>
      <c r="B251" t="s">
        <v>2152</v>
      </c>
      <c r="C251" t="s">
        <v>651</v>
      </c>
      <c r="D251" s="57">
        <v>45626</v>
      </c>
      <c r="E251" s="57">
        <v>45757</v>
      </c>
      <c r="F251" t="s">
        <v>16</v>
      </c>
      <c r="G251" s="11">
        <v>3065.47</v>
      </c>
      <c r="H251" t="s">
        <v>652</v>
      </c>
      <c r="J251" t="s">
        <v>637</v>
      </c>
      <c r="K251" t="s">
        <v>650</v>
      </c>
    </row>
    <row r="252" spans="1:13">
      <c r="A252" t="s">
        <v>634</v>
      </c>
      <c r="B252" t="s">
        <v>2152</v>
      </c>
      <c r="C252" t="s">
        <v>653</v>
      </c>
      <c r="D252" s="57">
        <v>45612</v>
      </c>
      <c r="E252" s="57">
        <v>45757</v>
      </c>
      <c r="F252" t="s">
        <v>16</v>
      </c>
      <c r="G252" s="11">
        <v>2536.9899999999998</v>
      </c>
      <c r="H252" t="s">
        <v>654</v>
      </c>
      <c r="I252" t="s">
        <v>655</v>
      </c>
      <c r="J252" t="s">
        <v>637</v>
      </c>
      <c r="K252" t="s">
        <v>650</v>
      </c>
    </row>
    <row r="253" spans="1:13">
      <c r="A253" t="s">
        <v>634</v>
      </c>
      <c r="B253" t="s">
        <v>2152</v>
      </c>
      <c r="C253" t="s">
        <v>656</v>
      </c>
      <c r="D253" s="57">
        <v>45646</v>
      </c>
      <c r="E253" s="57">
        <v>45757</v>
      </c>
      <c r="F253" t="s">
        <v>16</v>
      </c>
      <c r="G253" s="11">
        <v>3395.75</v>
      </c>
      <c r="H253" t="s">
        <v>657</v>
      </c>
      <c r="I253" t="s">
        <v>658</v>
      </c>
      <c r="J253" t="s">
        <v>637</v>
      </c>
      <c r="K253" t="s">
        <v>659</v>
      </c>
      <c r="M253" t="s">
        <v>660</v>
      </c>
    </row>
    <row r="254" spans="1:13">
      <c r="A254" t="s">
        <v>634</v>
      </c>
      <c r="B254" t="s">
        <v>2152</v>
      </c>
      <c r="C254" t="s">
        <v>661</v>
      </c>
      <c r="D254" s="57">
        <v>45731</v>
      </c>
      <c r="E254" s="57">
        <v>45879</v>
      </c>
      <c r="F254" t="s">
        <v>16</v>
      </c>
      <c r="G254" s="11">
        <v>469.6</v>
      </c>
      <c r="H254" t="s">
        <v>662</v>
      </c>
      <c r="J254" t="s">
        <v>637</v>
      </c>
      <c r="K254" t="s">
        <v>663</v>
      </c>
    </row>
    <row r="255" spans="1:13">
      <c r="A255" t="s">
        <v>634</v>
      </c>
      <c r="B255" t="s">
        <v>2152</v>
      </c>
      <c r="C255" t="s">
        <v>661</v>
      </c>
      <c r="D255" s="57">
        <v>45731</v>
      </c>
      <c r="E255" s="57">
        <v>45879</v>
      </c>
      <c r="F255" t="s">
        <v>16</v>
      </c>
      <c r="G255" s="11">
        <v>103.3099999999999</v>
      </c>
      <c r="H255" t="s">
        <v>662</v>
      </c>
      <c r="J255" t="s">
        <v>637</v>
      </c>
      <c r="K255" t="s">
        <v>663</v>
      </c>
    </row>
    <row r="256" spans="1:13">
      <c r="A256" t="s">
        <v>634</v>
      </c>
      <c r="B256" t="s">
        <v>2152</v>
      </c>
      <c r="C256" t="s">
        <v>664</v>
      </c>
      <c r="D256" s="57">
        <v>45747</v>
      </c>
      <c r="E256" s="57">
        <v>45879</v>
      </c>
      <c r="F256" t="s">
        <v>49</v>
      </c>
      <c r="G256" s="11">
        <v>24053.599999999999</v>
      </c>
      <c r="H256" t="s">
        <v>665</v>
      </c>
      <c r="J256" t="s">
        <v>637</v>
      </c>
      <c r="K256" t="s">
        <v>666</v>
      </c>
    </row>
    <row r="257" spans="1:13">
      <c r="A257" t="s">
        <v>634</v>
      </c>
      <c r="B257" t="s">
        <v>2152</v>
      </c>
      <c r="C257" t="s">
        <v>667</v>
      </c>
      <c r="D257" s="57">
        <v>45762</v>
      </c>
      <c r="E257" s="57">
        <v>45910</v>
      </c>
      <c r="F257" t="s">
        <v>49</v>
      </c>
      <c r="G257" s="11">
        <v>8688.33</v>
      </c>
      <c r="H257" t="s">
        <v>668</v>
      </c>
      <c r="I257" t="s">
        <v>669</v>
      </c>
      <c r="K257" t="s">
        <v>666</v>
      </c>
    </row>
    <row r="258" spans="1:13">
      <c r="A258" t="s">
        <v>634</v>
      </c>
      <c r="B258" t="s">
        <v>2152</v>
      </c>
      <c r="C258" t="s">
        <v>670</v>
      </c>
      <c r="D258" s="57">
        <v>45777</v>
      </c>
      <c r="E258" s="57">
        <v>45910</v>
      </c>
      <c r="F258" t="s">
        <v>49</v>
      </c>
      <c r="G258" s="11">
        <v>1340.39</v>
      </c>
      <c r="H258" t="s">
        <v>671</v>
      </c>
      <c r="I258" t="s">
        <v>669</v>
      </c>
      <c r="K258" t="s">
        <v>666</v>
      </c>
    </row>
    <row r="259" spans="1:13">
      <c r="A259" t="s">
        <v>634</v>
      </c>
      <c r="B259" t="s">
        <v>2152</v>
      </c>
      <c r="C259" t="s">
        <v>672</v>
      </c>
      <c r="D259" s="57">
        <v>45792</v>
      </c>
      <c r="E259" s="57">
        <v>45940</v>
      </c>
      <c r="F259" t="s">
        <v>16</v>
      </c>
      <c r="G259" s="11">
        <v>2129.91</v>
      </c>
      <c r="H259" t="s">
        <v>673</v>
      </c>
      <c r="I259" t="s">
        <v>674</v>
      </c>
      <c r="K259" t="s">
        <v>675</v>
      </c>
    </row>
    <row r="260" spans="1:13">
      <c r="A260" t="s">
        <v>634</v>
      </c>
      <c r="B260" t="s">
        <v>2152</v>
      </c>
      <c r="C260" t="s">
        <v>676</v>
      </c>
      <c r="D260" s="57">
        <v>45808</v>
      </c>
      <c r="E260" s="57">
        <v>45940</v>
      </c>
      <c r="F260" t="s">
        <v>16</v>
      </c>
      <c r="G260" s="11">
        <v>392.45</v>
      </c>
      <c r="H260" t="s">
        <v>677</v>
      </c>
      <c r="I260" t="s">
        <v>678</v>
      </c>
      <c r="K260" t="s">
        <v>679</v>
      </c>
    </row>
    <row r="261" spans="1:13">
      <c r="A261" t="s">
        <v>634</v>
      </c>
      <c r="B261" t="s">
        <v>2152</v>
      </c>
      <c r="C261" t="s">
        <v>680</v>
      </c>
      <c r="D261" s="57">
        <v>45823</v>
      </c>
      <c r="E261" s="57">
        <v>45960</v>
      </c>
      <c r="F261" t="s">
        <v>16</v>
      </c>
      <c r="G261" s="11">
        <v>388.48</v>
      </c>
      <c r="H261" t="s">
        <v>681</v>
      </c>
      <c r="I261" t="s">
        <v>682</v>
      </c>
      <c r="J261" t="s">
        <v>637</v>
      </c>
      <c r="K261">
        <v>45957</v>
      </c>
      <c r="L261">
        <v>388.48</v>
      </c>
      <c r="M261" t="s">
        <v>683</v>
      </c>
    </row>
    <row r="262" spans="1:13">
      <c r="A262" t="s">
        <v>634</v>
      </c>
      <c r="B262" t="s">
        <v>2152</v>
      </c>
      <c r="C262" t="s">
        <v>684</v>
      </c>
      <c r="D262" s="57">
        <v>45838</v>
      </c>
      <c r="E262" s="57">
        <v>45960</v>
      </c>
      <c r="F262" t="s">
        <v>16</v>
      </c>
      <c r="G262" s="11">
        <v>10148.11</v>
      </c>
      <c r="H262" t="s">
        <v>685</v>
      </c>
      <c r="I262" t="s">
        <v>349</v>
      </c>
      <c r="J262" t="s">
        <v>637</v>
      </c>
      <c r="K262">
        <v>45957</v>
      </c>
      <c r="L262">
        <v>10148.11</v>
      </c>
      <c r="M262" t="s">
        <v>71</v>
      </c>
    </row>
    <row r="263" spans="1:13">
      <c r="A263" t="s">
        <v>634</v>
      </c>
      <c r="B263" t="s">
        <v>2152</v>
      </c>
      <c r="C263" t="s">
        <v>686</v>
      </c>
      <c r="D263" s="57">
        <v>45853</v>
      </c>
      <c r="G263" s="11">
        <v>659.76</v>
      </c>
      <c r="H263" t="s">
        <v>687</v>
      </c>
      <c r="I263" t="s">
        <v>218</v>
      </c>
      <c r="J263" t="s">
        <v>637</v>
      </c>
      <c r="K263" t="s">
        <v>688</v>
      </c>
      <c r="L263">
        <v>3068</v>
      </c>
      <c r="M263" t="s">
        <v>689</v>
      </c>
    </row>
    <row r="264" spans="1:13">
      <c r="A264" t="s">
        <v>634</v>
      </c>
      <c r="B264" t="s">
        <v>2152</v>
      </c>
      <c r="C264" t="s">
        <v>690</v>
      </c>
      <c r="D264" s="57">
        <v>45869</v>
      </c>
      <c r="G264" s="11">
        <v>42.55</v>
      </c>
      <c r="H264" t="s">
        <v>691</v>
      </c>
      <c r="I264" t="s">
        <v>692</v>
      </c>
      <c r="J264" t="s">
        <v>637</v>
      </c>
      <c r="K264" t="s">
        <v>688</v>
      </c>
      <c r="L264">
        <v>3068</v>
      </c>
      <c r="M264" t="s">
        <v>689</v>
      </c>
    </row>
    <row r="265" spans="1:13">
      <c r="A265" t="s">
        <v>634</v>
      </c>
      <c r="B265" t="s">
        <v>2152</v>
      </c>
      <c r="C265" t="s">
        <v>693</v>
      </c>
      <c r="D265" s="57">
        <v>45900</v>
      </c>
      <c r="G265" s="11">
        <v>137.69999999999999</v>
      </c>
      <c r="H265" t="s">
        <v>694</v>
      </c>
      <c r="I265" t="s">
        <v>349</v>
      </c>
      <c r="J265" t="s">
        <v>637</v>
      </c>
      <c r="K265" t="s">
        <v>688</v>
      </c>
      <c r="L265">
        <v>3068</v>
      </c>
      <c r="M265" t="s">
        <v>689</v>
      </c>
    </row>
    <row r="266" spans="1:13">
      <c r="A266" t="s">
        <v>634</v>
      </c>
      <c r="B266" t="s">
        <v>2152</v>
      </c>
      <c r="C266" t="s">
        <v>695</v>
      </c>
      <c r="D266" s="57">
        <v>45915</v>
      </c>
      <c r="G266" s="11">
        <v>339.44</v>
      </c>
      <c r="H266" t="s">
        <v>696</v>
      </c>
      <c r="I266" t="s">
        <v>697</v>
      </c>
      <c r="J266" t="s">
        <v>637</v>
      </c>
      <c r="K266" t="s">
        <v>688</v>
      </c>
      <c r="L266">
        <v>3068</v>
      </c>
      <c r="M266" t="s">
        <v>689</v>
      </c>
    </row>
    <row r="267" spans="1:13">
      <c r="A267" t="s">
        <v>634</v>
      </c>
      <c r="B267" t="s">
        <v>2152</v>
      </c>
      <c r="C267" t="s">
        <v>698</v>
      </c>
      <c r="D267" s="57">
        <v>45930</v>
      </c>
      <c r="G267" s="11">
        <v>1888.18</v>
      </c>
      <c r="I267" t="s">
        <v>697</v>
      </c>
      <c r="J267" t="s">
        <v>637</v>
      </c>
      <c r="K267" t="s">
        <v>688</v>
      </c>
      <c r="L267">
        <v>3068</v>
      </c>
      <c r="M267" t="s">
        <v>689</v>
      </c>
    </row>
    <row r="268" spans="1:13">
      <c r="A268" t="s">
        <v>699</v>
      </c>
      <c r="B268" t="s">
        <v>2152</v>
      </c>
      <c r="C268" t="s">
        <v>700</v>
      </c>
      <c r="D268" s="57">
        <v>45945</v>
      </c>
      <c r="E268" s="57">
        <v>45945</v>
      </c>
      <c r="G268" s="11">
        <v>1064.95</v>
      </c>
      <c r="I268" t="s">
        <v>701</v>
      </c>
      <c r="J268" t="s">
        <v>702</v>
      </c>
      <c r="K268" t="s">
        <v>703</v>
      </c>
    </row>
    <row r="269" spans="1:13">
      <c r="A269" t="s">
        <v>13</v>
      </c>
      <c r="B269" t="s">
        <v>2156</v>
      </c>
      <c r="C269" t="s">
        <v>710</v>
      </c>
      <c r="D269" s="57">
        <v>45596</v>
      </c>
      <c r="E269" s="57">
        <v>45656</v>
      </c>
      <c r="F269" t="s">
        <v>49</v>
      </c>
      <c r="G269" s="11">
        <v>392.84</v>
      </c>
      <c r="H269" t="s">
        <v>711</v>
      </c>
      <c r="I269" t="s">
        <v>55</v>
      </c>
      <c r="J269" t="s">
        <v>425</v>
      </c>
    </row>
    <row r="270" spans="1:13">
      <c r="A270" t="s">
        <v>13</v>
      </c>
      <c r="B270" t="s">
        <v>2378</v>
      </c>
      <c r="C270" t="s">
        <v>713</v>
      </c>
      <c r="D270" s="57">
        <v>45718</v>
      </c>
      <c r="F270" t="s">
        <v>16</v>
      </c>
      <c r="G270" s="11">
        <v>58090.98</v>
      </c>
      <c r="H270" t="s">
        <v>714</v>
      </c>
      <c r="I270" t="s">
        <v>312</v>
      </c>
      <c r="J270" t="s">
        <v>56</v>
      </c>
      <c r="M270" t="s">
        <v>715</v>
      </c>
    </row>
    <row r="271" spans="1:13">
      <c r="A271" t="s">
        <v>716</v>
      </c>
      <c r="B271" t="s">
        <v>2378</v>
      </c>
      <c r="C271" t="s">
        <v>717</v>
      </c>
      <c r="D271" s="57">
        <v>45777</v>
      </c>
      <c r="F271" t="s">
        <v>16</v>
      </c>
      <c r="G271" s="11">
        <v>7283.5</v>
      </c>
      <c r="J271" t="s">
        <v>66</v>
      </c>
      <c r="M271" t="s">
        <v>718</v>
      </c>
    </row>
    <row r="272" spans="1:13">
      <c r="A272" t="s">
        <v>13</v>
      </c>
      <c r="B272" t="s">
        <v>2378</v>
      </c>
      <c r="C272" t="s">
        <v>719</v>
      </c>
      <c r="D272" s="57">
        <v>45803</v>
      </c>
      <c r="F272" t="s">
        <v>16</v>
      </c>
      <c r="G272" s="11">
        <v>7000</v>
      </c>
      <c r="H272" t="s">
        <v>720</v>
      </c>
      <c r="I272" t="s">
        <v>721</v>
      </c>
      <c r="J272" t="s">
        <v>56</v>
      </c>
      <c r="K272">
        <v>45945</v>
      </c>
      <c r="L272">
        <v>7000</v>
      </c>
      <c r="M272" t="s">
        <v>71</v>
      </c>
    </row>
    <row r="273" spans="1:13">
      <c r="A273" t="s">
        <v>90</v>
      </c>
      <c r="B273" t="s">
        <v>2378</v>
      </c>
      <c r="C273" t="s">
        <v>719</v>
      </c>
      <c r="D273" s="57">
        <v>45803</v>
      </c>
      <c r="G273" s="11">
        <v>11000</v>
      </c>
      <c r="H273" t="s">
        <v>720</v>
      </c>
      <c r="I273" t="s">
        <v>721</v>
      </c>
      <c r="J273" t="s">
        <v>56</v>
      </c>
    </row>
    <row r="274" spans="1:13">
      <c r="A274" t="s">
        <v>13</v>
      </c>
      <c r="B274" t="s">
        <v>2378</v>
      </c>
      <c r="C274" t="s">
        <v>722</v>
      </c>
      <c r="D274" s="57">
        <v>45803</v>
      </c>
      <c r="E274" s="57">
        <v>45803</v>
      </c>
      <c r="F274" t="s">
        <v>49</v>
      </c>
      <c r="G274" s="11">
        <v>11000</v>
      </c>
      <c r="H274" t="s">
        <v>724</v>
      </c>
      <c r="I274" t="s">
        <v>342</v>
      </c>
      <c r="J274" t="s">
        <v>56</v>
      </c>
      <c r="K274">
        <v>45968</v>
      </c>
      <c r="L274">
        <v>11000</v>
      </c>
      <c r="M274" t="s">
        <v>19</v>
      </c>
    </row>
    <row r="275" spans="1:13">
      <c r="B275" t="s">
        <v>2158</v>
      </c>
      <c r="C275" t="s">
        <v>726</v>
      </c>
      <c r="D275" s="57">
        <v>45679</v>
      </c>
      <c r="E275" s="57">
        <v>45739</v>
      </c>
      <c r="F275" t="s">
        <v>16</v>
      </c>
      <c r="G275" s="11">
        <v>207.4</v>
      </c>
      <c r="H275" t="s">
        <v>727</v>
      </c>
      <c r="I275" t="s">
        <v>728</v>
      </c>
      <c r="J275" t="s">
        <v>56</v>
      </c>
      <c r="K275">
        <v>45775</v>
      </c>
      <c r="L275">
        <v>576.08000000000004</v>
      </c>
    </row>
    <row r="276" spans="1:13">
      <c r="B276" t="s">
        <v>2159</v>
      </c>
      <c r="C276" t="s">
        <v>729</v>
      </c>
      <c r="D276" s="57">
        <v>45638</v>
      </c>
      <c r="E276" s="57">
        <v>45716</v>
      </c>
      <c r="F276" t="s">
        <v>16</v>
      </c>
      <c r="G276" s="11">
        <v>368.68</v>
      </c>
      <c r="H276" t="s">
        <v>730</v>
      </c>
      <c r="I276" t="s">
        <v>731</v>
      </c>
      <c r="J276" t="s">
        <v>56</v>
      </c>
      <c r="K276">
        <v>45775</v>
      </c>
      <c r="L276">
        <v>576.08000000000004</v>
      </c>
    </row>
    <row r="277" spans="1:13">
      <c r="B277" t="s">
        <v>2379</v>
      </c>
      <c r="C277" t="s">
        <v>733</v>
      </c>
      <c r="F277" t="s">
        <v>49</v>
      </c>
      <c r="G277" s="11">
        <v>3885</v>
      </c>
      <c r="J277" t="s">
        <v>56</v>
      </c>
      <c r="L277">
        <v>3885</v>
      </c>
      <c r="M277" t="s">
        <v>345</v>
      </c>
    </row>
    <row r="278" spans="1:13">
      <c r="B278" t="s">
        <v>2379</v>
      </c>
      <c r="C278" t="s">
        <v>734</v>
      </c>
      <c r="F278" t="s">
        <v>49</v>
      </c>
      <c r="G278" s="11">
        <v>115</v>
      </c>
      <c r="J278" t="s">
        <v>56</v>
      </c>
      <c r="L278">
        <v>115</v>
      </c>
      <c r="M278" t="s">
        <v>345</v>
      </c>
    </row>
    <row r="279" spans="1:13">
      <c r="B279" t="s">
        <v>2379</v>
      </c>
      <c r="C279" t="s">
        <v>735</v>
      </c>
      <c r="G279" s="11">
        <v>2540</v>
      </c>
      <c r="J279" t="s">
        <v>56</v>
      </c>
      <c r="L279">
        <v>2656</v>
      </c>
    </row>
    <row r="280" spans="1:13">
      <c r="B280" t="s">
        <v>2379</v>
      </c>
      <c r="C280" t="s">
        <v>736</v>
      </c>
      <c r="G280" s="11">
        <v>555</v>
      </c>
      <c r="J280" t="s">
        <v>56</v>
      </c>
      <c r="L280">
        <v>555</v>
      </c>
    </row>
    <row r="281" spans="1:13">
      <c r="B281" t="s">
        <v>2379</v>
      </c>
      <c r="C281" t="s">
        <v>737</v>
      </c>
      <c r="G281" s="11">
        <v>3387</v>
      </c>
      <c r="J281" t="s">
        <v>56</v>
      </c>
      <c r="L281">
        <v>3387</v>
      </c>
    </row>
    <row r="282" spans="1:13">
      <c r="B282" t="s">
        <v>2379</v>
      </c>
      <c r="C282" t="s">
        <v>738</v>
      </c>
      <c r="G282" s="11">
        <v>5740</v>
      </c>
      <c r="J282" t="s">
        <v>56</v>
      </c>
      <c r="L282">
        <v>5740</v>
      </c>
    </row>
    <row r="283" spans="1:13">
      <c r="B283" t="s">
        <v>2379</v>
      </c>
      <c r="C283" t="s">
        <v>739</v>
      </c>
      <c r="G283" s="11">
        <v>7265</v>
      </c>
      <c r="J283" t="s">
        <v>56</v>
      </c>
      <c r="L283">
        <v>7265</v>
      </c>
    </row>
    <row r="284" spans="1:13">
      <c r="B284" t="s">
        <v>2161</v>
      </c>
      <c r="C284" t="s">
        <v>749</v>
      </c>
      <c r="D284" s="57">
        <v>45698</v>
      </c>
      <c r="E284" s="57">
        <v>45698</v>
      </c>
      <c r="F284" t="s">
        <v>16</v>
      </c>
      <c r="G284" s="11">
        <v>48.5</v>
      </c>
      <c r="H284" t="s">
        <v>750</v>
      </c>
      <c r="I284" t="s">
        <v>279</v>
      </c>
      <c r="J284" t="s">
        <v>751</v>
      </c>
    </row>
    <row r="285" spans="1:13">
      <c r="B285" t="s">
        <v>2162</v>
      </c>
      <c r="C285" t="s">
        <v>753</v>
      </c>
      <c r="D285" s="57">
        <v>45873</v>
      </c>
      <c r="G285" s="11">
        <v>88.72</v>
      </c>
      <c r="H285" t="s">
        <v>754</v>
      </c>
      <c r="J285" t="s">
        <v>215</v>
      </c>
    </row>
    <row r="286" spans="1:13">
      <c r="B286" t="s">
        <v>2380</v>
      </c>
      <c r="C286" t="s">
        <v>756</v>
      </c>
      <c r="D286" s="57">
        <v>45988</v>
      </c>
      <c r="E286" s="57">
        <v>45988</v>
      </c>
      <c r="G286" s="11">
        <v>2787</v>
      </c>
      <c r="I286" t="s">
        <v>757</v>
      </c>
      <c r="J286" t="s">
        <v>354</v>
      </c>
    </row>
    <row r="287" spans="1:13">
      <c r="B287" t="s">
        <v>2164</v>
      </c>
      <c r="C287" t="s">
        <v>762</v>
      </c>
      <c r="D287" s="57">
        <v>45290</v>
      </c>
      <c r="E287" s="57">
        <v>45392</v>
      </c>
      <c r="F287" t="s">
        <v>16</v>
      </c>
      <c r="G287" s="11">
        <v>2098.7399999999998</v>
      </c>
      <c r="I287" t="s">
        <v>763</v>
      </c>
      <c r="J287" t="s">
        <v>56</v>
      </c>
    </row>
    <row r="288" spans="1:13">
      <c r="B288" t="s">
        <v>2164</v>
      </c>
      <c r="C288" t="s">
        <v>764</v>
      </c>
      <c r="D288" s="57">
        <v>45322</v>
      </c>
      <c r="E288" s="57">
        <v>45392</v>
      </c>
      <c r="F288" t="s">
        <v>16</v>
      </c>
      <c r="G288" s="11">
        <v>-2098.7400000000021</v>
      </c>
      <c r="H288" t="s">
        <v>765</v>
      </c>
      <c r="I288" t="s">
        <v>763</v>
      </c>
      <c r="J288" t="s">
        <v>56</v>
      </c>
      <c r="K288">
        <v>45817</v>
      </c>
      <c r="L288">
        <v>5000</v>
      </c>
      <c r="M288" t="s">
        <v>111</v>
      </c>
    </row>
    <row r="289" spans="1:13">
      <c r="B289" t="s">
        <v>2164</v>
      </c>
      <c r="C289" t="s">
        <v>764</v>
      </c>
      <c r="D289" s="57">
        <v>45322</v>
      </c>
      <c r="E289" s="57">
        <v>45392</v>
      </c>
      <c r="F289" t="s">
        <v>49</v>
      </c>
      <c r="G289" s="11">
        <v>34596.83</v>
      </c>
      <c r="H289" t="s">
        <v>765</v>
      </c>
      <c r="I289" t="s">
        <v>763</v>
      </c>
      <c r="J289" t="s">
        <v>56</v>
      </c>
    </row>
    <row r="290" spans="1:13">
      <c r="B290" t="s">
        <v>2164</v>
      </c>
      <c r="C290" t="s">
        <v>766</v>
      </c>
      <c r="D290" s="57">
        <v>45442</v>
      </c>
      <c r="E290" s="57">
        <v>45545</v>
      </c>
      <c r="F290" t="s">
        <v>49</v>
      </c>
      <c r="G290" s="11">
        <v>761.89</v>
      </c>
      <c r="H290" t="s">
        <v>767</v>
      </c>
      <c r="I290" t="s">
        <v>337</v>
      </c>
      <c r="J290" t="s">
        <v>110</v>
      </c>
    </row>
    <row r="291" spans="1:13">
      <c r="B291" t="s">
        <v>2164</v>
      </c>
      <c r="C291" t="s">
        <v>768</v>
      </c>
      <c r="D291" s="57">
        <v>45535</v>
      </c>
      <c r="E291" s="57">
        <v>45606</v>
      </c>
      <c r="F291" t="s">
        <v>49</v>
      </c>
      <c r="G291" s="11">
        <v>7308.41</v>
      </c>
      <c r="H291" t="s">
        <v>769</v>
      </c>
      <c r="I291" t="s">
        <v>770</v>
      </c>
      <c r="J291" t="s">
        <v>110</v>
      </c>
      <c r="K291">
        <v>45728</v>
      </c>
      <c r="L291">
        <v>9794.4599999999991</v>
      </c>
      <c r="M291" t="s">
        <v>111</v>
      </c>
    </row>
    <row r="292" spans="1:13">
      <c r="B292" t="s">
        <v>2169</v>
      </c>
      <c r="C292" t="s">
        <v>771</v>
      </c>
      <c r="D292" s="57">
        <v>45626</v>
      </c>
      <c r="E292" s="57">
        <v>45726</v>
      </c>
      <c r="F292" t="s">
        <v>49</v>
      </c>
      <c r="G292" s="11">
        <v>2930.44</v>
      </c>
      <c r="H292" t="s">
        <v>772</v>
      </c>
      <c r="I292" t="s">
        <v>773</v>
      </c>
      <c r="J292" t="s">
        <v>110</v>
      </c>
      <c r="K292">
        <v>45728</v>
      </c>
      <c r="L292">
        <v>9794.4599999999991</v>
      </c>
      <c r="M292" t="s">
        <v>111</v>
      </c>
    </row>
    <row r="293" spans="1:13">
      <c r="B293" t="s">
        <v>2164</v>
      </c>
      <c r="C293" t="s">
        <v>774</v>
      </c>
      <c r="D293" s="57">
        <v>45645</v>
      </c>
      <c r="E293" s="57">
        <v>45726</v>
      </c>
      <c r="F293" t="s">
        <v>16</v>
      </c>
      <c r="G293" s="11">
        <v>2175.87</v>
      </c>
      <c r="H293" t="s">
        <v>775</v>
      </c>
      <c r="I293" t="s">
        <v>588</v>
      </c>
      <c r="J293" t="s">
        <v>110</v>
      </c>
    </row>
    <row r="294" spans="1:13">
      <c r="B294" t="s">
        <v>2164</v>
      </c>
      <c r="C294" t="s">
        <v>774</v>
      </c>
      <c r="D294" s="57">
        <v>45645</v>
      </c>
      <c r="E294" s="57">
        <v>45757</v>
      </c>
      <c r="F294" t="s">
        <v>49</v>
      </c>
      <c r="G294" s="11">
        <v>2175.87</v>
      </c>
      <c r="H294" t="s">
        <v>775</v>
      </c>
      <c r="I294" t="s">
        <v>588</v>
      </c>
      <c r="J294" t="s">
        <v>110</v>
      </c>
      <c r="K294">
        <v>45728</v>
      </c>
      <c r="L294">
        <v>9794.4599999999991</v>
      </c>
      <c r="M294" t="s">
        <v>111</v>
      </c>
    </row>
    <row r="295" spans="1:13">
      <c r="B295" t="s">
        <v>2164</v>
      </c>
      <c r="C295" t="s">
        <v>776</v>
      </c>
      <c r="D295" s="57">
        <v>45657</v>
      </c>
      <c r="E295" s="57">
        <v>45726</v>
      </c>
      <c r="F295" t="s">
        <v>49</v>
      </c>
      <c r="G295" s="11">
        <v>4688.1499999999996</v>
      </c>
      <c r="H295" t="s">
        <v>777</v>
      </c>
      <c r="I295" t="s">
        <v>588</v>
      </c>
      <c r="J295" t="s">
        <v>110</v>
      </c>
    </row>
    <row r="296" spans="1:13">
      <c r="B296" t="s">
        <v>2164</v>
      </c>
      <c r="C296" t="s">
        <v>776</v>
      </c>
      <c r="D296" s="57">
        <v>45657</v>
      </c>
      <c r="E296" s="57">
        <v>45757</v>
      </c>
      <c r="F296" t="s">
        <v>49</v>
      </c>
      <c r="G296" s="11">
        <v>4688.16</v>
      </c>
      <c r="H296" t="s">
        <v>777</v>
      </c>
      <c r="I296" t="s">
        <v>592</v>
      </c>
      <c r="J296" t="s">
        <v>110</v>
      </c>
    </row>
    <row r="297" spans="1:13">
      <c r="B297" t="s">
        <v>2164</v>
      </c>
      <c r="C297" t="s">
        <v>778</v>
      </c>
      <c r="D297" s="57">
        <v>45688</v>
      </c>
      <c r="E297" s="57">
        <v>45757</v>
      </c>
      <c r="F297" t="s">
        <v>49</v>
      </c>
      <c r="G297" s="11">
        <v>2737.38</v>
      </c>
      <c r="H297" t="s">
        <v>779</v>
      </c>
      <c r="I297" t="s">
        <v>592</v>
      </c>
      <c r="J297" t="s">
        <v>110</v>
      </c>
    </row>
    <row r="298" spans="1:13">
      <c r="B298" t="s">
        <v>2164</v>
      </c>
      <c r="C298" t="s">
        <v>778</v>
      </c>
      <c r="D298" s="57">
        <v>45688</v>
      </c>
      <c r="E298" s="57">
        <v>45787</v>
      </c>
      <c r="F298" t="s">
        <v>16</v>
      </c>
      <c r="G298" s="11">
        <v>2737.37</v>
      </c>
      <c r="H298" t="s">
        <v>779</v>
      </c>
      <c r="I298" t="s">
        <v>592</v>
      </c>
      <c r="J298" t="s">
        <v>56</v>
      </c>
      <c r="K298">
        <v>45792</v>
      </c>
      <c r="L298">
        <v>79.13</v>
      </c>
      <c r="M298" t="s">
        <v>345</v>
      </c>
    </row>
    <row r="299" spans="1:13">
      <c r="A299" t="s">
        <v>780</v>
      </c>
      <c r="B299" t="s">
        <v>2164</v>
      </c>
      <c r="C299" t="s">
        <v>2381</v>
      </c>
      <c r="F299" t="s">
        <v>49</v>
      </c>
      <c r="G299" s="11">
        <v>48000</v>
      </c>
      <c r="I299" t="s">
        <v>782</v>
      </c>
      <c r="J299" t="s">
        <v>783</v>
      </c>
      <c r="L299">
        <v>48000</v>
      </c>
      <c r="M299" t="s">
        <v>784</v>
      </c>
    </row>
    <row r="300" spans="1:13">
      <c r="A300">
        <v>2024</v>
      </c>
      <c r="B300" t="s">
        <v>2382</v>
      </c>
      <c r="C300" t="s">
        <v>808</v>
      </c>
      <c r="D300" s="57">
        <v>45457</v>
      </c>
      <c r="E300" s="57">
        <v>45536</v>
      </c>
      <c r="F300" t="s">
        <v>16</v>
      </c>
      <c r="G300" s="11">
        <v>292.8</v>
      </c>
      <c r="I300" t="s">
        <v>69</v>
      </c>
      <c r="J300" t="s">
        <v>354</v>
      </c>
      <c r="K300">
        <v>45950</v>
      </c>
      <c r="M300" t="s">
        <v>809</v>
      </c>
    </row>
    <row r="301" spans="1:13">
      <c r="A301">
        <v>2024</v>
      </c>
      <c r="B301" t="s">
        <v>2382</v>
      </c>
      <c r="C301" t="s">
        <v>810</v>
      </c>
      <c r="D301" s="57">
        <v>45433</v>
      </c>
      <c r="E301" s="57">
        <v>45514</v>
      </c>
      <c r="F301" t="s">
        <v>16</v>
      </c>
      <c r="G301" s="11">
        <v>474.96</v>
      </c>
      <c r="I301" t="s">
        <v>69</v>
      </c>
      <c r="J301" t="s">
        <v>354</v>
      </c>
      <c r="K301">
        <v>45950</v>
      </c>
      <c r="M301" t="s">
        <v>809</v>
      </c>
    </row>
    <row r="302" spans="1:13">
      <c r="A302" t="s">
        <v>13</v>
      </c>
      <c r="B302" t="s">
        <v>2173</v>
      </c>
      <c r="C302" t="s">
        <v>812</v>
      </c>
      <c r="D302" s="57">
        <v>45968</v>
      </c>
      <c r="E302" s="57">
        <v>45968</v>
      </c>
      <c r="F302" t="s">
        <v>49</v>
      </c>
      <c r="G302" s="11">
        <v>137.6</v>
      </c>
      <c r="I302" t="s">
        <v>813</v>
      </c>
      <c r="J302" t="s">
        <v>422</v>
      </c>
      <c r="K302">
        <v>45968</v>
      </c>
      <c r="L302">
        <v>137.6</v>
      </c>
      <c r="M302" t="s">
        <v>47</v>
      </c>
    </row>
    <row r="303" spans="1:13">
      <c r="A303" t="s">
        <v>13</v>
      </c>
      <c r="B303" t="s">
        <v>2173</v>
      </c>
      <c r="C303" t="s">
        <v>814</v>
      </c>
      <c r="D303" s="57">
        <v>45982</v>
      </c>
      <c r="E303" s="57">
        <v>45982</v>
      </c>
      <c r="F303" t="s">
        <v>49</v>
      </c>
      <c r="G303" s="11">
        <v>53.7</v>
      </c>
      <c r="I303" t="s">
        <v>813</v>
      </c>
      <c r="J303" t="s">
        <v>422</v>
      </c>
      <c r="K303">
        <v>45982</v>
      </c>
      <c r="L303">
        <v>53.7</v>
      </c>
      <c r="M303" t="s">
        <v>47</v>
      </c>
    </row>
    <row r="304" spans="1:13">
      <c r="B304" t="s">
        <v>2174</v>
      </c>
      <c r="C304" t="s">
        <v>792</v>
      </c>
      <c r="D304" s="57">
        <v>45777</v>
      </c>
      <c r="E304" s="57">
        <v>45777</v>
      </c>
      <c r="F304" t="s">
        <v>16</v>
      </c>
      <c r="G304" s="11">
        <v>79.13</v>
      </c>
      <c r="H304" t="s">
        <v>793</v>
      </c>
      <c r="J304" t="s">
        <v>794</v>
      </c>
      <c r="K304">
        <v>45709</v>
      </c>
      <c r="M304" t="s">
        <v>111</v>
      </c>
    </row>
    <row r="305" spans="1:13">
      <c r="B305" t="s">
        <v>2175</v>
      </c>
      <c r="C305" t="s">
        <v>796</v>
      </c>
      <c r="D305" s="57">
        <v>45713</v>
      </c>
      <c r="E305" s="57">
        <v>45713</v>
      </c>
      <c r="F305" t="s">
        <v>16</v>
      </c>
      <c r="G305" s="11">
        <v>737.47</v>
      </c>
      <c r="H305" t="s">
        <v>797</v>
      </c>
      <c r="I305" t="s">
        <v>798</v>
      </c>
      <c r="J305" t="s">
        <v>66</v>
      </c>
    </row>
    <row r="306" spans="1:13">
      <c r="B306" t="s">
        <v>2175</v>
      </c>
      <c r="C306" t="s">
        <v>796</v>
      </c>
      <c r="D306" s="57">
        <v>45713</v>
      </c>
      <c r="E306" s="57">
        <v>45732</v>
      </c>
      <c r="G306" s="11">
        <v>138</v>
      </c>
      <c r="H306" t="s">
        <v>797</v>
      </c>
      <c r="I306" t="s">
        <v>798</v>
      </c>
      <c r="J306" t="s">
        <v>799</v>
      </c>
    </row>
    <row r="307" spans="1:13">
      <c r="A307" t="s">
        <v>13</v>
      </c>
      <c r="B307" t="s">
        <v>2176</v>
      </c>
      <c r="C307" t="s">
        <v>801</v>
      </c>
      <c r="D307" s="57">
        <v>45808</v>
      </c>
      <c r="E307" s="57">
        <v>45869</v>
      </c>
      <c r="F307" t="s">
        <v>49</v>
      </c>
      <c r="G307" s="11">
        <v>1944.92</v>
      </c>
      <c r="H307" t="s">
        <v>802</v>
      </c>
      <c r="J307" t="s">
        <v>75</v>
      </c>
      <c r="K307">
        <v>45945</v>
      </c>
      <c r="L307">
        <v>1100</v>
      </c>
      <c r="M307" t="s">
        <v>345</v>
      </c>
    </row>
    <row r="308" spans="1:13">
      <c r="A308" t="s">
        <v>13</v>
      </c>
      <c r="B308" t="s">
        <v>2176</v>
      </c>
      <c r="C308" t="s">
        <v>801</v>
      </c>
      <c r="D308" s="57">
        <v>45808</v>
      </c>
      <c r="E308" s="57">
        <v>45869</v>
      </c>
      <c r="F308" t="s">
        <v>49</v>
      </c>
      <c r="G308" s="11">
        <v>844.92000000000007</v>
      </c>
      <c r="J308" t="s">
        <v>83</v>
      </c>
      <c r="K308">
        <v>45960</v>
      </c>
      <c r="L308">
        <v>844.92</v>
      </c>
      <c r="M308" t="s">
        <v>246</v>
      </c>
    </row>
    <row r="309" spans="1:13">
      <c r="A309">
        <v>2024</v>
      </c>
      <c r="B309" t="s">
        <v>2176</v>
      </c>
      <c r="C309" t="s">
        <v>803</v>
      </c>
      <c r="D309" s="57">
        <v>45626</v>
      </c>
      <c r="E309" s="57">
        <v>45698</v>
      </c>
      <c r="F309" t="s">
        <v>16</v>
      </c>
      <c r="G309" s="11">
        <v>513.34</v>
      </c>
      <c r="H309" t="s">
        <v>804</v>
      </c>
      <c r="J309" t="s">
        <v>110</v>
      </c>
      <c r="K309">
        <v>45709</v>
      </c>
      <c r="L309">
        <v>513.34</v>
      </c>
      <c r="M309" t="s">
        <v>111</v>
      </c>
    </row>
    <row r="310" spans="1:13">
      <c r="A310" t="s">
        <v>13</v>
      </c>
      <c r="B310" t="s">
        <v>2176</v>
      </c>
      <c r="C310" t="s">
        <v>805</v>
      </c>
      <c r="D310" s="57">
        <v>45899</v>
      </c>
      <c r="E310" s="57">
        <v>45899</v>
      </c>
      <c r="F310" t="s">
        <v>49</v>
      </c>
      <c r="G310" s="11">
        <v>331.46</v>
      </c>
      <c r="H310" t="s">
        <v>806</v>
      </c>
      <c r="J310" t="s">
        <v>110</v>
      </c>
      <c r="K310">
        <v>45960</v>
      </c>
      <c r="L310">
        <v>331.46</v>
      </c>
      <c r="M310" t="s">
        <v>19</v>
      </c>
    </row>
    <row r="311" spans="1:13">
      <c r="A311" t="s">
        <v>13</v>
      </c>
      <c r="B311" t="s">
        <v>2383</v>
      </c>
      <c r="C311" t="s">
        <v>816</v>
      </c>
      <c r="D311" s="57">
        <v>45936</v>
      </c>
      <c r="E311" s="57">
        <v>45936</v>
      </c>
      <c r="F311" t="s">
        <v>49</v>
      </c>
      <c r="G311" s="11">
        <v>6000</v>
      </c>
      <c r="H311" t="s">
        <v>817</v>
      </c>
      <c r="I311" t="s">
        <v>818</v>
      </c>
      <c r="J311" t="s">
        <v>56</v>
      </c>
      <c r="K311">
        <v>45945</v>
      </c>
      <c r="L311">
        <v>6000</v>
      </c>
      <c r="M311" t="s">
        <v>819</v>
      </c>
    </row>
    <row r="312" spans="1:13">
      <c r="A312" t="s">
        <v>13</v>
      </c>
      <c r="B312" t="s">
        <v>2383</v>
      </c>
      <c r="C312" t="s">
        <v>816</v>
      </c>
      <c r="D312" s="57">
        <v>45936</v>
      </c>
      <c r="E312" s="57">
        <v>45936</v>
      </c>
      <c r="F312" t="s">
        <v>49</v>
      </c>
      <c r="G312" s="11">
        <v>4000</v>
      </c>
      <c r="J312" t="s">
        <v>83</v>
      </c>
      <c r="K312">
        <v>45959</v>
      </c>
      <c r="L312">
        <v>4000</v>
      </c>
      <c r="M312" t="s">
        <v>313</v>
      </c>
    </row>
    <row r="313" spans="1:13">
      <c r="A313" t="s">
        <v>13</v>
      </c>
      <c r="B313" t="s">
        <v>2383</v>
      </c>
      <c r="C313" t="s">
        <v>820</v>
      </c>
      <c r="D313" s="57">
        <v>45979</v>
      </c>
      <c r="E313" s="57">
        <v>45979</v>
      </c>
      <c r="G313" s="11">
        <v>20000</v>
      </c>
      <c r="I313" t="s">
        <v>787</v>
      </c>
      <c r="J313" t="s">
        <v>83</v>
      </c>
      <c r="K313">
        <v>45989</v>
      </c>
      <c r="L313">
        <v>10000</v>
      </c>
      <c r="M313" t="s">
        <v>313</v>
      </c>
    </row>
    <row r="314" spans="1:13">
      <c r="A314" t="s">
        <v>13</v>
      </c>
      <c r="B314" t="s">
        <v>2383</v>
      </c>
      <c r="C314" t="s">
        <v>820</v>
      </c>
      <c r="D314" s="57">
        <v>45979</v>
      </c>
      <c r="G314" s="11">
        <v>10000</v>
      </c>
      <c r="I314" t="s">
        <v>821</v>
      </c>
    </row>
    <row r="315" spans="1:13">
      <c r="A315" t="s">
        <v>13</v>
      </c>
      <c r="B315" t="s">
        <v>2384</v>
      </c>
      <c r="C315" t="s">
        <v>823</v>
      </c>
      <c r="D315" s="57">
        <v>45957</v>
      </c>
      <c r="E315" s="57">
        <v>45957</v>
      </c>
      <c r="F315" t="s">
        <v>49</v>
      </c>
      <c r="G315" s="11">
        <v>109.56</v>
      </c>
      <c r="I315" t="s">
        <v>824</v>
      </c>
      <c r="J315" t="s">
        <v>47</v>
      </c>
      <c r="K315" t="s">
        <v>28</v>
      </c>
      <c r="L315">
        <v>109.56</v>
      </c>
      <c r="M315" t="s">
        <v>825</v>
      </c>
    </row>
    <row r="316" spans="1:13">
      <c r="B316" t="s">
        <v>2385</v>
      </c>
      <c r="C316" t="s">
        <v>2181</v>
      </c>
      <c r="D316" s="57">
        <v>45715</v>
      </c>
      <c r="E316" s="57">
        <v>45709</v>
      </c>
      <c r="F316" t="s">
        <v>16</v>
      </c>
      <c r="G316" s="11">
        <v>10000</v>
      </c>
      <c r="H316" t="s">
        <v>834</v>
      </c>
      <c r="I316" t="s">
        <v>55</v>
      </c>
      <c r="J316" t="s">
        <v>56</v>
      </c>
      <c r="K316">
        <v>45709</v>
      </c>
      <c r="L316">
        <v>10000</v>
      </c>
      <c r="M316" t="s">
        <v>111</v>
      </c>
    </row>
    <row r="317" spans="1:13">
      <c r="B317" t="s">
        <v>2385</v>
      </c>
      <c r="C317" t="s">
        <v>835</v>
      </c>
      <c r="D317" s="57">
        <v>45991</v>
      </c>
      <c r="E317" s="57">
        <v>45991</v>
      </c>
      <c r="F317" t="s">
        <v>49</v>
      </c>
      <c r="G317" s="11">
        <v>10000</v>
      </c>
      <c r="I317" t="s">
        <v>836</v>
      </c>
      <c r="J317" t="s">
        <v>56</v>
      </c>
      <c r="K317">
        <v>45989</v>
      </c>
      <c r="L317">
        <v>10000</v>
      </c>
      <c r="M317" t="s">
        <v>19</v>
      </c>
    </row>
    <row r="318" spans="1:13">
      <c r="A318" t="s">
        <v>13</v>
      </c>
      <c r="B318" t="s">
        <v>2183</v>
      </c>
      <c r="C318" t="s">
        <v>335</v>
      </c>
      <c r="D318" s="57">
        <v>45968</v>
      </c>
      <c r="E318" s="57">
        <v>45968</v>
      </c>
      <c r="G318" s="11">
        <v>9000</v>
      </c>
      <c r="I318" t="s">
        <v>2184</v>
      </c>
      <c r="J318" t="s">
        <v>83</v>
      </c>
      <c r="L318">
        <v>4500</v>
      </c>
      <c r="M318" t="s">
        <v>2185</v>
      </c>
    </row>
    <row r="319" spans="1:13">
      <c r="A319" t="s">
        <v>13</v>
      </c>
      <c r="B319" t="s">
        <v>2183</v>
      </c>
      <c r="C319" t="s">
        <v>335</v>
      </c>
      <c r="D319" s="57">
        <v>45968</v>
      </c>
      <c r="E319" s="57">
        <v>45968</v>
      </c>
      <c r="F319" t="s">
        <v>49</v>
      </c>
      <c r="I319" t="s">
        <v>827</v>
      </c>
      <c r="J319" t="s">
        <v>83</v>
      </c>
      <c r="K319">
        <v>45972</v>
      </c>
      <c r="L319">
        <v>4500</v>
      </c>
      <c r="M319" t="s">
        <v>326</v>
      </c>
    </row>
    <row r="320" spans="1:13">
      <c r="B320" t="s">
        <v>2186</v>
      </c>
      <c r="C320" t="s">
        <v>830</v>
      </c>
      <c r="D320" s="57">
        <v>45657</v>
      </c>
      <c r="E320" s="57">
        <v>45726</v>
      </c>
      <c r="G320" s="11">
        <v>3575</v>
      </c>
      <c r="H320" t="s">
        <v>831</v>
      </c>
      <c r="I320" t="s">
        <v>87</v>
      </c>
      <c r="J320" t="s">
        <v>110</v>
      </c>
    </row>
    <row r="321" spans="1:13">
      <c r="B321" t="s">
        <v>2187</v>
      </c>
      <c r="C321" t="s">
        <v>853</v>
      </c>
      <c r="D321" s="57">
        <v>45897</v>
      </c>
      <c r="E321" s="57">
        <v>45897</v>
      </c>
      <c r="F321" t="s">
        <v>16</v>
      </c>
      <c r="G321" s="11">
        <v>310</v>
      </c>
      <c r="H321" t="s">
        <v>854</v>
      </c>
      <c r="I321" t="s">
        <v>855</v>
      </c>
    </row>
    <row r="322" spans="1:13">
      <c r="B322" t="s">
        <v>2188</v>
      </c>
      <c r="C322" t="s">
        <v>857</v>
      </c>
      <c r="D322" s="57">
        <v>45742</v>
      </c>
      <c r="E322" s="57">
        <v>45742</v>
      </c>
      <c r="F322" t="s">
        <v>16</v>
      </c>
      <c r="G322" s="11">
        <v>11.61</v>
      </c>
      <c r="H322" t="s">
        <v>858</v>
      </c>
      <c r="I322" t="s">
        <v>349</v>
      </c>
      <c r="J322" t="s">
        <v>215</v>
      </c>
    </row>
    <row r="323" spans="1:13">
      <c r="B323" t="s">
        <v>2189</v>
      </c>
      <c r="C323" t="s">
        <v>860</v>
      </c>
      <c r="D323" s="57">
        <v>45835</v>
      </c>
      <c r="F323" t="s">
        <v>16</v>
      </c>
      <c r="G323" s="11">
        <v>42.6</v>
      </c>
      <c r="H323" t="s">
        <v>861</v>
      </c>
      <c r="I323" t="s">
        <v>457</v>
      </c>
      <c r="J323" t="s">
        <v>794</v>
      </c>
      <c r="M323" t="s">
        <v>862</v>
      </c>
    </row>
    <row r="324" spans="1:13">
      <c r="B324" t="s">
        <v>2190</v>
      </c>
      <c r="C324" t="s">
        <v>838</v>
      </c>
      <c r="D324" s="57">
        <v>45667</v>
      </c>
      <c r="F324" t="s">
        <v>16</v>
      </c>
      <c r="G324" s="11">
        <v>3459.2</v>
      </c>
      <c r="H324" t="s">
        <v>839</v>
      </c>
      <c r="I324" t="s">
        <v>840</v>
      </c>
      <c r="J324" t="s">
        <v>66</v>
      </c>
      <c r="K324">
        <v>45684</v>
      </c>
      <c r="L324">
        <v>3459.2</v>
      </c>
      <c r="M324" t="s">
        <v>111</v>
      </c>
    </row>
    <row r="325" spans="1:13">
      <c r="B325" t="s">
        <v>2190</v>
      </c>
      <c r="C325" t="s">
        <v>838</v>
      </c>
      <c r="D325" s="57">
        <v>45667</v>
      </c>
      <c r="E325" s="57">
        <v>45704</v>
      </c>
      <c r="F325" t="s">
        <v>16</v>
      </c>
      <c r="G325" s="11">
        <v>640</v>
      </c>
      <c r="H325" t="s">
        <v>839</v>
      </c>
      <c r="I325" t="s">
        <v>840</v>
      </c>
      <c r="J325" t="s">
        <v>799</v>
      </c>
    </row>
    <row r="326" spans="1:13">
      <c r="B326" t="s">
        <v>2191</v>
      </c>
      <c r="C326" t="s">
        <v>842</v>
      </c>
      <c r="D326" s="57">
        <v>45825</v>
      </c>
      <c r="F326" t="s">
        <v>16</v>
      </c>
      <c r="G326" s="11">
        <v>196.24</v>
      </c>
      <c r="H326" t="s">
        <v>843</v>
      </c>
      <c r="I326" t="s">
        <v>844</v>
      </c>
      <c r="J326" t="s">
        <v>66</v>
      </c>
      <c r="K326">
        <v>45817</v>
      </c>
      <c r="L326">
        <v>196.24</v>
      </c>
      <c r="M326" t="s">
        <v>111</v>
      </c>
    </row>
    <row r="327" spans="1:13">
      <c r="B327" t="s">
        <v>2191</v>
      </c>
      <c r="C327" t="s">
        <v>842</v>
      </c>
      <c r="D327" s="57">
        <v>45825</v>
      </c>
      <c r="E327" s="57">
        <v>45854</v>
      </c>
      <c r="G327" s="11">
        <v>36.72</v>
      </c>
      <c r="H327" t="s">
        <v>843</v>
      </c>
      <c r="I327" t="s">
        <v>844</v>
      </c>
      <c r="J327" t="s">
        <v>799</v>
      </c>
    </row>
    <row r="328" spans="1:13">
      <c r="B328" t="s">
        <v>2192</v>
      </c>
      <c r="C328" t="s">
        <v>314</v>
      </c>
      <c r="D328" s="57">
        <v>45684</v>
      </c>
      <c r="F328" t="s">
        <v>16</v>
      </c>
      <c r="G328" s="11">
        <v>1153.4000000000001</v>
      </c>
      <c r="H328" t="s">
        <v>846</v>
      </c>
      <c r="I328" t="s">
        <v>847</v>
      </c>
      <c r="K328">
        <v>45385</v>
      </c>
    </row>
    <row r="329" spans="1:13">
      <c r="B329" t="s">
        <v>2192</v>
      </c>
      <c r="C329" t="s">
        <v>848</v>
      </c>
      <c r="D329" s="57">
        <v>45716</v>
      </c>
      <c r="E329" s="57">
        <v>45747</v>
      </c>
      <c r="F329" t="s">
        <v>16</v>
      </c>
      <c r="G329" s="11">
        <v>1812.44</v>
      </c>
      <c r="H329" t="s">
        <v>849</v>
      </c>
      <c r="I329" t="s">
        <v>847</v>
      </c>
      <c r="J329" t="s">
        <v>56</v>
      </c>
    </row>
    <row r="330" spans="1:13">
      <c r="A330" t="s">
        <v>13</v>
      </c>
      <c r="B330" t="s">
        <v>2192</v>
      </c>
      <c r="C330" t="s">
        <v>850</v>
      </c>
      <c r="D330" s="57">
        <v>45758</v>
      </c>
      <c r="E330" s="57">
        <v>45808</v>
      </c>
      <c r="F330" t="s">
        <v>16</v>
      </c>
      <c r="G330" s="11">
        <v>1162.73</v>
      </c>
      <c r="H330" t="s">
        <v>851</v>
      </c>
      <c r="I330" t="s">
        <v>847</v>
      </c>
      <c r="J330" t="s">
        <v>110</v>
      </c>
      <c r="K330">
        <v>45945</v>
      </c>
      <c r="L330">
        <v>1162</v>
      </c>
      <c r="M330" t="s">
        <v>819</v>
      </c>
    </row>
    <row r="331" spans="1:13">
      <c r="B331" t="s">
        <v>2193</v>
      </c>
      <c r="C331" t="s">
        <v>864</v>
      </c>
      <c r="D331" s="57">
        <v>45699</v>
      </c>
      <c r="E331" s="57">
        <v>45699</v>
      </c>
      <c r="F331" t="s">
        <v>16</v>
      </c>
      <c r="G331" s="11">
        <v>488</v>
      </c>
      <c r="H331" t="s">
        <v>865</v>
      </c>
      <c r="I331" t="s">
        <v>866</v>
      </c>
      <c r="J331" t="s">
        <v>66</v>
      </c>
      <c r="M331" t="s">
        <v>862</v>
      </c>
    </row>
    <row r="332" spans="1:13">
      <c r="B332" t="s">
        <v>2193</v>
      </c>
      <c r="C332" t="s">
        <v>867</v>
      </c>
      <c r="D332" s="57">
        <v>45700</v>
      </c>
      <c r="F332" t="s">
        <v>16</v>
      </c>
      <c r="G332" s="11">
        <v>488</v>
      </c>
      <c r="H332" t="s">
        <v>868</v>
      </c>
      <c r="I332" t="s">
        <v>866</v>
      </c>
      <c r="J332" t="s">
        <v>66</v>
      </c>
      <c r="M332" t="s">
        <v>862</v>
      </c>
    </row>
    <row r="333" spans="1:13">
      <c r="B333" t="s">
        <v>2193</v>
      </c>
      <c r="C333" t="s">
        <v>869</v>
      </c>
      <c r="D333" s="57">
        <v>45762</v>
      </c>
      <c r="F333" t="s">
        <v>16</v>
      </c>
      <c r="G333" s="11">
        <v>-8000</v>
      </c>
      <c r="H333" t="s">
        <v>870</v>
      </c>
      <c r="I333" t="s">
        <v>871</v>
      </c>
      <c r="J333" t="s">
        <v>66</v>
      </c>
    </row>
    <row r="334" spans="1:13">
      <c r="B334" t="s">
        <v>2195</v>
      </c>
      <c r="C334" t="s">
        <v>875</v>
      </c>
      <c r="D334" s="57">
        <v>45770</v>
      </c>
      <c r="F334" t="s">
        <v>16</v>
      </c>
      <c r="G334" s="11">
        <v>9.69</v>
      </c>
      <c r="H334" t="s">
        <v>876</v>
      </c>
      <c r="J334" t="s">
        <v>24</v>
      </c>
    </row>
    <row r="335" spans="1:13">
      <c r="A335" t="s">
        <v>13</v>
      </c>
      <c r="B335" t="s">
        <v>2386</v>
      </c>
      <c r="C335" t="s">
        <v>878</v>
      </c>
      <c r="D335" s="57">
        <v>45969</v>
      </c>
      <c r="E335" s="57">
        <v>45983</v>
      </c>
      <c r="F335" t="s">
        <v>49</v>
      </c>
      <c r="G335" s="11">
        <v>2837</v>
      </c>
      <c r="I335" t="s">
        <v>879</v>
      </c>
      <c r="J335" t="s">
        <v>354</v>
      </c>
      <c r="K335">
        <v>45989</v>
      </c>
      <c r="L335">
        <v>2837</v>
      </c>
      <c r="M335" t="s">
        <v>313</v>
      </c>
    </row>
    <row r="336" spans="1:13">
      <c r="A336" t="s">
        <v>13</v>
      </c>
      <c r="B336" t="s">
        <v>2198</v>
      </c>
      <c r="C336" t="s">
        <v>883</v>
      </c>
      <c r="D336" s="57">
        <v>45858</v>
      </c>
      <c r="F336" t="s">
        <v>16</v>
      </c>
      <c r="G336" s="11">
        <v>530.65</v>
      </c>
      <c r="H336" t="s">
        <v>884</v>
      </c>
      <c r="I336" t="s">
        <v>885</v>
      </c>
      <c r="J336" t="s">
        <v>886</v>
      </c>
    </row>
    <row r="337" spans="1:13">
      <c r="A337" t="s">
        <v>13</v>
      </c>
      <c r="B337" t="s">
        <v>2198</v>
      </c>
      <c r="C337" t="s">
        <v>887</v>
      </c>
      <c r="D337" s="57">
        <v>45896</v>
      </c>
      <c r="F337" t="s">
        <v>16</v>
      </c>
      <c r="G337" s="11">
        <v>229.15</v>
      </c>
      <c r="H337" t="s">
        <v>888</v>
      </c>
      <c r="I337" t="s">
        <v>889</v>
      </c>
      <c r="J337" t="s">
        <v>794</v>
      </c>
    </row>
    <row r="338" spans="1:13">
      <c r="A338" t="s">
        <v>13</v>
      </c>
      <c r="B338" t="s">
        <v>2198</v>
      </c>
      <c r="C338" t="s">
        <v>890</v>
      </c>
      <c r="D338" s="57">
        <v>45955</v>
      </c>
      <c r="F338" t="s">
        <v>49</v>
      </c>
      <c r="G338" s="11">
        <v>122.4</v>
      </c>
      <c r="I338" t="s">
        <v>891</v>
      </c>
      <c r="J338" t="s">
        <v>422</v>
      </c>
    </row>
    <row r="339" spans="1:13">
      <c r="A339" t="s">
        <v>13</v>
      </c>
      <c r="B339" t="s">
        <v>2387</v>
      </c>
      <c r="C339" t="s">
        <v>892</v>
      </c>
      <c r="D339" s="57">
        <v>45977</v>
      </c>
      <c r="E339" s="57">
        <v>45977</v>
      </c>
      <c r="F339" t="s">
        <v>49</v>
      </c>
      <c r="G339" s="11">
        <v>183.45</v>
      </c>
      <c r="I339" t="s">
        <v>889</v>
      </c>
      <c r="J339" t="s">
        <v>47</v>
      </c>
    </row>
    <row r="340" spans="1:13">
      <c r="B340" t="s">
        <v>2388</v>
      </c>
      <c r="C340" t="s">
        <v>893</v>
      </c>
      <c r="D340" s="57">
        <v>45730</v>
      </c>
      <c r="E340" s="57">
        <v>45730</v>
      </c>
      <c r="F340" t="s">
        <v>16</v>
      </c>
      <c r="G340" s="11">
        <v>3000</v>
      </c>
      <c r="H340" t="s">
        <v>894</v>
      </c>
      <c r="I340" t="s">
        <v>312</v>
      </c>
      <c r="J340" t="s">
        <v>66</v>
      </c>
    </row>
    <row r="341" spans="1:13">
      <c r="B341" t="s">
        <v>2388</v>
      </c>
      <c r="C341" t="s">
        <v>893</v>
      </c>
      <c r="D341" s="57">
        <v>45730</v>
      </c>
      <c r="E341" s="57">
        <v>45763</v>
      </c>
      <c r="G341" s="11">
        <v>555.04</v>
      </c>
      <c r="H341" t="s">
        <v>894</v>
      </c>
      <c r="I341" t="s">
        <v>312</v>
      </c>
      <c r="J341" t="s">
        <v>799</v>
      </c>
    </row>
    <row r="342" spans="1:13">
      <c r="B342" t="s">
        <v>2388</v>
      </c>
      <c r="C342" t="s">
        <v>895</v>
      </c>
      <c r="D342" s="57">
        <v>45940</v>
      </c>
      <c r="E342" s="57">
        <v>45940</v>
      </c>
      <c r="F342" t="s">
        <v>16</v>
      </c>
      <c r="G342" s="11">
        <v>3300</v>
      </c>
      <c r="I342" t="s">
        <v>787</v>
      </c>
      <c r="J342" t="s">
        <v>354</v>
      </c>
      <c r="K342">
        <v>45940</v>
      </c>
      <c r="L342">
        <v>3300</v>
      </c>
      <c r="M342" t="s">
        <v>19</v>
      </c>
    </row>
    <row r="343" spans="1:13">
      <c r="B343" t="s">
        <v>2388</v>
      </c>
      <c r="C343" t="s">
        <v>895</v>
      </c>
      <c r="D343" s="57">
        <v>45940</v>
      </c>
      <c r="E343" s="57">
        <v>45977</v>
      </c>
      <c r="G343" s="11">
        <v>597.59</v>
      </c>
      <c r="I343" t="s">
        <v>787</v>
      </c>
      <c r="J343" t="s">
        <v>354</v>
      </c>
    </row>
    <row r="344" spans="1:13">
      <c r="B344" t="s">
        <v>2388</v>
      </c>
      <c r="C344" t="s">
        <v>896</v>
      </c>
      <c r="D344" s="57">
        <v>45964</v>
      </c>
      <c r="E344" s="57">
        <v>45964</v>
      </c>
      <c r="F344" t="s">
        <v>16</v>
      </c>
      <c r="G344" s="11">
        <v>3000</v>
      </c>
      <c r="I344" t="s">
        <v>312</v>
      </c>
      <c r="J344" t="s">
        <v>66</v>
      </c>
      <c r="K344">
        <v>45960</v>
      </c>
      <c r="L344">
        <v>3000</v>
      </c>
      <c r="M344" t="s">
        <v>246</v>
      </c>
    </row>
    <row r="345" spans="1:13">
      <c r="B345" t="s">
        <v>2388</v>
      </c>
      <c r="E345" s="57">
        <v>45977</v>
      </c>
      <c r="I345" t="s">
        <v>312</v>
      </c>
      <c r="J345" t="s">
        <v>799</v>
      </c>
      <c r="K345">
        <v>45977</v>
      </c>
    </row>
    <row r="346" spans="1:13">
      <c r="B346" t="s">
        <v>2204</v>
      </c>
      <c r="C346" t="s">
        <v>899</v>
      </c>
      <c r="D346" s="57">
        <v>45933</v>
      </c>
      <c r="E346" s="57">
        <v>45933</v>
      </c>
      <c r="F346" t="s">
        <v>16</v>
      </c>
      <c r="G346" s="11">
        <v>84.18</v>
      </c>
      <c r="H346" t="s">
        <v>900</v>
      </c>
      <c r="J346" t="s">
        <v>215</v>
      </c>
    </row>
    <row r="347" spans="1:13">
      <c r="B347" t="s">
        <v>2205</v>
      </c>
      <c r="C347" t="s">
        <v>902</v>
      </c>
      <c r="D347" s="57">
        <v>45642</v>
      </c>
      <c r="E347" s="57">
        <v>45673</v>
      </c>
      <c r="G347" s="11">
        <v>7000</v>
      </c>
      <c r="H347" t="s">
        <v>903</v>
      </c>
      <c r="I347" t="s">
        <v>342</v>
      </c>
      <c r="J347" t="s">
        <v>56</v>
      </c>
    </row>
    <row r="348" spans="1:13">
      <c r="B348" t="s">
        <v>2206</v>
      </c>
      <c r="C348" t="s">
        <v>908</v>
      </c>
      <c r="D348" s="57">
        <v>45762</v>
      </c>
      <c r="E348" s="57">
        <v>45792</v>
      </c>
      <c r="F348" t="s">
        <v>16</v>
      </c>
      <c r="G348" s="11">
        <v>54.9</v>
      </c>
      <c r="H348" t="s">
        <v>909</v>
      </c>
      <c r="J348" t="s">
        <v>150</v>
      </c>
    </row>
    <row r="349" spans="1:13">
      <c r="B349" t="s">
        <v>2206</v>
      </c>
      <c r="C349" t="s">
        <v>910</v>
      </c>
      <c r="D349" s="57">
        <v>45853</v>
      </c>
      <c r="E349" s="57">
        <v>45883</v>
      </c>
      <c r="G349" s="11">
        <v>54.9</v>
      </c>
      <c r="H349" t="s">
        <v>911</v>
      </c>
      <c r="I349" t="s">
        <v>196</v>
      </c>
      <c r="J349" t="s">
        <v>150</v>
      </c>
    </row>
    <row r="350" spans="1:13">
      <c r="B350" t="s">
        <v>2207</v>
      </c>
      <c r="C350" t="s">
        <v>905</v>
      </c>
      <c r="D350" s="57">
        <v>45672</v>
      </c>
      <c r="F350" t="s">
        <v>16</v>
      </c>
      <c r="G350" s="11">
        <v>36.6</v>
      </c>
      <c r="H350" t="s">
        <v>906</v>
      </c>
    </row>
    <row r="351" spans="1:13">
      <c r="A351" t="s">
        <v>13</v>
      </c>
      <c r="B351" t="s">
        <v>2208</v>
      </c>
      <c r="C351" t="s">
        <v>913</v>
      </c>
      <c r="D351" s="57">
        <v>45895</v>
      </c>
      <c r="E351" s="57">
        <v>45895</v>
      </c>
      <c r="F351" t="s">
        <v>16</v>
      </c>
      <c r="G351" s="11">
        <v>1110</v>
      </c>
      <c r="H351" t="s">
        <v>914</v>
      </c>
      <c r="I351" t="s">
        <v>214</v>
      </c>
      <c r="J351" t="s">
        <v>794</v>
      </c>
    </row>
    <row r="352" spans="1:13">
      <c r="A352" t="s">
        <v>13</v>
      </c>
      <c r="B352" t="s">
        <v>2208</v>
      </c>
      <c r="C352" t="s">
        <v>915</v>
      </c>
      <c r="D352" s="57">
        <v>45923</v>
      </c>
      <c r="F352" t="s">
        <v>16</v>
      </c>
      <c r="G352" s="11">
        <v>300</v>
      </c>
      <c r="H352" t="s">
        <v>916</v>
      </c>
      <c r="I352" t="s">
        <v>214</v>
      </c>
      <c r="J352" t="s">
        <v>794</v>
      </c>
    </row>
    <row r="353" spans="1:13">
      <c r="A353" t="s">
        <v>13</v>
      </c>
      <c r="B353" t="s">
        <v>2208</v>
      </c>
      <c r="C353" t="s">
        <v>917</v>
      </c>
      <c r="D353" s="57">
        <v>45923</v>
      </c>
      <c r="F353" t="s">
        <v>16</v>
      </c>
      <c r="G353" s="11">
        <v>749.62</v>
      </c>
      <c r="H353" t="s">
        <v>918</v>
      </c>
      <c r="I353" t="s">
        <v>214</v>
      </c>
      <c r="J353" t="s">
        <v>794</v>
      </c>
    </row>
    <row r="354" spans="1:13">
      <c r="A354" t="s">
        <v>13</v>
      </c>
      <c r="B354" t="s">
        <v>2208</v>
      </c>
      <c r="C354" t="s">
        <v>919</v>
      </c>
      <c r="D354" s="57">
        <v>45923</v>
      </c>
      <c r="F354" t="s">
        <v>16</v>
      </c>
      <c r="G354" s="11">
        <v>121</v>
      </c>
      <c r="H354" t="s">
        <v>920</v>
      </c>
      <c r="I354" t="s">
        <v>214</v>
      </c>
      <c r="J354" t="s">
        <v>794</v>
      </c>
    </row>
    <row r="355" spans="1:13">
      <c r="A355" t="s">
        <v>13</v>
      </c>
      <c r="B355" t="s">
        <v>2208</v>
      </c>
      <c r="C355" t="s">
        <v>921</v>
      </c>
      <c r="D355" s="57">
        <v>45923</v>
      </c>
      <c r="F355" t="s">
        <v>16</v>
      </c>
      <c r="G355" s="11">
        <v>1606.93</v>
      </c>
      <c r="H355" t="s">
        <v>922</v>
      </c>
      <c r="I355" t="s">
        <v>889</v>
      </c>
      <c r="J355" t="s">
        <v>794</v>
      </c>
    </row>
    <row r="356" spans="1:13">
      <c r="A356" t="s">
        <v>13</v>
      </c>
      <c r="B356" t="s">
        <v>2208</v>
      </c>
      <c r="C356" t="s">
        <v>923</v>
      </c>
      <c r="D356" s="57">
        <v>45923</v>
      </c>
      <c r="F356" t="s">
        <v>16</v>
      </c>
      <c r="G356" s="11">
        <v>221.78</v>
      </c>
      <c r="H356" t="s">
        <v>924</v>
      </c>
      <c r="I356" t="s">
        <v>889</v>
      </c>
      <c r="J356" t="s">
        <v>794</v>
      </c>
    </row>
    <row r="357" spans="1:13">
      <c r="A357" t="s">
        <v>13</v>
      </c>
      <c r="B357" t="s">
        <v>2208</v>
      </c>
      <c r="C357" t="s">
        <v>925</v>
      </c>
      <c r="D357" s="57">
        <v>45955</v>
      </c>
      <c r="E357" s="57">
        <v>45955</v>
      </c>
      <c r="F357" t="s">
        <v>49</v>
      </c>
      <c r="G357" s="11">
        <v>498.96</v>
      </c>
      <c r="I357" t="s">
        <v>926</v>
      </c>
      <c r="J357" t="s">
        <v>47</v>
      </c>
    </row>
    <row r="358" spans="1:13">
      <c r="A358" t="s">
        <v>13</v>
      </c>
      <c r="B358" t="s">
        <v>2389</v>
      </c>
      <c r="C358" t="s">
        <v>928</v>
      </c>
      <c r="D358" s="57">
        <v>45958</v>
      </c>
      <c r="E358" s="57">
        <v>45958</v>
      </c>
      <c r="F358" t="s">
        <v>49</v>
      </c>
      <c r="G358" s="11">
        <v>215.54</v>
      </c>
      <c r="I358" t="s">
        <v>28</v>
      </c>
      <c r="J358" t="s">
        <v>47</v>
      </c>
      <c r="L358">
        <v>215.54</v>
      </c>
      <c r="M358" t="s">
        <v>47</v>
      </c>
    </row>
    <row r="359" spans="1:13">
      <c r="A359" t="s">
        <v>13</v>
      </c>
      <c r="B359" t="s">
        <v>2389</v>
      </c>
      <c r="C359" t="s">
        <v>929</v>
      </c>
      <c r="D359" s="57">
        <v>45962</v>
      </c>
      <c r="E359" s="57">
        <v>45962</v>
      </c>
      <c r="F359" t="s">
        <v>16</v>
      </c>
      <c r="G359" s="11">
        <v>295.95</v>
      </c>
      <c r="I359" t="s">
        <v>34</v>
      </c>
      <c r="J359" t="s">
        <v>361</v>
      </c>
      <c r="L359">
        <v>295.95</v>
      </c>
      <c r="M359" t="s">
        <v>47</v>
      </c>
    </row>
    <row r="360" spans="1:13">
      <c r="A360" t="s">
        <v>13</v>
      </c>
      <c r="B360" t="s">
        <v>2210</v>
      </c>
      <c r="C360" t="s">
        <v>931</v>
      </c>
      <c r="D360" s="57">
        <v>45672</v>
      </c>
      <c r="F360" t="s">
        <v>16</v>
      </c>
      <c r="G360" s="11">
        <v>693.19</v>
      </c>
      <c r="H360" t="s">
        <v>932</v>
      </c>
      <c r="I360" t="s">
        <v>933</v>
      </c>
      <c r="J360" t="s">
        <v>150</v>
      </c>
    </row>
    <row r="361" spans="1:13">
      <c r="A361" t="s">
        <v>13</v>
      </c>
      <c r="B361" t="s">
        <v>2210</v>
      </c>
      <c r="C361" t="s">
        <v>934</v>
      </c>
      <c r="D361" s="57">
        <v>45688</v>
      </c>
      <c r="E361" s="57">
        <v>45688</v>
      </c>
      <c r="F361" t="s">
        <v>16</v>
      </c>
      <c r="G361" s="11">
        <v>1206.6199999999999</v>
      </c>
      <c r="H361" t="s">
        <v>935</v>
      </c>
      <c r="I361" t="s">
        <v>936</v>
      </c>
      <c r="J361" t="s">
        <v>154</v>
      </c>
      <c r="K361">
        <v>45736</v>
      </c>
      <c r="L361">
        <v>916.36</v>
      </c>
      <c r="M361" t="s">
        <v>111</v>
      </c>
    </row>
    <row r="362" spans="1:13">
      <c r="A362" t="s">
        <v>13</v>
      </c>
      <c r="B362" t="s">
        <v>2210</v>
      </c>
      <c r="C362" t="s">
        <v>937</v>
      </c>
      <c r="D362" s="57">
        <v>45703</v>
      </c>
      <c r="E362" s="57">
        <v>45724</v>
      </c>
      <c r="F362" t="s">
        <v>16</v>
      </c>
      <c r="G362" s="11">
        <v>916.36</v>
      </c>
      <c r="H362" t="s">
        <v>938</v>
      </c>
      <c r="I362" t="s">
        <v>939</v>
      </c>
      <c r="J362" t="s">
        <v>150</v>
      </c>
      <c r="K362">
        <v>45737</v>
      </c>
      <c r="M362" t="s">
        <v>19</v>
      </c>
    </row>
    <row r="363" spans="1:13">
      <c r="A363" t="s">
        <v>13</v>
      </c>
      <c r="B363" t="s">
        <v>2210</v>
      </c>
      <c r="C363" t="s">
        <v>940</v>
      </c>
      <c r="D363" s="57">
        <v>45716</v>
      </c>
      <c r="F363" t="s">
        <v>16</v>
      </c>
      <c r="G363" s="11">
        <v>749.5</v>
      </c>
      <c r="H363" t="s">
        <v>941</v>
      </c>
      <c r="I363" t="s">
        <v>942</v>
      </c>
      <c r="J363" t="s">
        <v>150</v>
      </c>
      <c r="K363">
        <v>45763</v>
      </c>
      <c r="M363" t="s">
        <v>19</v>
      </c>
    </row>
    <row r="364" spans="1:13">
      <c r="A364" t="s">
        <v>13</v>
      </c>
      <c r="B364" t="s">
        <v>2210</v>
      </c>
      <c r="C364" t="s">
        <v>943</v>
      </c>
      <c r="D364" s="57">
        <v>45731</v>
      </c>
      <c r="F364" t="s">
        <v>16</v>
      </c>
      <c r="G364" s="11">
        <v>729.96</v>
      </c>
      <c r="H364" t="s">
        <v>944</v>
      </c>
      <c r="I364" t="s">
        <v>945</v>
      </c>
      <c r="J364" t="s">
        <v>150</v>
      </c>
      <c r="K364">
        <v>45763</v>
      </c>
      <c r="M364" t="s">
        <v>19</v>
      </c>
    </row>
    <row r="365" spans="1:13">
      <c r="A365" t="s">
        <v>13</v>
      </c>
      <c r="B365" t="s">
        <v>2210</v>
      </c>
      <c r="C365" t="s">
        <v>946</v>
      </c>
      <c r="D365" s="57">
        <v>45747</v>
      </c>
      <c r="F365" t="s">
        <v>16</v>
      </c>
      <c r="G365" s="11">
        <v>828.84</v>
      </c>
      <c r="H365" t="s">
        <v>947</v>
      </c>
      <c r="I365" t="s">
        <v>948</v>
      </c>
      <c r="J365" t="s">
        <v>150</v>
      </c>
      <c r="K365">
        <v>45783</v>
      </c>
      <c r="M365" t="s">
        <v>19</v>
      </c>
    </row>
    <row r="366" spans="1:13">
      <c r="A366" t="s">
        <v>13</v>
      </c>
      <c r="B366" t="s">
        <v>2210</v>
      </c>
      <c r="C366" t="s">
        <v>949</v>
      </c>
      <c r="D366" s="57">
        <v>45762</v>
      </c>
      <c r="F366" t="s">
        <v>16</v>
      </c>
      <c r="G366" s="11">
        <v>846.19</v>
      </c>
      <c r="H366" t="s">
        <v>950</v>
      </c>
      <c r="I366" t="s">
        <v>951</v>
      </c>
      <c r="J366" t="s">
        <v>150</v>
      </c>
      <c r="K366">
        <v>45800</v>
      </c>
      <c r="M366" t="s">
        <v>19</v>
      </c>
    </row>
    <row r="367" spans="1:13">
      <c r="A367" t="s">
        <v>13</v>
      </c>
      <c r="B367" t="s">
        <v>2210</v>
      </c>
      <c r="C367" t="s">
        <v>952</v>
      </c>
      <c r="D367" s="57">
        <v>45777</v>
      </c>
      <c r="F367" t="s">
        <v>16</v>
      </c>
      <c r="G367" s="11">
        <v>615.79999999999995</v>
      </c>
      <c r="H367" t="s">
        <v>953</v>
      </c>
      <c r="I367" t="s">
        <v>954</v>
      </c>
      <c r="J367" t="s">
        <v>150</v>
      </c>
      <c r="K367">
        <v>45824</v>
      </c>
      <c r="M367" t="s">
        <v>19</v>
      </c>
    </row>
    <row r="368" spans="1:13">
      <c r="A368" t="s">
        <v>13</v>
      </c>
      <c r="B368" t="s">
        <v>2210</v>
      </c>
      <c r="C368" t="s">
        <v>955</v>
      </c>
      <c r="D368" s="57">
        <v>45792</v>
      </c>
      <c r="F368" t="s">
        <v>16</v>
      </c>
      <c r="G368" s="11">
        <v>568.62</v>
      </c>
      <c r="H368" t="s">
        <v>956</v>
      </c>
      <c r="I368" t="s">
        <v>957</v>
      </c>
      <c r="J368" t="s">
        <v>150</v>
      </c>
      <c r="K368">
        <v>45831</v>
      </c>
      <c r="M368" t="s">
        <v>19</v>
      </c>
    </row>
    <row r="369" spans="1:13">
      <c r="A369" t="s">
        <v>13</v>
      </c>
      <c r="B369" t="s">
        <v>2210</v>
      </c>
      <c r="C369" t="s">
        <v>958</v>
      </c>
      <c r="D369" s="57">
        <v>45808</v>
      </c>
      <c r="E369" s="57">
        <v>45829</v>
      </c>
      <c r="F369" t="s">
        <v>16</v>
      </c>
      <c r="G369" s="11">
        <v>942.34</v>
      </c>
      <c r="H369" t="s">
        <v>959</v>
      </c>
      <c r="I369" t="s">
        <v>960</v>
      </c>
      <c r="J369" t="s">
        <v>150</v>
      </c>
      <c r="M369" t="s">
        <v>19</v>
      </c>
    </row>
    <row r="370" spans="1:13">
      <c r="A370" t="s">
        <v>13</v>
      </c>
      <c r="B370" t="s">
        <v>2210</v>
      </c>
      <c r="C370" t="s">
        <v>961</v>
      </c>
      <c r="D370" s="57">
        <v>45823</v>
      </c>
      <c r="F370" t="s">
        <v>16</v>
      </c>
      <c r="G370" s="11">
        <v>579.76</v>
      </c>
      <c r="H370" t="s">
        <v>962</v>
      </c>
      <c r="I370" t="s">
        <v>963</v>
      </c>
      <c r="J370" t="s">
        <v>964</v>
      </c>
      <c r="M370" t="s">
        <v>19</v>
      </c>
    </row>
    <row r="371" spans="1:13">
      <c r="A371" t="s">
        <v>13</v>
      </c>
      <c r="B371" t="s">
        <v>2210</v>
      </c>
      <c r="C371" t="s">
        <v>965</v>
      </c>
      <c r="D371" s="57">
        <v>45838</v>
      </c>
      <c r="F371" t="s">
        <v>16</v>
      </c>
      <c r="G371" s="11">
        <v>738.19</v>
      </c>
      <c r="H371" t="s">
        <v>966</v>
      </c>
      <c r="I371" t="s">
        <v>967</v>
      </c>
      <c r="J371" t="s">
        <v>968</v>
      </c>
      <c r="K371">
        <v>45858</v>
      </c>
      <c r="M371" t="s">
        <v>19</v>
      </c>
    </row>
    <row r="372" spans="1:13">
      <c r="A372" t="s">
        <v>13</v>
      </c>
      <c r="B372" t="s">
        <v>2210</v>
      </c>
      <c r="C372" t="s">
        <v>969</v>
      </c>
      <c r="D372" s="57">
        <v>45853</v>
      </c>
      <c r="F372" t="s">
        <v>16</v>
      </c>
      <c r="G372" s="11">
        <v>1247.81</v>
      </c>
      <c r="H372" t="s">
        <v>970</v>
      </c>
      <c r="I372" t="s">
        <v>971</v>
      </c>
      <c r="J372" t="s">
        <v>150</v>
      </c>
      <c r="K372">
        <v>45874</v>
      </c>
      <c r="M372" t="s">
        <v>19</v>
      </c>
    </row>
    <row r="373" spans="1:13">
      <c r="A373" t="s">
        <v>13</v>
      </c>
      <c r="B373" t="s">
        <v>2210</v>
      </c>
      <c r="C373" t="s">
        <v>972</v>
      </c>
      <c r="D373" s="57">
        <v>45869</v>
      </c>
      <c r="F373" t="s">
        <v>16</v>
      </c>
      <c r="G373" s="11">
        <v>986.36</v>
      </c>
      <c r="H373" t="s">
        <v>973</v>
      </c>
      <c r="I373" t="s">
        <v>974</v>
      </c>
      <c r="J373" t="s">
        <v>150</v>
      </c>
      <c r="K373">
        <v>45889</v>
      </c>
      <c r="M373" t="s">
        <v>19</v>
      </c>
    </row>
    <row r="374" spans="1:13">
      <c r="A374" t="s">
        <v>13</v>
      </c>
      <c r="B374" t="s">
        <v>2210</v>
      </c>
      <c r="C374" t="s">
        <v>975</v>
      </c>
      <c r="D374" s="57">
        <v>45884</v>
      </c>
      <c r="F374" t="s">
        <v>16</v>
      </c>
      <c r="G374" s="11">
        <v>1157.67</v>
      </c>
      <c r="H374" t="s">
        <v>976</v>
      </c>
      <c r="I374" t="s">
        <v>977</v>
      </c>
      <c r="J374" t="s">
        <v>150</v>
      </c>
      <c r="K374">
        <v>45905</v>
      </c>
      <c r="M374" t="s">
        <v>19</v>
      </c>
    </row>
    <row r="375" spans="1:13">
      <c r="A375" t="s">
        <v>13</v>
      </c>
      <c r="B375" t="s">
        <v>2210</v>
      </c>
      <c r="C375" t="s">
        <v>978</v>
      </c>
      <c r="D375" s="57">
        <v>45900</v>
      </c>
      <c r="F375" t="s">
        <v>16</v>
      </c>
      <c r="G375" s="11">
        <v>748.7</v>
      </c>
      <c r="H375" t="s">
        <v>979</v>
      </c>
      <c r="I375" t="s">
        <v>980</v>
      </c>
      <c r="J375" t="s">
        <v>154</v>
      </c>
      <c r="K375">
        <v>45920</v>
      </c>
      <c r="M375" t="s">
        <v>19</v>
      </c>
    </row>
    <row r="376" spans="1:13">
      <c r="A376" t="s">
        <v>13</v>
      </c>
      <c r="B376" t="s">
        <v>2210</v>
      </c>
      <c r="C376" t="s">
        <v>981</v>
      </c>
      <c r="D376" s="57">
        <v>45915</v>
      </c>
      <c r="F376" t="s">
        <v>16</v>
      </c>
      <c r="G376" s="11">
        <v>662.09</v>
      </c>
      <c r="H376" t="s">
        <v>982</v>
      </c>
      <c r="I376" t="s">
        <v>983</v>
      </c>
      <c r="J376" t="s">
        <v>150</v>
      </c>
      <c r="K376">
        <v>45935</v>
      </c>
      <c r="M376" t="s">
        <v>19</v>
      </c>
    </row>
    <row r="377" spans="1:13">
      <c r="A377" t="s">
        <v>13</v>
      </c>
      <c r="B377" t="s">
        <v>2210</v>
      </c>
      <c r="C377" t="s">
        <v>984</v>
      </c>
      <c r="D377" s="57">
        <v>45930</v>
      </c>
      <c r="F377" t="s">
        <v>16</v>
      </c>
      <c r="G377" s="11">
        <v>620.88</v>
      </c>
      <c r="H377" t="s">
        <v>985</v>
      </c>
      <c r="I377" t="s">
        <v>986</v>
      </c>
      <c r="J377" t="s">
        <v>154</v>
      </c>
      <c r="K377">
        <v>45950</v>
      </c>
      <c r="M377" t="s">
        <v>19</v>
      </c>
    </row>
    <row r="378" spans="1:13">
      <c r="A378" t="s">
        <v>13</v>
      </c>
      <c r="B378" t="s">
        <v>2210</v>
      </c>
      <c r="C378" t="s">
        <v>987</v>
      </c>
      <c r="D378" s="57">
        <v>45961</v>
      </c>
      <c r="E378" s="57">
        <v>45960</v>
      </c>
      <c r="F378" t="s">
        <v>49</v>
      </c>
      <c r="G378" s="11">
        <v>758.4</v>
      </c>
      <c r="I378" t="s">
        <v>988</v>
      </c>
      <c r="J378" t="s">
        <v>154</v>
      </c>
      <c r="M378" t="s">
        <v>19</v>
      </c>
    </row>
    <row r="379" spans="1:13">
      <c r="A379" t="s">
        <v>13</v>
      </c>
      <c r="B379" t="s">
        <v>2210</v>
      </c>
      <c r="C379" t="s">
        <v>989</v>
      </c>
      <c r="D379" s="57">
        <v>45976</v>
      </c>
      <c r="E379" s="57">
        <v>45976</v>
      </c>
      <c r="F379" t="s">
        <v>49</v>
      </c>
      <c r="G379" s="11">
        <v>415.6</v>
      </c>
      <c r="I379" t="s">
        <v>990</v>
      </c>
      <c r="J379" t="s">
        <v>154</v>
      </c>
      <c r="M379" t="s">
        <v>19</v>
      </c>
    </row>
    <row r="380" spans="1:13">
      <c r="A380" t="s">
        <v>13</v>
      </c>
      <c r="B380" t="s">
        <v>2210</v>
      </c>
      <c r="C380" t="s">
        <v>991</v>
      </c>
      <c r="D380" s="57">
        <v>45991</v>
      </c>
      <c r="E380" s="57">
        <v>45991</v>
      </c>
      <c r="F380" t="s">
        <v>49</v>
      </c>
      <c r="G380" s="11">
        <v>764.62</v>
      </c>
      <c r="J380" t="s">
        <v>154</v>
      </c>
      <c r="M380" t="s">
        <v>19</v>
      </c>
    </row>
    <row r="381" spans="1:13">
      <c r="B381" t="s">
        <v>2214</v>
      </c>
      <c r="C381" t="s">
        <v>1007</v>
      </c>
      <c r="D381" s="57">
        <v>45677</v>
      </c>
      <c r="F381" t="s">
        <v>16</v>
      </c>
      <c r="G381" s="11">
        <v>427</v>
      </c>
      <c r="H381" t="s">
        <v>1008</v>
      </c>
      <c r="J381" t="s">
        <v>56</v>
      </c>
    </row>
    <row r="382" spans="1:13">
      <c r="B382" t="s">
        <v>2215</v>
      </c>
      <c r="C382" t="s">
        <v>1009</v>
      </c>
      <c r="D382" s="57">
        <v>45404</v>
      </c>
      <c r="F382" t="s">
        <v>16</v>
      </c>
      <c r="G382" s="11">
        <v>854</v>
      </c>
      <c r="I382" t="s">
        <v>1010</v>
      </c>
    </row>
    <row r="383" spans="1:13">
      <c r="B383" t="s">
        <v>2215</v>
      </c>
      <c r="C383" t="s">
        <v>1011</v>
      </c>
      <c r="D383" s="57">
        <v>45412</v>
      </c>
      <c r="F383" t="s">
        <v>16</v>
      </c>
      <c r="G383" s="11">
        <v>329.4</v>
      </c>
      <c r="H383" t="s">
        <v>1012</v>
      </c>
      <c r="I383" t="s">
        <v>1013</v>
      </c>
      <c r="J383" t="s">
        <v>56</v>
      </c>
    </row>
    <row r="384" spans="1:13">
      <c r="B384" t="s">
        <v>2215</v>
      </c>
      <c r="C384" t="s">
        <v>1014</v>
      </c>
      <c r="D384" s="57">
        <v>45443</v>
      </c>
      <c r="F384" t="s">
        <v>16</v>
      </c>
      <c r="G384" s="11">
        <v>854</v>
      </c>
      <c r="H384" t="s">
        <v>1015</v>
      </c>
      <c r="I384" t="s">
        <v>1016</v>
      </c>
      <c r="J384" t="s">
        <v>56</v>
      </c>
      <c r="K384">
        <v>45709</v>
      </c>
      <c r="L384">
        <v>10000</v>
      </c>
      <c r="M384" t="s">
        <v>111</v>
      </c>
    </row>
    <row r="385" spans="1:13">
      <c r="B385" t="s">
        <v>2215</v>
      </c>
      <c r="E385" s="57">
        <v>45606</v>
      </c>
      <c r="F385" t="s">
        <v>16</v>
      </c>
      <c r="G385" s="11">
        <v>5000</v>
      </c>
      <c r="K385">
        <v>45709</v>
      </c>
      <c r="L385">
        <v>10000</v>
      </c>
      <c r="M385" t="s">
        <v>111</v>
      </c>
    </row>
    <row r="386" spans="1:13">
      <c r="B386" t="s">
        <v>2215</v>
      </c>
      <c r="E386" s="57">
        <v>45636</v>
      </c>
      <c r="F386" t="s">
        <v>16</v>
      </c>
      <c r="G386" s="11">
        <v>5000</v>
      </c>
      <c r="K386">
        <v>45826</v>
      </c>
      <c r="L386">
        <v>25000</v>
      </c>
    </row>
    <row r="387" spans="1:13">
      <c r="B387" t="s">
        <v>2215</v>
      </c>
      <c r="E387" s="57">
        <v>45682</v>
      </c>
      <c r="F387" t="s">
        <v>16</v>
      </c>
      <c r="G387" s="11">
        <v>77000</v>
      </c>
      <c r="J387" t="s">
        <v>56</v>
      </c>
    </row>
    <row r="388" spans="1:13">
      <c r="B388" t="s">
        <v>2215</v>
      </c>
      <c r="C388" t="s">
        <v>1017</v>
      </c>
      <c r="D388" s="57">
        <v>45535</v>
      </c>
      <c r="E388" s="57">
        <v>45545</v>
      </c>
      <c r="F388" t="s">
        <v>16</v>
      </c>
      <c r="G388" s="11">
        <v>854</v>
      </c>
      <c r="H388" t="s">
        <v>1018</v>
      </c>
      <c r="I388" t="s">
        <v>1019</v>
      </c>
      <c r="J388" t="s">
        <v>56</v>
      </c>
      <c r="K388" t="s">
        <v>1020</v>
      </c>
    </row>
    <row r="389" spans="1:13">
      <c r="B389" t="s">
        <v>2215</v>
      </c>
      <c r="C389" t="s">
        <v>1021</v>
      </c>
      <c r="D389" s="57">
        <v>45616</v>
      </c>
      <c r="E389" s="57">
        <v>45636</v>
      </c>
      <c r="F389" t="s">
        <v>16</v>
      </c>
      <c r="G389" s="11">
        <v>1281</v>
      </c>
      <c r="H389" t="s">
        <v>1022</v>
      </c>
      <c r="I389" t="s">
        <v>1023</v>
      </c>
      <c r="J389" t="s">
        <v>56</v>
      </c>
    </row>
    <row r="390" spans="1:13">
      <c r="B390" t="s">
        <v>2215</v>
      </c>
      <c r="C390" t="s">
        <v>1024</v>
      </c>
      <c r="D390" s="57">
        <v>45653</v>
      </c>
      <c r="E390" s="57">
        <v>45667</v>
      </c>
      <c r="F390" t="s">
        <v>16</v>
      </c>
      <c r="G390" s="11">
        <v>427</v>
      </c>
      <c r="H390" t="s">
        <v>1025</v>
      </c>
      <c r="J390" t="s">
        <v>56</v>
      </c>
    </row>
    <row r="391" spans="1:13">
      <c r="B391" t="s">
        <v>2214</v>
      </c>
      <c r="C391" t="s">
        <v>1026</v>
      </c>
      <c r="D391" s="57">
        <v>45716</v>
      </c>
      <c r="E391" s="57">
        <v>45726</v>
      </c>
      <c r="F391" t="s">
        <v>16</v>
      </c>
      <c r="G391" s="11">
        <v>-328.18</v>
      </c>
      <c r="H391" t="s">
        <v>1027</v>
      </c>
      <c r="J391" t="s">
        <v>56</v>
      </c>
    </row>
    <row r="392" spans="1:13">
      <c r="B392" t="s">
        <v>2214</v>
      </c>
      <c r="C392" t="s">
        <v>1028</v>
      </c>
      <c r="D392" s="57">
        <v>45869</v>
      </c>
      <c r="E392" s="57">
        <v>45879</v>
      </c>
      <c r="G392" s="11">
        <v>2745</v>
      </c>
      <c r="H392" t="s">
        <v>1029</v>
      </c>
      <c r="I392" t="s">
        <v>1030</v>
      </c>
      <c r="J392" t="s">
        <v>56</v>
      </c>
      <c r="K392">
        <v>45685</v>
      </c>
      <c r="L392">
        <v>1644.63</v>
      </c>
      <c r="M392" t="s">
        <v>111</v>
      </c>
    </row>
    <row r="393" spans="1:13">
      <c r="B393" t="s">
        <v>2215</v>
      </c>
      <c r="C393" t="s">
        <v>1031</v>
      </c>
      <c r="D393" s="57">
        <v>45900</v>
      </c>
      <c r="E393" s="57">
        <v>45910</v>
      </c>
      <c r="G393" s="11">
        <v>427</v>
      </c>
      <c r="H393" t="s">
        <v>1032</v>
      </c>
      <c r="I393" t="s">
        <v>1033</v>
      </c>
      <c r="J393" t="s">
        <v>56</v>
      </c>
    </row>
    <row r="394" spans="1:13">
      <c r="B394" t="s">
        <v>2214</v>
      </c>
      <c r="C394" t="s">
        <v>1034</v>
      </c>
      <c r="D394" s="57">
        <v>45917</v>
      </c>
      <c r="E394" s="57">
        <v>45940</v>
      </c>
      <c r="F394" t="s">
        <v>16</v>
      </c>
      <c r="G394" s="11">
        <v>11598.83</v>
      </c>
      <c r="H394" t="s">
        <v>1035</v>
      </c>
      <c r="I394" t="s">
        <v>1036</v>
      </c>
      <c r="J394" t="s">
        <v>66</v>
      </c>
    </row>
    <row r="395" spans="1:13">
      <c r="B395" t="s">
        <v>2214</v>
      </c>
      <c r="C395" t="s">
        <v>1037</v>
      </c>
      <c r="D395" s="57">
        <v>45930</v>
      </c>
      <c r="E395" s="57">
        <v>45940</v>
      </c>
      <c r="G395" s="11">
        <v>854</v>
      </c>
      <c r="H395" t="s">
        <v>1038</v>
      </c>
      <c r="I395" t="s">
        <v>692</v>
      </c>
      <c r="J395" t="s">
        <v>56</v>
      </c>
    </row>
    <row r="396" spans="1:13">
      <c r="B396" t="s">
        <v>2214</v>
      </c>
      <c r="C396" t="s">
        <v>1039</v>
      </c>
      <c r="D396" s="57">
        <v>45930</v>
      </c>
      <c r="E396" s="57">
        <v>46001</v>
      </c>
      <c r="G396" s="11">
        <v>2598.6</v>
      </c>
      <c r="H396" t="s">
        <v>1040</v>
      </c>
      <c r="I396" t="s">
        <v>1041</v>
      </c>
      <c r="J396" t="s">
        <v>125</v>
      </c>
    </row>
    <row r="397" spans="1:13">
      <c r="A397" t="s">
        <v>316</v>
      </c>
      <c r="B397" t="s">
        <v>2214</v>
      </c>
      <c r="C397" t="s">
        <v>1042</v>
      </c>
      <c r="D397" s="57">
        <v>45950</v>
      </c>
      <c r="E397" s="57">
        <v>45971</v>
      </c>
      <c r="G397" s="11">
        <v>854</v>
      </c>
      <c r="I397" t="s">
        <v>2216</v>
      </c>
      <c r="J397" t="s">
        <v>1044</v>
      </c>
      <c r="K397">
        <v>45971</v>
      </c>
      <c r="L397">
        <v>854</v>
      </c>
    </row>
    <row r="398" spans="1:13">
      <c r="B398" t="s">
        <v>2219</v>
      </c>
      <c r="C398" t="s">
        <v>995</v>
      </c>
      <c r="D398" s="57">
        <v>45747</v>
      </c>
      <c r="E398" s="57">
        <v>45807</v>
      </c>
      <c r="G398" s="11">
        <v>1660.42</v>
      </c>
      <c r="H398" t="s">
        <v>996</v>
      </c>
    </row>
    <row r="399" spans="1:13">
      <c r="B399" t="s">
        <v>2219</v>
      </c>
      <c r="C399" t="s">
        <v>997</v>
      </c>
      <c r="D399" s="57">
        <v>45777</v>
      </c>
      <c r="G399" s="11">
        <v>180.56</v>
      </c>
      <c r="H399" t="s">
        <v>998</v>
      </c>
    </row>
    <row r="400" spans="1:13">
      <c r="B400" t="s">
        <v>2219</v>
      </c>
      <c r="C400" t="s">
        <v>999</v>
      </c>
      <c r="D400" s="57">
        <v>45808</v>
      </c>
      <c r="G400" s="11">
        <v>890.6</v>
      </c>
      <c r="H400" t="s">
        <v>1000</v>
      </c>
      <c r="M400" t="s">
        <v>1001</v>
      </c>
    </row>
    <row r="401" spans="1:13">
      <c r="B401" t="s">
        <v>2220</v>
      </c>
      <c r="C401" t="s">
        <v>526</v>
      </c>
      <c r="D401" s="57">
        <v>45832</v>
      </c>
      <c r="F401" t="s">
        <v>16</v>
      </c>
      <c r="G401" s="11">
        <v>405.01</v>
      </c>
      <c r="H401" t="s">
        <v>1003</v>
      </c>
      <c r="M401" t="s">
        <v>1001</v>
      </c>
    </row>
    <row r="402" spans="1:13">
      <c r="B402" t="s">
        <v>2220</v>
      </c>
      <c r="C402" t="s">
        <v>1004</v>
      </c>
      <c r="D402" s="57">
        <v>45838</v>
      </c>
      <c r="F402" t="s">
        <v>16</v>
      </c>
      <c r="G402" s="11">
        <v>180</v>
      </c>
      <c r="H402" t="s">
        <v>1005</v>
      </c>
      <c r="J402" t="s">
        <v>794</v>
      </c>
    </row>
    <row r="403" spans="1:13">
      <c r="A403" t="s">
        <v>13</v>
      </c>
      <c r="B403" t="s">
        <v>2390</v>
      </c>
      <c r="C403" t="s">
        <v>2391</v>
      </c>
      <c r="D403" s="57">
        <v>45712</v>
      </c>
      <c r="G403" s="11">
        <v>2412.5100000000002</v>
      </c>
      <c r="I403" t="s">
        <v>1055</v>
      </c>
    </row>
    <row r="404" spans="1:13">
      <c r="A404" t="s">
        <v>13</v>
      </c>
      <c r="B404" t="s">
        <v>2390</v>
      </c>
      <c r="C404" t="s">
        <v>1048</v>
      </c>
      <c r="D404" s="57">
        <v>45793</v>
      </c>
      <c r="G404" s="11">
        <v>5756.63</v>
      </c>
      <c r="I404" t="s">
        <v>1057</v>
      </c>
    </row>
    <row r="405" spans="1:13">
      <c r="A405" t="s">
        <v>13</v>
      </c>
      <c r="B405" t="s">
        <v>2390</v>
      </c>
      <c r="C405" t="s">
        <v>1051</v>
      </c>
      <c r="D405" s="57">
        <v>45866</v>
      </c>
      <c r="G405" s="11">
        <v>260.85999999999967</v>
      </c>
      <c r="I405" t="s">
        <v>1059</v>
      </c>
      <c r="M405" t="s">
        <v>1060</v>
      </c>
    </row>
    <row r="406" spans="1:13">
      <c r="A406" t="s">
        <v>13</v>
      </c>
      <c r="B406" t="s">
        <v>2390</v>
      </c>
      <c r="C406" t="s">
        <v>2392</v>
      </c>
      <c r="G406" s="11">
        <v>0</v>
      </c>
      <c r="I406" t="s">
        <v>1062</v>
      </c>
    </row>
    <row r="407" spans="1:13">
      <c r="A407" t="s">
        <v>13</v>
      </c>
      <c r="B407" t="s">
        <v>2390</v>
      </c>
      <c r="C407" t="s">
        <v>1054</v>
      </c>
      <c r="D407" s="57">
        <v>45947</v>
      </c>
      <c r="F407" t="s">
        <v>49</v>
      </c>
      <c r="G407" s="11">
        <v>4500</v>
      </c>
      <c r="I407" t="s">
        <v>1064</v>
      </c>
      <c r="J407" t="s">
        <v>83</v>
      </c>
      <c r="K407">
        <v>45946</v>
      </c>
      <c r="L407">
        <v>4500</v>
      </c>
      <c r="M407" t="s">
        <v>819</v>
      </c>
    </row>
    <row r="408" spans="1:13">
      <c r="A408" t="s">
        <v>13</v>
      </c>
      <c r="B408" t="s">
        <v>2390</v>
      </c>
      <c r="C408" t="s">
        <v>1056</v>
      </c>
      <c r="D408" s="57">
        <v>45964</v>
      </c>
      <c r="F408" t="s">
        <v>49</v>
      </c>
      <c r="G408" s="11">
        <v>2087.4899999999998</v>
      </c>
      <c r="I408" t="s">
        <v>1064</v>
      </c>
      <c r="J408" t="s">
        <v>83</v>
      </c>
      <c r="K408">
        <v>45961</v>
      </c>
      <c r="L408">
        <v>4500</v>
      </c>
      <c r="M408" t="s">
        <v>1066</v>
      </c>
    </row>
    <row r="409" spans="1:13">
      <c r="A409" t="s">
        <v>13</v>
      </c>
      <c r="B409" t="s">
        <v>2390</v>
      </c>
      <c r="C409" t="s">
        <v>1058</v>
      </c>
      <c r="D409" s="57">
        <v>45964</v>
      </c>
      <c r="F409" t="s">
        <v>49</v>
      </c>
      <c r="G409" s="11">
        <v>2412.5100000000002</v>
      </c>
      <c r="I409" t="s">
        <v>1064</v>
      </c>
      <c r="J409" t="s">
        <v>83</v>
      </c>
      <c r="K409">
        <v>45961</v>
      </c>
      <c r="L409">
        <v>4500</v>
      </c>
      <c r="M409" t="s">
        <v>1066</v>
      </c>
    </row>
    <row r="410" spans="1:13">
      <c r="A410">
        <v>2024</v>
      </c>
      <c r="B410" t="s">
        <v>2393</v>
      </c>
      <c r="C410" t="s">
        <v>1063</v>
      </c>
      <c r="D410" s="57">
        <v>45686</v>
      </c>
      <c r="F410" t="s">
        <v>16</v>
      </c>
      <c r="G410" s="11">
        <v>5559.07</v>
      </c>
      <c r="H410" t="s">
        <v>1049</v>
      </c>
      <c r="I410" t="s">
        <v>1050</v>
      </c>
      <c r="J410" t="s">
        <v>56</v>
      </c>
      <c r="K410">
        <v>45685</v>
      </c>
      <c r="L410">
        <v>1644.63</v>
      </c>
      <c r="M410" t="s">
        <v>111</v>
      </c>
    </row>
    <row r="411" spans="1:13">
      <c r="A411">
        <v>2024</v>
      </c>
      <c r="B411" t="s">
        <v>2393</v>
      </c>
      <c r="C411" t="s">
        <v>1065</v>
      </c>
      <c r="D411" s="57">
        <v>45686</v>
      </c>
      <c r="F411" t="s">
        <v>16</v>
      </c>
      <c r="G411" s="11">
        <v>5210.62</v>
      </c>
      <c r="H411" t="s">
        <v>1052</v>
      </c>
      <c r="I411" t="s">
        <v>1053</v>
      </c>
      <c r="J411" t="s">
        <v>66</v>
      </c>
    </row>
    <row r="412" spans="1:13">
      <c r="A412" t="s">
        <v>13</v>
      </c>
      <c r="B412" t="s">
        <v>2222</v>
      </c>
      <c r="C412" t="s">
        <v>1068</v>
      </c>
      <c r="D412" s="57">
        <v>45804</v>
      </c>
      <c r="F412" t="s">
        <v>16</v>
      </c>
      <c r="G412" s="11">
        <v>74</v>
      </c>
      <c r="H412" t="s">
        <v>1069</v>
      </c>
      <c r="I412" t="s">
        <v>457</v>
      </c>
      <c r="J412" t="s">
        <v>215</v>
      </c>
    </row>
    <row r="413" spans="1:13">
      <c r="A413" t="s">
        <v>13</v>
      </c>
      <c r="B413" t="s">
        <v>2223</v>
      </c>
      <c r="C413" t="s">
        <v>1071</v>
      </c>
      <c r="D413" s="57">
        <v>45815</v>
      </c>
      <c r="E413" s="57">
        <v>45817</v>
      </c>
      <c r="F413" t="s">
        <v>16</v>
      </c>
      <c r="G413" s="11">
        <v>638.14</v>
      </c>
      <c r="H413" t="s">
        <v>1072</v>
      </c>
      <c r="I413" t="s">
        <v>889</v>
      </c>
      <c r="J413" t="s">
        <v>215</v>
      </c>
    </row>
    <row r="414" spans="1:13">
      <c r="A414" t="s">
        <v>13</v>
      </c>
      <c r="B414" t="s">
        <v>2223</v>
      </c>
      <c r="C414" t="s">
        <v>1073</v>
      </c>
      <c r="D414" s="57">
        <v>45840</v>
      </c>
      <c r="F414" t="s">
        <v>16</v>
      </c>
      <c r="G414" s="11">
        <v>809.7</v>
      </c>
      <c r="H414" t="s">
        <v>1074</v>
      </c>
      <c r="I414" t="s">
        <v>885</v>
      </c>
      <c r="J414" t="s">
        <v>1001</v>
      </c>
    </row>
    <row r="415" spans="1:13">
      <c r="A415" t="s">
        <v>13</v>
      </c>
      <c r="B415" t="s">
        <v>2223</v>
      </c>
      <c r="C415" t="s">
        <v>1075</v>
      </c>
      <c r="D415" s="57">
        <v>45854</v>
      </c>
      <c r="F415" t="s">
        <v>16</v>
      </c>
      <c r="G415" s="11">
        <v>1216.9000000000001</v>
      </c>
      <c r="H415" t="s">
        <v>1076</v>
      </c>
      <c r="I415" t="s">
        <v>885</v>
      </c>
      <c r="J415" t="s">
        <v>886</v>
      </c>
    </row>
    <row r="416" spans="1:13">
      <c r="A416" t="s">
        <v>13</v>
      </c>
      <c r="B416" t="s">
        <v>2223</v>
      </c>
      <c r="C416" t="s">
        <v>1077</v>
      </c>
      <c r="D416" s="57">
        <v>45868</v>
      </c>
      <c r="F416" t="s">
        <v>16</v>
      </c>
      <c r="G416" s="11">
        <v>119.88</v>
      </c>
      <c r="H416" t="s">
        <v>1078</v>
      </c>
      <c r="I416" t="s">
        <v>218</v>
      </c>
      <c r="J416" t="s">
        <v>1001</v>
      </c>
      <c r="K416">
        <v>45853</v>
      </c>
      <c r="L416">
        <v>150.01</v>
      </c>
    </row>
    <row r="417" spans="1:13">
      <c r="A417" t="s">
        <v>13</v>
      </c>
      <c r="B417" t="s">
        <v>2223</v>
      </c>
      <c r="C417" t="s">
        <v>1079</v>
      </c>
      <c r="D417" s="57">
        <v>45880</v>
      </c>
      <c r="F417" t="s">
        <v>16</v>
      </c>
      <c r="G417" s="11">
        <v>157.35</v>
      </c>
      <c r="H417" t="s">
        <v>1080</v>
      </c>
      <c r="I417" t="s">
        <v>349</v>
      </c>
      <c r="J417" t="s">
        <v>1001</v>
      </c>
    </row>
    <row r="418" spans="1:13">
      <c r="A418" t="s">
        <v>13</v>
      </c>
      <c r="B418" t="s">
        <v>2223</v>
      </c>
      <c r="C418" t="s">
        <v>1081</v>
      </c>
      <c r="D418" s="57">
        <v>45966</v>
      </c>
      <c r="E418" s="57">
        <v>45966</v>
      </c>
      <c r="F418" t="s">
        <v>49</v>
      </c>
      <c r="G418" s="11">
        <v>65.95</v>
      </c>
      <c r="I418" t="s">
        <v>373</v>
      </c>
      <c r="J418" t="s">
        <v>1001</v>
      </c>
    </row>
    <row r="419" spans="1:13">
      <c r="A419" t="s">
        <v>13</v>
      </c>
      <c r="B419" t="s">
        <v>2223</v>
      </c>
      <c r="C419" t="s">
        <v>1082</v>
      </c>
      <c r="D419" s="57">
        <v>45966</v>
      </c>
      <c r="E419" s="57">
        <v>45966</v>
      </c>
      <c r="F419" t="s">
        <v>49</v>
      </c>
      <c r="G419" s="11">
        <v>91</v>
      </c>
      <c r="I419" t="s">
        <v>373</v>
      </c>
      <c r="J419" t="s">
        <v>1001</v>
      </c>
    </row>
    <row r="420" spans="1:13">
      <c r="A420" t="s">
        <v>13</v>
      </c>
      <c r="B420" t="s">
        <v>2223</v>
      </c>
      <c r="C420" t="s">
        <v>1083</v>
      </c>
      <c r="D420" s="57">
        <v>45982</v>
      </c>
      <c r="E420" s="57">
        <v>45982</v>
      </c>
      <c r="F420" t="s">
        <v>49</v>
      </c>
      <c r="G420" s="11">
        <v>121.53</v>
      </c>
      <c r="I420" t="s">
        <v>373</v>
      </c>
      <c r="J420" t="s">
        <v>1084</v>
      </c>
      <c r="K420">
        <v>45982</v>
      </c>
      <c r="L420">
        <v>121.53</v>
      </c>
      <c r="M420" t="s">
        <v>1085</v>
      </c>
    </row>
    <row r="421" spans="1:13">
      <c r="A421" t="s">
        <v>13</v>
      </c>
      <c r="B421" t="s">
        <v>2223</v>
      </c>
      <c r="C421" t="s">
        <v>1086</v>
      </c>
      <c r="D421" s="57">
        <v>45985</v>
      </c>
      <c r="E421" s="57">
        <v>45985</v>
      </c>
      <c r="F421" t="s">
        <v>49</v>
      </c>
      <c r="G421" s="11">
        <v>355.82</v>
      </c>
      <c r="I421" t="s">
        <v>373</v>
      </c>
      <c r="J421" t="s">
        <v>1084</v>
      </c>
      <c r="K421">
        <v>45985</v>
      </c>
      <c r="L421">
        <v>355.82</v>
      </c>
      <c r="M421" t="s">
        <v>1085</v>
      </c>
    </row>
    <row r="422" spans="1:13">
      <c r="B422" t="s">
        <v>2226</v>
      </c>
      <c r="C422" t="s">
        <v>1091</v>
      </c>
      <c r="D422" s="57">
        <v>45672</v>
      </c>
      <c r="E422" s="57">
        <v>45732</v>
      </c>
      <c r="F422" t="s">
        <v>16</v>
      </c>
      <c r="G422" s="11">
        <v>150.01</v>
      </c>
      <c r="H422" t="s">
        <v>1092</v>
      </c>
      <c r="I422" t="s">
        <v>1093</v>
      </c>
      <c r="J422" t="s">
        <v>56</v>
      </c>
    </row>
    <row r="423" spans="1:13">
      <c r="A423" t="s">
        <v>13</v>
      </c>
      <c r="B423" t="s">
        <v>2226</v>
      </c>
      <c r="C423" t="s">
        <v>1094</v>
      </c>
      <c r="D423" s="57">
        <v>45974</v>
      </c>
      <c r="G423" s="11">
        <v>114.68</v>
      </c>
      <c r="I423" t="s">
        <v>46</v>
      </c>
      <c r="J423" t="s">
        <v>83</v>
      </c>
    </row>
    <row r="424" spans="1:13">
      <c r="B424" t="s">
        <v>2394</v>
      </c>
      <c r="C424" t="s">
        <v>1096</v>
      </c>
      <c r="D424" s="57">
        <v>45686</v>
      </c>
      <c r="F424" t="s">
        <v>16</v>
      </c>
      <c r="G424" s="11">
        <v>26.5</v>
      </c>
      <c r="H424" t="s">
        <v>1097</v>
      </c>
      <c r="I424" t="s">
        <v>519</v>
      </c>
      <c r="J424" t="s">
        <v>751</v>
      </c>
    </row>
    <row r="425" spans="1:13">
      <c r="B425" t="s">
        <v>2394</v>
      </c>
      <c r="C425" t="s">
        <v>1098</v>
      </c>
      <c r="D425" s="57">
        <v>45761</v>
      </c>
      <c r="F425" t="s">
        <v>16</v>
      </c>
      <c r="G425" s="11">
        <v>24.5</v>
      </c>
      <c r="H425" t="s">
        <v>1099</v>
      </c>
      <c r="I425" t="s">
        <v>457</v>
      </c>
      <c r="J425" t="s">
        <v>215</v>
      </c>
    </row>
    <row r="426" spans="1:13">
      <c r="B426" t="s">
        <v>2394</v>
      </c>
      <c r="C426" t="s">
        <v>1100</v>
      </c>
      <c r="D426" s="57">
        <v>45825</v>
      </c>
      <c r="F426" t="s">
        <v>16</v>
      </c>
      <c r="G426" s="11">
        <v>25.5</v>
      </c>
      <c r="H426" t="s">
        <v>1101</v>
      </c>
      <c r="I426" t="s">
        <v>457</v>
      </c>
      <c r="J426" t="s">
        <v>215</v>
      </c>
    </row>
    <row r="427" spans="1:13">
      <c r="A427" t="s">
        <v>13</v>
      </c>
      <c r="B427" t="s">
        <v>2229</v>
      </c>
      <c r="C427" t="s">
        <v>1103</v>
      </c>
      <c r="D427" s="57">
        <v>45688</v>
      </c>
      <c r="E427" s="57">
        <v>45748</v>
      </c>
      <c r="F427" t="s">
        <v>16</v>
      </c>
      <c r="G427" s="11">
        <v>7210.99</v>
      </c>
      <c r="H427" t="s">
        <v>1104</v>
      </c>
      <c r="I427" t="s">
        <v>1105</v>
      </c>
      <c r="J427" t="s">
        <v>56</v>
      </c>
      <c r="K427">
        <v>45730</v>
      </c>
      <c r="L427">
        <v>5000</v>
      </c>
      <c r="M427" t="s">
        <v>111</v>
      </c>
    </row>
    <row r="428" spans="1:13">
      <c r="A428" t="s">
        <v>13</v>
      </c>
      <c r="B428" t="s">
        <v>2229</v>
      </c>
      <c r="C428" t="s">
        <v>1103</v>
      </c>
      <c r="D428" s="57">
        <v>45688</v>
      </c>
      <c r="E428" s="57">
        <v>45748</v>
      </c>
      <c r="F428" t="s">
        <v>16</v>
      </c>
      <c r="G428" s="11">
        <v>7210.99</v>
      </c>
      <c r="H428" t="s">
        <v>1104</v>
      </c>
      <c r="I428" t="s">
        <v>1106</v>
      </c>
      <c r="J428" t="s">
        <v>56</v>
      </c>
      <c r="K428">
        <v>45945</v>
      </c>
      <c r="L428">
        <v>2210</v>
      </c>
      <c r="M428" t="s">
        <v>1107</v>
      </c>
    </row>
    <row r="429" spans="1:13">
      <c r="A429" t="s">
        <v>13</v>
      </c>
      <c r="B429" t="s">
        <v>2229</v>
      </c>
      <c r="C429" t="s">
        <v>1108</v>
      </c>
      <c r="D429" s="57">
        <v>45716</v>
      </c>
      <c r="F429" t="s">
        <v>49</v>
      </c>
      <c r="G429" s="11">
        <v>1837.86</v>
      </c>
      <c r="H429" t="s">
        <v>1109</v>
      </c>
      <c r="I429" t="s">
        <v>1110</v>
      </c>
      <c r="J429" t="s">
        <v>56</v>
      </c>
      <c r="K429">
        <v>45960</v>
      </c>
      <c r="L429">
        <v>2024</v>
      </c>
      <c r="M429" t="s">
        <v>1111</v>
      </c>
    </row>
    <row r="430" spans="1:13">
      <c r="A430" t="s">
        <v>13</v>
      </c>
      <c r="B430" t="s">
        <v>2229</v>
      </c>
      <c r="C430" t="s">
        <v>1112</v>
      </c>
      <c r="D430" s="57">
        <v>45747</v>
      </c>
      <c r="F430" t="s">
        <v>49</v>
      </c>
      <c r="G430" s="11">
        <v>3010.07</v>
      </c>
      <c r="H430" t="s">
        <v>1113</v>
      </c>
      <c r="I430" t="s">
        <v>436</v>
      </c>
      <c r="J430" t="s">
        <v>56</v>
      </c>
      <c r="K430">
        <v>45960</v>
      </c>
    </row>
    <row r="431" spans="1:13">
      <c r="A431" t="s">
        <v>13</v>
      </c>
      <c r="B431" t="s">
        <v>2229</v>
      </c>
      <c r="C431" t="s">
        <v>1114</v>
      </c>
      <c r="D431" s="57">
        <v>45924</v>
      </c>
      <c r="E431" s="57">
        <v>45924</v>
      </c>
      <c r="F431" t="s">
        <v>49</v>
      </c>
      <c r="G431" s="11">
        <v>865.96</v>
      </c>
      <c r="H431" t="s">
        <v>1115</v>
      </c>
      <c r="I431" t="s">
        <v>1116</v>
      </c>
      <c r="J431" t="s">
        <v>56</v>
      </c>
      <c r="L431">
        <v>186.1400000000001</v>
      </c>
    </row>
    <row r="432" spans="1:13">
      <c r="A432" t="s">
        <v>13</v>
      </c>
      <c r="B432" t="s">
        <v>2229</v>
      </c>
      <c r="C432" t="s">
        <v>1114</v>
      </c>
      <c r="D432" s="57">
        <v>45924</v>
      </c>
      <c r="E432" s="57">
        <v>45924</v>
      </c>
      <c r="G432" s="11">
        <v>679.81999999999994</v>
      </c>
      <c r="I432" t="s">
        <v>1116</v>
      </c>
    </row>
    <row r="433" spans="1:13">
      <c r="A433" t="s">
        <v>13</v>
      </c>
      <c r="B433" t="s">
        <v>2229</v>
      </c>
      <c r="C433" t="s">
        <v>1117</v>
      </c>
      <c r="D433" s="57">
        <v>45930</v>
      </c>
      <c r="E433" s="57">
        <v>45930</v>
      </c>
      <c r="F433" t="s">
        <v>49</v>
      </c>
      <c r="G433" s="11">
        <v>-3010.07</v>
      </c>
      <c r="H433" t="s">
        <v>1118</v>
      </c>
      <c r="I433" t="s">
        <v>1119</v>
      </c>
      <c r="J433" t="s">
        <v>66</v>
      </c>
    </row>
    <row r="434" spans="1:13">
      <c r="A434">
        <v>2024</v>
      </c>
      <c r="B434" t="s">
        <v>2231</v>
      </c>
      <c r="C434" t="s">
        <v>1121</v>
      </c>
      <c r="D434" s="57">
        <v>45649</v>
      </c>
      <c r="E434" s="57">
        <v>45716</v>
      </c>
      <c r="F434" t="s">
        <v>16</v>
      </c>
      <c r="G434" s="11">
        <v>1236.1199999999999</v>
      </c>
      <c r="H434" t="s">
        <v>1122</v>
      </c>
      <c r="I434" t="s">
        <v>1123</v>
      </c>
      <c r="J434" t="s">
        <v>56</v>
      </c>
      <c r="K434">
        <v>45730</v>
      </c>
      <c r="L434">
        <v>1236.1199999999999</v>
      </c>
      <c r="M434" t="s">
        <v>627</v>
      </c>
    </row>
    <row r="435" spans="1:13">
      <c r="A435" t="s">
        <v>634</v>
      </c>
      <c r="B435" t="s">
        <v>2231</v>
      </c>
      <c r="C435" t="s">
        <v>1124</v>
      </c>
      <c r="D435" s="57">
        <v>45716</v>
      </c>
      <c r="E435" s="57">
        <v>45777</v>
      </c>
      <c r="F435" t="s">
        <v>16</v>
      </c>
      <c r="G435" s="11">
        <v>563.63</v>
      </c>
      <c r="H435" t="s">
        <v>1125</v>
      </c>
      <c r="I435" t="s">
        <v>1126</v>
      </c>
      <c r="J435" t="s">
        <v>66</v>
      </c>
      <c r="K435">
        <v>45868</v>
      </c>
      <c r="L435">
        <v>563.63</v>
      </c>
      <c r="M435" t="s">
        <v>394</v>
      </c>
    </row>
    <row r="436" spans="1:13">
      <c r="A436" t="s">
        <v>634</v>
      </c>
      <c r="B436" t="s">
        <v>2231</v>
      </c>
      <c r="C436" t="s">
        <v>1127</v>
      </c>
      <c r="D436" s="57">
        <v>45747</v>
      </c>
      <c r="E436" s="57">
        <v>45807</v>
      </c>
      <c r="F436" t="s">
        <v>16</v>
      </c>
      <c r="G436" s="11">
        <v>2300.9</v>
      </c>
      <c r="H436" t="s">
        <v>1128</v>
      </c>
      <c r="I436" t="s">
        <v>1129</v>
      </c>
      <c r="J436" t="s">
        <v>56</v>
      </c>
      <c r="K436">
        <v>45868</v>
      </c>
      <c r="L436">
        <v>2300.9</v>
      </c>
      <c r="M436" t="s">
        <v>394</v>
      </c>
    </row>
    <row r="437" spans="1:13">
      <c r="A437" t="s">
        <v>634</v>
      </c>
      <c r="B437" t="s">
        <v>2231</v>
      </c>
      <c r="C437" t="s">
        <v>1130</v>
      </c>
      <c r="D437" s="57">
        <v>45859</v>
      </c>
      <c r="E437" s="57">
        <v>45930</v>
      </c>
      <c r="F437" t="s">
        <v>16</v>
      </c>
      <c r="G437" s="11">
        <v>2409.5500000000002</v>
      </c>
      <c r="H437" t="s">
        <v>1131</v>
      </c>
      <c r="I437" t="s">
        <v>1132</v>
      </c>
      <c r="J437" t="s">
        <v>56</v>
      </c>
      <c r="K437">
        <v>45950</v>
      </c>
      <c r="L437">
        <v>2409.5500000000002</v>
      </c>
      <c r="M437" t="s">
        <v>246</v>
      </c>
    </row>
    <row r="438" spans="1:13">
      <c r="A438" t="s">
        <v>13</v>
      </c>
      <c r="B438" t="s">
        <v>2395</v>
      </c>
      <c r="C438" t="s">
        <v>1134</v>
      </c>
      <c r="D438" s="57">
        <v>45965</v>
      </c>
      <c r="E438" s="57">
        <v>45965</v>
      </c>
      <c r="F438" t="s">
        <v>49</v>
      </c>
      <c r="G438" s="11">
        <v>110</v>
      </c>
      <c r="I438" t="s">
        <v>1135</v>
      </c>
      <c r="J438" t="s">
        <v>425</v>
      </c>
      <c r="K438">
        <v>45965</v>
      </c>
      <c r="L438">
        <v>110</v>
      </c>
      <c r="M438" t="s">
        <v>425</v>
      </c>
    </row>
    <row r="439" spans="1:13">
      <c r="A439" t="s">
        <v>13</v>
      </c>
      <c r="B439" t="s">
        <v>2233</v>
      </c>
      <c r="C439" t="s">
        <v>1137</v>
      </c>
      <c r="D439" s="57">
        <v>45815</v>
      </c>
      <c r="E439" s="57">
        <v>45815</v>
      </c>
      <c r="F439" t="s">
        <v>16</v>
      </c>
      <c r="G439" s="11">
        <v>48.5</v>
      </c>
      <c r="H439" t="s">
        <v>1138</v>
      </c>
      <c r="I439" t="s">
        <v>42</v>
      </c>
      <c r="J439" t="s">
        <v>56</v>
      </c>
      <c r="K439">
        <v>45733</v>
      </c>
    </row>
    <row r="440" spans="1:13">
      <c r="A440" t="s">
        <v>13</v>
      </c>
      <c r="B440" t="s">
        <v>2233</v>
      </c>
      <c r="C440" t="s">
        <v>1139</v>
      </c>
      <c r="D440" s="57">
        <v>45988</v>
      </c>
      <c r="E440" s="57">
        <v>45988</v>
      </c>
      <c r="F440" t="s">
        <v>16</v>
      </c>
      <c r="G440" s="11">
        <v>59</v>
      </c>
      <c r="I440" t="s">
        <v>1140</v>
      </c>
      <c r="J440" t="s">
        <v>1141</v>
      </c>
      <c r="K440">
        <v>45988</v>
      </c>
      <c r="L440">
        <v>59</v>
      </c>
      <c r="M440" t="s">
        <v>1085</v>
      </c>
    </row>
    <row r="441" spans="1:13">
      <c r="A441" t="s">
        <v>13</v>
      </c>
      <c r="B441" t="s">
        <v>2235</v>
      </c>
      <c r="C441" t="s">
        <v>1143</v>
      </c>
      <c r="D441" s="57">
        <v>45952</v>
      </c>
      <c r="E441" s="57">
        <v>45952</v>
      </c>
      <c r="F441" t="s">
        <v>16</v>
      </c>
      <c r="G441" s="11">
        <v>2500</v>
      </c>
      <c r="I441" t="s">
        <v>1144</v>
      </c>
      <c r="J441" t="s">
        <v>354</v>
      </c>
      <c r="K441">
        <v>45951</v>
      </c>
      <c r="L441">
        <v>2500</v>
      </c>
      <c r="M441" t="s">
        <v>394</v>
      </c>
    </row>
    <row r="442" spans="1:13">
      <c r="A442" t="s">
        <v>634</v>
      </c>
      <c r="B442" t="s">
        <v>2396</v>
      </c>
      <c r="C442" t="s">
        <v>1146</v>
      </c>
      <c r="D442" s="57">
        <v>45930</v>
      </c>
      <c r="E442" s="57">
        <v>45991</v>
      </c>
      <c r="F442" t="s">
        <v>16</v>
      </c>
      <c r="G442" s="11">
        <v>187.31</v>
      </c>
      <c r="H442" t="s">
        <v>1147</v>
      </c>
      <c r="I442" t="s">
        <v>1148</v>
      </c>
      <c r="J442" t="s">
        <v>110</v>
      </c>
      <c r="K442">
        <v>45988</v>
      </c>
      <c r="L442">
        <v>187.31</v>
      </c>
      <c r="M442" t="s">
        <v>394</v>
      </c>
    </row>
    <row r="443" spans="1:13">
      <c r="B443" t="s">
        <v>2237</v>
      </c>
      <c r="C443" t="s">
        <v>338</v>
      </c>
      <c r="D443" s="57">
        <v>45670</v>
      </c>
      <c r="E443" s="57">
        <v>45747</v>
      </c>
      <c r="F443" t="s">
        <v>16</v>
      </c>
      <c r="G443" s="11">
        <v>3770.8</v>
      </c>
      <c r="H443" t="s">
        <v>1150</v>
      </c>
      <c r="I443" t="s">
        <v>312</v>
      </c>
      <c r="J443" t="s">
        <v>56</v>
      </c>
      <c r="K443">
        <v>45815</v>
      </c>
      <c r="L443" t="s">
        <v>111</v>
      </c>
    </row>
    <row r="444" spans="1:13">
      <c r="B444" t="s">
        <v>2237</v>
      </c>
      <c r="C444" t="s">
        <v>719</v>
      </c>
      <c r="D444" s="57">
        <v>45705</v>
      </c>
      <c r="E444" s="57">
        <v>45765</v>
      </c>
      <c r="F444" t="s">
        <v>16</v>
      </c>
      <c r="G444" s="11">
        <v>1734</v>
      </c>
      <c r="H444" t="s">
        <v>1151</v>
      </c>
      <c r="I444" t="s">
        <v>312</v>
      </c>
      <c r="J444" t="s">
        <v>56</v>
      </c>
    </row>
    <row r="445" spans="1:13">
      <c r="B445" t="s">
        <v>2238</v>
      </c>
      <c r="C445" t="s">
        <v>1153</v>
      </c>
      <c r="D445" s="57">
        <v>45841</v>
      </c>
      <c r="F445" t="s">
        <v>16</v>
      </c>
      <c r="G445" s="11">
        <v>204.48</v>
      </c>
      <c r="H445" t="s">
        <v>1154</v>
      </c>
      <c r="I445" t="s">
        <v>1155</v>
      </c>
      <c r="J445" t="s">
        <v>1001</v>
      </c>
    </row>
    <row r="446" spans="1:13">
      <c r="B446" t="s">
        <v>2239</v>
      </c>
      <c r="C446" t="s">
        <v>1157</v>
      </c>
      <c r="D446" s="57">
        <v>45847</v>
      </c>
      <c r="E446" s="57">
        <v>45847</v>
      </c>
      <c r="F446" t="s">
        <v>16</v>
      </c>
      <c r="G446" s="11">
        <v>39.99</v>
      </c>
      <c r="H446" t="s">
        <v>1158</v>
      </c>
      <c r="I446" t="s">
        <v>1001</v>
      </c>
      <c r="J446" t="s">
        <v>350</v>
      </c>
    </row>
    <row r="447" spans="1:13">
      <c r="B447" t="s">
        <v>2239</v>
      </c>
      <c r="C447" t="s">
        <v>1159</v>
      </c>
      <c r="D447" s="57">
        <v>45847</v>
      </c>
      <c r="E447" s="57">
        <v>45847</v>
      </c>
      <c r="F447" t="s">
        <v>16</v>
      </c>
      <c r="G447" s="11">
        <v>304.98</v>
      </c>
      <c r="H447" t="s">
        <v>1160</v>
      </c>
      <c r="I447" t="s">
        <v>1001</v>
      </c>
      <c r="J447" t="s">
        <v>215</v>
      </c>
    </row>
    <row r="448" spans="1:13">
      <c r="B448" t="s">
        <v>2240</v>
      </c>
      <c r="C448" t="s">
        <v>1162</v>
      </c>
      <c r="D448" s="57">
        <v>45761</v>
      </c>
      <c r="F448" t="s">
        <v>16</v>
      </c>
      <c r="G448" s="11">
        <v>52</v>
      </c>
      <c r="H448" t="s">
        <v>1163</v>
      </c>
      <c r="I448" t="s">
        <v>42</v>
      </c>
      <c r="J448" t="s">
        <v>794</v>
      </c>
    </row>
    <row r="449" spans="1:13">
      <c r="B449" t="s">
        <v>2240</v>
      </c>
      <c r="C449" t="s">
        <v>1164</v>
      </c>
      <c r="D449" s="57">
        <v>45789</v>
      </c>
      <c r="F449" t="s">
        <v>16</v>
      </c>
      <c r="G449" s="11">
        <v>26</v>
      </c>
      <c r="H449" t="s">
        <v>1165</v>
      </c>
      <c r="I449" t="s">
        <v>457</v>
      </c>
      <c r="J449" t="s">
        <v>794</v>
      </c>
    </row>
    <row r="450" spans="1:13">
      <c r="B450" t="s">
        <v>2241</v>
      </c>
      <c r="C450" t="s">
        <v>1167</v>
      </c>
      <c r="D450" s="57">
        <v>45673</v>
      </c>
      <c r="E450" s="57">
        <v>45688</v>
      </c>
      <c r="F450" t="s">
        <v>16</v>
      </c>
      <c r="G450" s="11">
        <v>1176.4100000000001</v>
      </c>
      <c r="H450" t="s">
        <v>1168</v>
      </c>
      <c r="I450" t="s">
        <v>1093</v>
      </c>
      <c r="J450" t="s">
        <v>150</v>
      </c>
    </row>
    <row r="451" spans="1:13">
      <c r="B451" t="s">
        <v>2241</v>
      </c>
      <c r="C451" t="s">
        <v>1169</v>
      </c>
      <c r="D451" s="57">
        <v>45705</v>
      </c>
      <c r="E451" s="57">
        <v>45750</v>
      </c>
      <c r="F451" t="s">
        <v>16</v>
      </c>
      <c r="G451" s="11">
        <v>1270</v>
      </c>
      <c r="H451" t="s">
        <v>1170</v>
      </c>
      <c r="I451" t="s">
        <v>1093</v>
      </c>
      <c r="J451" t="s">
        <v>150</v>
      </c>
      <c r="K451">
        <v>45758</v>
      </c>
      <c r="L451">
        <v>1270</v>
      </c>
    </row>
    <row r="452" spans="1:13">
      <c r="B452" t="s">
        <v>2241</v>
      </c>
      <c r="C452" t="s">
        <v>2242</v>
      </c>
      <c r="D452" s="57">
        <v>45730</v>
      </c>
      <c r="E452" s="57">
        <v>45747</v>
      </c>
      <c r="G452" s="11">
        <v>1163.22</v>
      </c>
      <c r="H452" t="s">
        <v>1172</v>
      </c>
      <c r="I452" t="s">
        <v>279</v>
      </c>
      <c r="J452" t="s">
        <v>150</v>
      </c>
      <c r="M452" t="s">
        <v>1173</v>
      </c>
    </row>
    <row r="453" spans="1:13">
      <c r="B453" t="s">
        <v>2241</v>
      </c>
      <c r="C453" t="s">
        <v>2243</v>
      </c>
      <c r="D453" s="57">
        <v>45762</v>
      </c>
      <c r="E453" s="57">
        <v>45777</v>
      </c>
      <c r="F453" t="s">
        <v>16</v>
      </c>
      <c r="G453" s="11">
        <v>705.49</v>
      </c>
      <c r="H453" t="s">
        <v>1175</v>
      </c>
      <c r="I453" t="s">
        <v>279</v>
      </c>
      <c r="J453" t="s">
        <v>150</v>
      </c>
      <c r="K453">
        <v>45777</v>
      </c>
    </row>
    <row r="454" spans="1:13">
      <c r="B454" t="s">
        <v>2244</v>
      </c>
      <c r="C454" t="s">
        <v>1177</v>
      </c>
      <c r="D454" s="57">
        <v>45724</v>
      </c>
      <c r="F454" t="s">
        <v>16</v>
      </c>
      <c r="G454" s="11">
        <v>182.27</v>
      </c>
      <c r="H454" t="s">
        <v>1178</v>
      </c>
      <c r="I454" t="s">
        <v>349</v>
      </c>
      <c r="J454" t="s">
        <v>751</v>
      </c>
    </row>
    <row r="455" spans="1:13">
      <c r="B455" t="s">
        <v>2244</v>
      </c>
      <c r="C455" t="s">
        <v>1179</v>
      </c>
      <c r="D455" s="57">
        <v>45822</v>
      </c>
      <c r="F455" t="s">
        <v>16</v>
      </c>
      <c r="G455" s="11">
        <v>233.5</v>
      </c>
      <c r="H455" t="s">
        <v>1180</v>
      </c>
      <c r="I455" t="s">
        <v>349</v>
      </c>
    </row>
    <row r="456" spans="1:13">
      <c r="B456" t="s">
        <v>2244</v>
      </c>
      <c r="C456" t="s">
        <v>1181</v>
      </c>
      <c r="D456" s="57">
        <v>45860</v>
      </c>
      <c r="F456" t="s">
        <v>16</v>
      </c>
      <c r="G456" s="11">
        <v>16.64</v>
      </c>
      <c r="H456" t="s">
        <v>1182</v>
      </c>
      <c r="I456" t="s">
        <v>349</v>
      </c>
      <c r="J456" t="s">
        <v>794</v>
      </c>
    </row>
    <row r="457" spans="1:13">
      <c r="A457" t="s">
        <v>316</v>
      </c>
      <c r="B457" t="s">
        <v>2397</v>
      </c>
      <c r="C457" t="s">
        <v>1184</v>
      </c>
      <c r="D457" s="57">
        <v>45987</v>
      </c>
      <c r="E457" s="57">
        <v>46017</v>
      </c>
      <c r="F457" t="s">
        <v>16</v>
      </c>
      <c r="G457" s="11">
        <v>870</v>
      </c>
      <c r="I457" t="s">
        <v>1185</v>
      </c>
      <c r="J457" t="s">
        <v>176</v>
      </c>
      <c r="K457">
        <v>45987</v>
      </c>
      <c r="L457">
        <v>870</v>
      </c>
      <c r="M457" t="s">
        <v>71</v>
      </c>
    </row>
    <row r="458" spans="1:13">
      <c r="B458" t="s">
        <v>2246</v>
      </c>
      <c r="C458" t="s">
        <v>1187</v>
      </c>
      <c r="D458" s="57">
        <v>45257</v>
      </c>
      <c r="F458" t="s">
        <v>16</v>
      </c>
      <c r="G458" s="11">
        <v>73.5</v>
      </c>
      <c r="I458" t="s">
        <v>1188</v>
      </c>
      <c r="J458" t="s">
        <v>185</v>
      </c>
    </row>
    <row r="459" spans="1:13">
      <c r="B459" t="s">
        <v>2246</v>
      </c>
      <c r="C459" t="s">
        <v>1189</v>
      </c>
      <c r="D459" s="57">
        <v>45282</v>
      </c>
      <c r="F459" t="s">
        <v>16</v>
      </c>
      <c r="G459" s="11">
        <v>110</v>
      </c>
      <c r="I459" t="s">
        <v>1190</v>
      </c>
      <c r="J459" t="s">
        <v>185</v>
      </c>
    </row>
    <row r="460" spans="1:13">
      <c r="B460" t="s">
        <v>2246</v>
      </c>
      <c r="C460" t="s">
        <v>1191</v>
      </c>
      <c r="D460" s="57">
        <v>45412</v>
      </c>
      <c r="F460" t="s">
        <v>16</v>
      </c>
      <c r="G460" s="11">
        <v>73.599999999999994</v>
      </c>
      <c r="I460" t="s">
        <v>1192</v>
      </c>
      <c r="J460" t="s">
        <v>185</v>
      </c>
    </row>
    <row r="461" spans="1:13">
      <c r="B461" t="s">
        <v>2246</v>
      </c>
      <c r="C461" t="s">
        <v>1193</v>
      </c>
      <c r="D461" s="57">
        <v>45643</v>
      </c>
      <c r="F461" t="s">
        <v>16</v>
      </c>
      <c r="G461" s="11">
        <v>142.4</v>
      </c>
      <c r="I461" t="s">
        <v>1194</v>
      </c>
      <c r="J461" t="s">
        <v>185</v>
      </c>
    </row>
    <row r="462" spans="1:13">
      <c r="B462" t="s">
        <v>2246</v>
      </c>
      <c r="C462" t="s">
        <v>1195</v>
      </c>
      <c r="D462" s="57">
        <v>45792</v>
      </c>
      <c r="F462" t="s">
        <v>16</v>
      </c>
      <c r="G462" s="11">
        <v>165.5</v>
      </c>
      <c r="H462" t="s">
        <v>1196</v>
      </c>
      <c r="I462" t="s">
        <v>1197</v>
      </c>
      <c r="J462" t="s">
        <v>56</v>
      </c>
    </row>
    <row r="463" spans="1:13">
      <c r="B463" t="s">
        <v>2246</v>
      </c>
      <c r="C463" t="s">
        <v>1195</v>
      </c>
      <c r="D463" s="57">
        <v>45792</v>
      </c>
      <c r="E463" s="57">
        <v>45824</v>
      </c>
      <c r="F463" t="s">
        <v>16</v>
      </c>
      <c r="G463" s="11">
        <v>40.799999999999997</v>
      </c>
      <c r="H463" t="s">
        <v>1196</v>
      </c>
      <c r="I463" t="s">
        <v>1197</v>
      </c>
      <c r="J463" t="s">
        <v>1198</v>
      </c>
    </row>
    <row r="464" spans="1:13">
      <c r="B464" t="s">
        <v>2251</v>
      </c>
      <c r="C464" t="s">
        <v>1202</v>
      </c>
      <c r="D464" s="57">
        <v>45725</v>
      </c>
      <c r="F464" t="s">
        <v>16</v>
      </c>
      <c r="G464" s="11">
        <v>203.7</v>
      </c>
      <c r="H464" t="s">
        <v>1203</v>
      </c>
      <c r="I464" t="s">
        <v>42</v>
      </c>
      <c r="J464" t="s">
        <v>751</v>
      </c>
    </row>
    <row r="465" spans="1:13">
      <c r="B465" t="s">
        <v>2252</v>
      </c>
      <c r="C465" t="s">
        <v>1205</v>
      </c>
      <c r="D465" s="57">
        <v>45687</v>
      </c>
      <c r="E465" s="57">
        <v>45716</v>
      </c>
      <c r="F465" t="s">
        <v>16</v>
      </c>
      <c r="G465" s="11">
        <v>419.99</v>
      </c>
      <c r="H465" t="s">
        <v>1206</v>
      </c>
      <c r="I465" t="s">
        <v>1207</v>
      </c>
      <c r="J465" t="s">
        <v>110</v>
      </c>
    </row>
    <row r="466" spans="1:13">
      <c r="B466" t="s">
        <v>2252</v>
      </c>
      <c r="C466" t="s">
        <v>1208</v>
      </c>
      <c r="D466" s="57">
        <v>45716</v>
      </c>
      <c r="E466" s="57">
        <v>45747</v>
      </c>
      <c r="F466" t="s">
        <v>16</v>
      </c>
      <c r="G466" s="11">
        <v>98.26</v>
      </c>
      <c r="H466" t="s">
        <v>1209</v>
      </c>
      <c r="I466" t="s">
        <v>1207</v>
      </c>
      <c r="J466" t="s">
        <v>110</v>
      </c>
    </row>
    <row r="467" spans="1:13">
      <c r="B467" t="s">
        <v>2252</v>
      </c>
      <c r="C467" t="s">
        <v>1210</v>
      </c>
      <c r="D467" s="57">
        <v>45838</v>
      </c>
      <c r="E467" s="57">
        <v>45869</v>
      </c>
      <c r="F467" t="s">
        <v>16</v>
      </c>
      <c r="G467" s="11">
        <v>139.68</v>
      </c>
      <c r="H467" t="s">
        <v>1211</v>
      </c>
      <c r="I467" t="s">
        <v>1207</v>
      </c>
      <c r="J467" t="s">
        <v>110</v>
      </c>
    </row>
    <row r="468" spans="1:13">
      <c r="B468" t="s">
        <v>2254</v>
      </c>
      <c r="C468" t="s">
        <v>1215</v>
      </c>
      <c r="D468" s="57">
        <v>45736</v>
      </c>
      <c r="F468" t="s">
        <v>16</v>
      </c>
      <c r="G468" s="11">
        <v>222.4</v>
      </c>
      <c r="H468" t="s">
        <v>1216</v>
      </c>
      <c r="I468" t="s">
        <v>42</v>
      </c>
      <c r="J468" t="s">
        <v>794</v>
      </c>
    </row>
    <row r="469" spans="1:13">
      <c r="B469" t="s">
        <v>2255</v>
      </c>
      <c r="C469" t="s">
        <v>1217</v>
      </c>
      <c r="D469" s="57">
        <v>45933</v>
      </c>
      <c r="F469" t="s">
        <v>16</v>
      </c>
      <c r="G469" s="11">
        <v>149.6</v>
      </c>
      <c r="H469" t="s">
        <v>1218</v>
      </c>
      <c r="I469" t="s">
        <v>42</v>
      </c>
      <c r="J469" t="s">
        <v>215</v>
      </c>
    </row>
    <row r="470" spans="1:13">
      <c r="B470" t="s">
        <v>2256</v>
      </c>
      <c r="C470" t="s">
        <v>1220</v>
      </c>
      <c r="D470" s="57">
        <v>45730</v>
      </c>
      <c r="F470" t="s">
        <v>16</v>
      </c>
      <c r="G470" s="11">
        <v>89</v>
      </c>
      <c r="H470" t="s">
        <v>1221</v>
      </c>
      <c r="I470" t="s">
        <v>1222</v>
      </c>
      <c r="J470" t="s">
        <v>794</v>
      </c>
    </row>
    <row r="471" spans="1:13">
      <c r="B471" t="s">
        <v>2256</v>
      </c>
      <c r="C471" t="s">
        <v>1223</v>
      </c>
      <c r="D471" s="57">
        <v>45938</v>
      </c>
      <c r="F471" t="s">
        <v>16</v>
      </c>
      <c r="G471" s="11">
        <v>239</v>
      </c>
      <c r="H471" t="s">
        <v>1224</v>
      </c>
      <c r="I471" t="s">
        <v>1225</v>
      </c>
      <c r="J471" t="s">
        <v>794</v>
      </c>
    </row>
    <row r="472" spans="1:13">
      <c r="B472" t="s">
        <v>2257</v>
      </c>
      <c r="C472" t="s">
        <v>1227</v>
      </c>
      <c r="D472" s="57">
        <v>45612</v>
      </c>
      <c r="E472" s="57">
        <v>45673</v>
      </c>
      <c r="F472" t="s">
        <v>16</v>
      </c>
      <c r="G472" s="11">
        <v>4980</v>
      </c>
      <c r="H472" t="s">
        <v>1228</v>
      </c>
      <c r="I472" t="s">
        <v>1229</v>
      </c>
      <c r="J472" t="s">
        <v>66</v>
      </c>
      <c r="K472">
        <v>45729</v>
      </c>
      <c r="L472">
        <v>7247</v>
      </c>
      <c r="M472" t="s">
        <v>111</v>
      </c>
    </row>
    <row r="473" spans="1:13">
      <c r="B473" t="s">
        <v>2257</v>
      </c>
      <c r="C473" t="s">
        <v>560</v>
      </c>
      <c r="D473" s="57">
        <v>45644</v>
      </c>
      <c r="E473" s="57">
        <v>45674</v>
      </c>
      <c r="F473" t="s">
        <v>16</v>
      </c>
      <c r="G473" s="11">
        <v>2267</v>
      </c>
      <c r="H473" t="s">
        <v>1230</v>
      </c>
      <c r="I473" t="s">
        <v>1231</v>
      </c>
      <c r="J473" t="s">
        <v>56</v>
      </c>
      <c r="K473">
        <v>45729</v>
      </c>
      <c r="L473">
        <v>7247</v>
      </c>
      <c r="M473" t="s">
        <v>111</v>
      </c>
    </row>
    <row r="474" spans="1:13">
      <c r="B474" t="s">
        <v>2258</v>
      </c>
      <c r="C474" t="s">
        <v>1233</v>
      </c>
      <c r="D474" s="57">
        <v>45930</v>
      </c>
      <c r="E474" s="57">
        <v>45961</v>
      </c>
      <c r="G474" s="11">
        <v>1067.5</v>
      </c>
      <c r="H474" t="s">
        <v>1234</v>
      </c>
      <c r="J474" t="s">
        <v>56</v>
      </c>
    </row>
    <row r="475" spans="1:13">
      <c r="A475" t="s">
        <v>13</v>
      </c>
      <c r="B475" t="s">
        <v>2259</v>
      </c>
      <c r="C475" t="s">
        <v>1236</v>
      </c>
      <c r="D475" s="57">
        <v>45670</v>
      </c>
      <c r="F475" t="s">
        <v>16</v>
      </c>
      <c r="G475" s="11">
        <v>123.33</v>
      </c>
      <c r="H475" t="s">
        <v>1237</v>
      </c>
      <c r="I475" t="s">
        <v>1238</v>
      </c>
      <c r="J475" t="s">
        <v>150</v>
      </c>
      <c r="K475">
        <v>45715</v>
      </c>
    </row>
    <row r="476" spans="1:13">
      <c r="A476" t="s">
        <v>13</v>
      </c>
      <c r="B476" t="s">
        <v>2259</v>
      </c>
      <c r="C476" t="s">
        <v>1239</v>
      </c>
      <c r="D476" s="57">
        <v>45695</v>
      </c>
      <c r="F476" t="s">
        <v>16</v>
      </c>
      <c r="G476" s="11">
        <v>127.55</v>
      </c>
      <c r="H476" t="s">
        <v>1240</v>
      </c>
      <c r="I476" t="s">
        <v>1238</v>
      </c>
      <c r="J476" t="s">
        <v>150</v>
      </c>
      <c r="K476">
        <v>45715</v>
      </c>
    </row>
    <row r="477" spans="1:13">
      <c r="A477" t="s">
        <v>13</v>
      </c>
      <c r="B477" t="s">
        <v>2259</v>
      </c>
      <c r="C477" t="s">
        <v>1241</v>
      </c>
      <c r="D477" s="57">
        <v>45727</v>
      </c>
      <c r="F477" t="s">
        <v>16</v>
      </c>
      <c r="G477" s="11">
        <v>64.180000000000007</v>
      </c>
      <c r="H477" t="s">
        <v>1242</v>
      </c>
      <c r="I477" t="s">
        <v>1243</v>
      </c>
      <c r="J477" t="s">
        <v>150</v>
      </c>
      <c r="K477">
        <v>45776</v>
      </c>
    </row>
    <row r="478" spans="1:13">
      <c r="A478" t="s">
        <v>13</v>
      </c>
      <c r="B478" t="s">
        <v>2259</v>
      </c>
      <c r="C478" t="s">
        <v>1244</v>
      </c>
      <c r="D478" s="57">
        <v>45756</v>
      </c>
      <c r="F478" t="s">
        <v>16</v>
      </c>
      <c r="G478" s="11">
        <v>62.38</v>
      </c>
      <c r="H478" t="s">
        <v>1245</v>
      </c>
      <c r="I478" t="s">
        <v>1243</v>
      </c>
      <c r="J478" t="s">
        <v>150</v>
      </c>
    </row>
    <row r="479" spans="1:13">
      <c r="A479" t="s">
        <v>13</v>
      </c>
      <c r="B479" t="s">
        <v>2259</v>
      </c>
      <c r="C479" t="s">
        <v>1246</v>
      </c>
      <c r="D479" s="57">
        <v>45789</v>
      </c>
      <c r="E479" s="57">
        <v>45811</v>
      </c>
      <c r="F479" t="s">
        <v>16</v>
      </c>
      <c r="G479" s="11">
        <v>285.48</v>
      </c>
      <c r="H479" t="s">
        <v>1247</v>
      </c>
      <c r="I479" t="s">
        <v>1238</v>
      </c>
      <c r="J479" t="s">
        <v>150</v>
      </c>
    </row>
    <row r="480" spans="1:13">
      <c r="A480" t="s">
        <v>13</v>
      </c>
      <c r="B480" t="s">
        <v>2259</v>
      </c>
      <c r="C480" t="s">
        <v>1248</v>
      </c>
      <c r="D480" s="57">
        <v>45789</v>
      </c>
      <c r="E480" s="57">
        <v>45811</v>
      </c>
      <c r="F480" t="s">
        <v>16</v>
      </c>
      <c r="G480" s="11">
        <v>60.46</v>
      </c>
      <c r="H480" t="s">
        <v>1249</v>
      </c>
      <c r="I480" t="s">
        <v>1250</v>
      </c>
      <c r="J480" t="s">
        <v>150</v>
      </c>
      <c r="K480" t="s">
        <v>1251</v>
      </c>
    </row>
    <row r="481" spans="1:13">
      <c r="A481" t="s">
        <v>13</v>
      </c>
      <c r="B481" t="s">
        <v>2259</v>
      </c>
      <c r="C481" t="s">
        <v>1252</v>
      </c>
      <c r="D481" s="57">
        <v>45817</v>
      </c>
      <c r="F481" t="s">
        <v>16</v>
      </c>
      <c r="G481" s="11">
        <v>141.63999999999999</v>
      </c>
      <c r="H481" t="s">
        <v>1253</v>
      </c>
      <c r="I481" t="s">
        <v>1238</v>
      </c>
      <c r="J481" t="s">
        <v>150</v>
      </c>
      <c r="K481" t="s">
        <v>1251</v>
      </c>
    </row>
    <row r="482" spans="1:13">
      <c r="A482" t="s">
        <v>13</v>
      </c>
      <c r="B482" t="s">
        <v>2259</v>
      </c>
      <c r="C482" t="s">
        <v>1254</v>
      </c>
      <c r="D482" s="57">
        <v>45817</v>
      </c>
      <c r="F482" t="s">
        <v>16</v>
      </c>
      <c r="G482" s="11">
        <v>60.74</v>
      </c>
      <c r="H482" t="s">
        <v>1255</v>
      </c>
      <c r="I482" t="s">
        <v>1250</v>
      </c>
      <c r="J482" t="s">
        <v>150</v>
      </c>
    </row>
    <row r="483" spans="1:13">
      <c r="A483" t="s">
        <v>13</v>
      </c>
      <c r="B483" t="s">
        <v>2259</v>
      </c>
      <c r="C483" t="s">
        <v>1256</v>
      </c>
      <c r="D483" s="57">
        <v>45848</v>
      </c>
      <c r="F483" t="s">
        <v>16</v>
      </c>
      <c r="G483" s="11">
        <v>195.83</v>
      </c>
      <c r="H483" t="s">
        <v>1257</v>
      </c>
      <c r="I483" t="s">
        <v>1238</v>
      </c>
      <c r="J483" t="s">
        <v>150</v>
      </c>
    </row>
    <row r="484" spans="1:13">
      <c r="A484" t="s">
        <v>13</v>
      </c>
      <c r="B484" t="s">
        <v>2259</v>
      </c>
      <c r="C484" t="s">
        <v>1258</v>
      </c>
      <c r="D484" s="57">
        <v>45848</v>
      </c>
      <c r="F484" t="s">
        <v>16</v>
      </c>
      <c r="G484" s="11">
        <v>61.67</v>
      </c>
      <c r="H484" t="s">
        <v>1259</v>
      </c>
      <c r="I484" t="s">
        <v>1250</v>
      </c>
      <c r="J484" t="s">
        <v>150</v>
      </c>
    </row>
    <row r="485" spans="1:13">
      <c r="A485" t="s">
        <v>13</v>
      </c>
      <c r="B485" t="s">
        <v>2259</v>
      </c>
      <c r="C485" t="s">
        <v>1260</v>
      </c>
      <c r="D485" s="57">
        <v>45876</v>
      </c>
      <c r="F485" t="s">
        <v>16</v>
      </c>
      <c r="G485" s="11">
        <v>204.87</v>
      </c>
      <c r="H485" t="s">
        <v>1261</v>
      </c>
      <c r="I485" t="s">
        <v>1238</v>
      </c>
      <c r="J485" t="s">
        <v>150</v>
      </c>
    </row>
    <row r="486" spans="1:13">
      <c r="A486" t="s">
        <v>13</v>
      </c>
      <c r="B486" t="s">
        <v>2259</v>
      </c>
      <c r="C486" t="s">
        <v>1262</v>
      </c>
      <c r="D486" s="57">
        <v>45876</v>
      </c>
      <c r="F486" t="s">
        <v>16</v>
      </c>
      <c r="G486" s="11">
        <v>62.13</v>
      </c>
      <c r="H486" t="s">
        <v>1263</v>
      </c>
      <c r="I486" t="s">
        <v>1243</v>
      </c>
      <c r="J486" t="s">
        <v>150</v>
      </c>
    </row>
    <row r="487" spans="1:13">
      <c r="A487" t="s">
        <v>13</v>
      </c>
      <c r="B487" t="s">
        <v>2259</v>
      </c>
      <c r="C487" t="s">
        <v>1264</v>
      </c>
      <c r="D487" s="57">
        <v>45909</v>
      </c>
      <c r="F487" t="s">
        <v>16</v>
      </c>
      <c r="G487" s="11">
        <v>153.02000000000001</v>
      </c>
      <c r="H487" t="s">
        <v>1265</v>
      </c>
      <c r="I487" t="s">
        <v>1238</v>
      </c>
      <c r="J487" t="s">
        <v>150</v>
      </c>
    </row>
    <row r="488" spans="1:13">
      <c r="A488" t="s">
        <v>13</v>
      </c>
      <c r="B488" t="s">
        <v>2259</v>
      </c>
      <c r="C488" t="s">
        <v>1266</v>
      </c>
      <c r="D488" s="57">
        <v>45909</v>
      </c>
      <c r="F488" t="s">
        <v>16</v>
      </c>
      <c r="G488" s="11">
        <v>67.14</v>
      </c>
      <c r="H488" t="s">
        <v>1267</v>
      </c>
      <c r="I488" t="s">
        <v>1250</v>
      </c>
      <c r="J488" t="s">
        <v>150</v>
      </c>
    </row>
    <row r="489" spans="1:13">
      <c r="A489" t="s">
        <v>13</v>
      </c>
      <c r="B489" t="s">
        <v>2259</v>
      </c>
      <c r="C489" t="s">
        <v>1268</v>
      </c>
      <c r="D489" s="57">
        <v>45938</v>
      </c>
      <c r="E489" s="57">
        <v>45958</v>
      </c>
      <c r="F489" t="s">
        <v>16</v>
      </c>
      <c r="G489" s="11">
        <v>149.27000000000001</v>
      </c>
      <c r="H489" t="s">
        <v>1269</v>
      </c>
      <c r="I489" t="s">
        <v>1238</v>
      </c>
      <c r="J489" t="s">
        <v>150</v>
      </c>
      <c r="K489">
        <v>45958</v>
      </c>
      <c r="L489">
        <v>210.49</v>
      </c>
      <c r="M489" t="s">
        <v>71</v>
      </c>
    </row>
    <row r="490" spans="1:13">
      <c r="A490" t="s">
        <v>13</v>
      </c>
      <c r="B490" t="s">
        <v>2259</v>
      </c>
      <c r="C490" t="s">
        <v>1270</v>
      </c>
      <c r="D490" s="57">
        <v>45938</v>
      </c>
      <c r="E490" s="57">
        <v>45958</v>
      </c>
      <c r="F490" t="s">
        <v>16</v>
      </c>
      <c r="G490" s="11">
        <v>61.22</v>
      </c>
      <c r="H490" t="s">
        <v>1271</v>
      </c>
      <c r="I490" t="s">
        <v>1250</v>
      </c>
      <c r="J490" t="s">
        <v>150</v>
      </c>
      <c r="K490">
        <v>45958</v>
      </c>
      <c r="L490">
        <v>210.49</v>
      </c>
      <c r="M490" t="s">
        <v>71</v>
      </c>
    </row>
    <row r="491" spans="1:13">
      <c r="A491" t="s">
        <v>13</v>
      </c>
      <c r="B491" t="s">
        <v>2259</v>
      </c>
      <c r="C491" t="s">
        <v>1272</v>
      </c>
      <c r="D491" s="57">
        <v>45968</v>
      </c>
      <c r="E491" s="57">
        <v>45989</v>
      </c>
      <c r="G491" s="11">
        <v>62.11</v>
      </c>
      <c r="I491" t="s">
        <v>1273</v>
      </c>
      <c r="J491" t="s">
        <v>150</v>
      </c>
    </row>
    <row r="492" spans="1:13">
      <c r="A492" t="s">
        <v>13</v>
      </c>
      <c r="B492" t="s">
        <v>2259</v>
      </c>
      <c r="C492" t="s">
        <v>1274</v>
      </c>
      <c r="D492" s="57">
        <v>45968</v>
      </c>
      <c r="E492" s="57">
        <v>45989</v>
      </c>
      <c r="G492" s="11">
        <v>315.44</v>
      </c>
      <c r="I492" t="s">
        <v>1275</v>
      </c>
      <c r="J492" t="s">
        <v>1276</v>
      </c>
    </row>
    <row r="493" spans="1:13">
      <c r="B493" t="s">
        <v>2261</v>
      </c>
      <c r="C493" t="s">
        <v>495</v>
      </c>
      <c r="D493" s="57">
        <v>45702</v>
      </c>
      <c r="F493" t="s">
        <v>16</v>
      </c>
      <c r="G493" s="11">
        <v>106.32</v>
      </c>
      <c r="H493" t="s">
        <v>1282</v>
      </c>
    </row>
    <row r="494" spans="1:13">
      <c r="B494" t="s">
        <v>2262</v>
      </c>
      <c r="C494" t="s">
        <v>590</v>
      </c>
      <c r="D494" s="57">
        <v>45762</v>
      </c>
      <c r="F494" t="s">
        <v>16</v>
      </c>
      <c r="G494" s="11">
        <v>9</v>
      </c>
      <c r="H494" t="s">
        <v>1284</v>
      </c>
      <c r="I494" t="s">
        <v>457</v>
      </c>
      <c r="J494" t="s">
        <v>215</v>
      </c>
    </row>
    <row r="495" spans="1:13">
      <c r="B495" t="s">
        <v>2262</v>
      </c>
      <c r="C495" t="s">
        <v>1285</v>
      </c>
      <c r="D495" s="57">
        <v>45826</v>
      </c>
      <c r="F495" t="s">
        <v>16</v>
      </c>
      <c r="G495" s="11">
        <v>17</v>
      </c>
      <c r="H495" t="s">
        <v>1286</v>
      </c>
      <c r="I495" t="s">
        <v>457</v>
      </c>
      <c r="J495" t="s">
        <v>215</v>
      </c>
    </row>
    <row r="496" spans="1:13">
      <c r="B496" t="s">
        <v>2263</v>
      </c>
      <c r="C496" t="s">
        <v>1334</v>
      </c>
      <c r="D496" s="57">
        <v>45933</v>
      </c>
      <c r="E496" s="57">
        <v>45991</v>
      </c>
      <c r="G496" s="11">
        <v>112.07</v>
      </c>
      <c r="H496" t="s">
        <v>1335</v>
      </c>
      <c r="I496" t="s">
        <v>87</v>
      </c>
      <c r="J496" t="s">
        <v>56</v>
      </c>
    </row>
    <row r="497" spans="2:13">
      <c r="B497" t="s">
        <v>2265</v>
      </c>
      <c r="C497" t="s">
        <v>1288</v>
      </c>
      <c r="D497" s="57">
        <v>45912</v>
      </c>
      <c r="F497" t="s">
        <v>16</v>
      </c>
      <c r="G497" s="11">
        <v>107</v>
      </c>
      <c r="H497" t="s">
        <v>1289</v>
      </c>
      <c r="J497" t="s">
        <v>215</v>
      </c>
    </row>
    <row r="498" spans="2:13">
      <c r="B498" t="s">
        <v>2266</v>
      </c>
      <c r="C498" t="s">
        <v>1291</v>
      </c>
      <c r="D498" s="57">
        <v>45687</v>
      </c>
      <c r="E498" s="57">
        <v>45687</v>
      </c>
      <c r="F498" t="s">
        <v>16</v>
      </c>
      <c r="G498" s="11">
        <v>3.3</v>
      </c>
      <c r="H498" t="s">
        <v>1292</v>
      </c>
      <c r="I498" t="s">
        <v>565</v>
      </c>
      <c r="J498" t="s">
        <v>150</v>
      </c>
      <c r="M498" t="s">
        <v>1293</v>
      </c>
    </row>
    <row r="499" spans="2:13">
      <c r="B499" t="s">
        <v>2266</v>
      </c>
      <c r="C499" t="s">
        <v>1294</v>
      </c>
      <c r="D499" s="57">
        <v>45687</v>
      </c>
      <c r="E499" s="57">
        <v>45687</v>
      </c>
      <c r="F499" t="s">
        <v>16</v>
      </c>
      <c r="G499" s="11">
        <v>2.2000000000000002</v>
      </c>
      <c r="H499" t="s">
        <v>1295</v>
      </c>
      <c r="I499" t="s">
        <v>565</v>
      </c>
      <c r="J499" t="s">
        <v>150</v>
      </c>
      <c r="M499" t="s">
        <v>1293</v>
      </c>
    </row>
    <row r="500" spans="2:13">
      <c r="B500" t="s">
        <v>2266</v>
      </c>
      <c r="C500" t="s">
        <v>1296</v>
      </c>
      <c r="D500" s="57">
        <v>45687</v>
      </c>
      <c r="E500" s="57">
        <v>45687</v>
      </c>
      <c r="F500" t="s">
        <v>16</v>
      </c>
      <c r="G500" s="11">
        <v>10.5</v>
      </c>
      <c r="H500" t="s">
        <v>1297</v>
      </c>
      <c r="I500" t="s">
        <v>565</v>
      </c>
      <c r="J500" t="s">
        <v>150</v>
      </c>
      <c r="M500" t="s">
        <v>1293</v>
      </c>
    </row>
    <row r="501" spans="2:13">
      <c r="B501" t="s">
        <v>2266</v>
      </c>
      <c r="C501" t="s">
        <v>1298</v>
      </c>
      <c r="D501" s="57">
        <v>45687</v>
      </c>
      <c r="E501" s="57">
        <v>45687</v>
      </c>
      <c r="F501" t="s">
        <v>16</v>
      </c>
      <c r="G501" s="11">
        <v>17.600000000000001</v>
      </c>
      <c r="H501" t="s">
        <v>1299</v>
      </c>
      <c r="I501" t="s">
        <v>565</v>
      </c>
      <c r="J501" t="s">
        <v>150</v>
      </c>
      <c r="M501" t="s">
        <v>1293</v>
      </c>
    </row>
    <row r="502" spans="2:13">
      <c r="B502" t="s">
        <v>2266</v>
      </c>
      <c r="C502" t="s">
        <v>1300</v>
      </c>
      <c r="D502" s="57">
        <v>45716</v>
      </c>
      <c r="F502" t="s">
        <v>16</v>
      </c>
      <c r="G502" s="11">
        <v>47.6</v>
      </c>
      <c r="H502" t="s">
        <v>1301</v>
      </c>
      <c r="I502" t="s">
        <v>1302</v>
      </c>
      <c r="J502" t="s">
        <v>150</v>
      </c>
      <c r="M502" t="s">
        <v>1293</v>
      </c>
    </row>
    <row r="503" spans="2:13">
      <c r="B503" t="s">
        <v>2266</v>
      </c>
      <c r="C503" t="s">
        <v>1303</v>
      </c>
      <c r="D503" s="57">
        <v>45746</v>
      </c>
      <c r="F503" t="s">
        <v>16</v>
      </c>
      <c r="G503" s="11">
        <v>6.6</v>
      </c>
      <c r="H503" t="s">
        <v>1304</v>
      </c>
      <c r="I503" t="s">
        <v>565</v>
      </c>
      <c r="J503" t="s">
        <v>150</v>
      </c>
      <c r="M503" t="s">
        <v>1293</v>
      </c>
    </row>
    <row r="504" spans="2:13">
      <c r="B504" t="s">
        <v>2266</v>
      </c>
      <c r="C504" t="s">
        <v>1305</v>
      </c>
      <c r="D504" s="57">
        <v>45746</v>
      </c>
      <c r="F504" t="s">
        <v>16</v>
      </c>
      <c r="G504" s="11">
        <v>2.2000000000000002</v>
      </c>
      <c r="H504" t="s">
        <v>1306</v>
      </c>
      <c r="I504" t="s">
        <v>1302</v>
      </c>
      <c r="J504" t="s">
        <v>154</v>
      </c>
      <c r="M504" t="s">
        <v>1293</v>
      </c>
    </row>
    <row r="505" spans="2:13">
      <c r="B505" t="s">
        <v>2266</v>
      </c>
      <c r="C505" t="s">
        <v>1307</v>
      </c>
      <c r="D505" s="57">
        <v>45746</v>
      </c>
      <c r="F505" t="s">
        <v>16</v>
      </c>
      <c r="G505" s="11">
        <v>103.2</v>
      </c>
      <c r="H505" t="s">
        <v>1308</v>
      </c>
      <c r="I505" t="s">
        <v>1309</v>
      </c>
      <c r="J505" t="s">
        <v>150</v>
      </c>
      <c r="M505" t="s">
        <v>1293</v>
      </c>
    </row>
    <row r="506" spans="2:13">
      <c r="B506" t="s">
        <v>2266</v>
      </c>
      <c r="C506" t="s">
        <v>1310</v>
      </c>
      <c r="D506" s="57">
        <v>45777</v>
      </c>
      <c r="F506" t="s">
        <v>16</v>
      </c>
      <c r="G506" s="11">
        <v>60.4</v>
      </c>
      <c r="H506" t="s">
        <v>1311</v>
      </c>
      <c r="I506" t="s">
        <v>565</v>
      </c>
      <c r="J506" t="s">
        <v>150</v>
      </c>
      <c r="K506" t="s">
        <v>1251</v>
      </c>
      <c r="M506" t="s">
        <v>1293</v>
      </c>
    </row>
    <row r="507" spans="2:13">
      <c r="B507" t="s">
        <v>2266</v>
      </c>
      <c r="C507" t="s">
        <v>1312</v>
      </c>
      <c r="D507" s="57">
        <v>45807</v>
      </c>
      <c r="F507" t="s">
        <v>16</v>
      </c>
      <c r="G507" s="11">
        <v>90.8</v>
      </c>
      <c r="H507" t="s">
        <v>1313</v>
      </c>
      <c r="I507" t="s">
        <v>565</v>
      </c>
      <c r="J507" t="s">
        <v>150</v>
      </c>
      <c r="K507" t="s">
        <v>1251</v>
      </c>
      <c r="M507" t="s">
        <v>1293</v>
      </c>
    </row>
    <row r="508" spans="2:13">
      <c r="B508" t="s">
        <v>2266</v>
      </c>
      <c r="C508" t="s">
        <v>1314</v>
      </c>
      <c r="D508" s="57">
        <v>45838</v>
      </c>
      <c r="F508" t="s">
        <v>16</v>
      </c>
      <c r="G508" s="11">
        <v>2.2000000000000002</v>
      </c>
      <c r="H508" t="s">
        <v>1315</v>
      </c>
      <c r="I508" t="s">
        <v>1309</v>
      </c>
      <c r="J508" t="s">
        <v>150</v>
      </c>
      <c r="K508" t="s">
        <v>1251</v>
      </c>
      <c r="M508" t="s">
        <v>1293</v>
      </c>
    </row>
    <row r="509" spans="2:13">
      <c r="B509" t="s">
        <v>2266</v>
      </c>
      <c r="C509" t="s">
        <v>1316</v>
      </c>
      <c r="D509" s="57">
        <v>45838</v>
      </c>
      <c r="F509" t="s">
        <v>16</v>
      </c>
      <c r="G509" s="11">
        <v>37.6</v>
      </c>
      <c r="H509" t="s">
        <v>1317</v>
      </c>
      <c r="I509" t="s">
        <v>1309</v>
      </c>
      <c r="J509" t="s">
        <v>150</v>
      </c>
      <c r="M509" t="s">
        <v>1293</v>
      </c>
    </row>
    <row r="510" spans="2:13">
      <c r="B510" t="s">
        <v>2266</v>
      </c>
      <c r="C510" t="s">
        <v>1318</v>
      </c>
      <c r="D510" s="57">
        <v>45868</v>
      </c>
      <c r="F510" t="s">
        <v>16</v>
      </c>
      <c r="G510" s="11">
        <v>18.600000000000001</v>
      </c>
      <c r="H510" t="s">
        <v>1319</v>
      </c>
      <c r="I510" t="s">
        <v>1309</v>
      </c>
      <c r="J510" t="s">
        <v>150</v>
      </c>
      <c r="M510" t="s">
        <v>1293</v>
      </c>
    </row>
    <row r="511" spans="2:13">
      <c r="B511" t="s">
        <v>2266</v>
      </c>
      <c r="C511" t="s">
        <v>1320</v>
      </c>
      <c r="D511" s="57">
        <v>45899</v>
      </c>
      <c r="F511" t="s">
        <v>16</v>
      </c>
      <c r="G511" s="11">
        <v>6.6</v>
      </c>
      <c r="H511" t="s">
        <v>1321</v>
      </c>
      <c r="I511" t="s">
        <v>1309</v>
      </c>
      <c r="J511" t="s">
        <v>150</v>
      </c>
      <c r="M511" t="s">
        <v>1293</v>
      </c>
    </row>
    <row r="512" spans="2:13">
      <c r="B512" t="s">
        <v>2266</v>
      </c>
      <c r="C512" t="s">
        <v>1322</v>
      </c>
      <c r="D512" s="57">
        <v>45899</v>
      </c>
      <c r="F512" t="s">
        <v>16</v>
      </c>
      <c r="G512" s="11">
        <v>30.4</v>
      </c>
      <c r="H512" t="s">
        <v>1323</v>
      </c>
      <c r="I512" t="s">
        <v>1309</v>
      </c>
      <c r="J512" t="s">
        <v>150</v>
      </c>
      <c r="M512" t="s">
        <v>1293</v>
      </c>
    </row>
    <row r="513" spans="1:13">
      <c r="B513" t="s">
        <v>2266</v>
      </c>
      <c r="C513" t="s">
        <v>1324</v>
      </c>
      <c r="D513" s="57">
        <v>45930</v>
      </c>
      <c r="F513" t="s">
        <v>49</v>
      </c>
      <c r="G513" s="11">
        <v>2.2000000000000002</v>
      </c>
      <c r="H513" t="s">
        <v>1325</v>
      </c>
      <c r="I513" t="s">
        <v>1309</v>
      </c>
      <c r="J513" t="s">
        <v>150</v>
      </c>
      <c r="M513" t="s">
        <v>1293</v>
      </c>
    </row>
    <row r="514" spans="1:13">
      <c r="B514" t="s">
        <v>2266</v>
      </c>
      <c r="C514" t="s">
        <v>1326</v>
      </c>
      <c r="D514" s="57">
        <v>45930</v>
      </c>
      <c r="F514" t="s">
        <v>49</v>
      </c>
      <c r="G514" s="11">
        <v>13.2</v>
      </c>
      <c r="H514" t="s">
        <v>1327</v>
      </c>
      <c r="I514" t="s">
        <v>1309</v>
      </c>
      <c r="J514" t="s">
        <v>150</v>
      </c>
      <c r="M514" t="s">
        <v>1293</v>
      </c>
    </row>
    <row r="515" spans="1:13">
      <c r="B515" t="s">
        <v>2266</v>
      </c>
      <c r="C515" t="s">
        <v>1328</v>
      </c>
      <c r="D515" s="57">
        <v>45960</v>
      </c>
      <c r="F515" t="s">
        <v>49</v>
      </c>
      <c r="G515" s="11">
        <v>24.2</v>
      </c>
      <c r="I515" t="s">
        <v>1309</v>
      </c>
      <c r="J515" t="s">
        <v>150</v>
      </c>
      <c r="M515" t="s">
        <v>1293</v>
      </c>
    </row>
    <row r="516" spans="1:13">
      <c r="B516" t="s">
        <v>2266</v>
      </c>
      <c r="C516" t="s">
        <v>1329</v>
      </c>
      <c r="D516" s="57">
        <v>45991</v>
      </c>
      <c r="F516" t="s">
        <v>49</v>
      </c>
      <c r="G516" s="11">
        <v>25</v>
      </c>
      <c r="I516" t="s">
        <v>1309</v>
      </c>
      <c r="J516" t="s">
        <v>150</v>
      </c>
      <c r="M516" t="s">
        <v>1293</v>
      </c>
    </row>
    <row r="517" spans="1:13">
      <c r="B517" t="s">
        <v>2269</v>
      </c>
      <c r="C517" t="s">
        <v>1331</v>
      </c>
      <c r="D517" s="57">
        <v>45747</v>
      </c>
      <c r="F517" t="s">
        <v>16</v>
      </c>
      <c r="G517" s="11">
        <v>57.2</v>
      </c>
      <c r="H517" t="s">
        <v>1332</v>
      </c>
      <c r="I517" t="s">
        <v>279</v>
      </c>
      <c r="J517" t="s">
        <v>56</v>
      </c>
    </row>
    <row r="518" spans="1:13">
      <c r="A518" t="s">
        <v>13</v>
      </c>
      <c r="B518" t="s">
        <v>2270</v>
      </c>
      <c r="C518" t="s">
        <v>1339</v>
      </c>
      <c r="D518" s="57">
        <v>45684</v>
      </c>
      <c r="E518" s="57">
        <v>45726</v>
      </c>
      <c r="G518" s="11">
        <v>53090</v>
      </c>
      <c r="H518" t="s">
        <v>1340</v>
      </c>
      <c r="I518" t="s">
        <v>55</v>
      </c>
      <c r="J518" t="s">
        <v>1341</v>
      </c>
      <c r="L518">
        <v>27090</v>
      </c>
      <c r="M518" t="s">
        <v>1342</v>
      </c>
    </row>
    <row r="519" spans="1:13">
      <c r="A519" t="s">
        <v>13</v>
      </c>
      <c r="B519" t="s">
        <v>2270</v>
      </c>
      <c r="C519" t="s">
        <v>1339</v>
      </c>
      <c r="D519" s="57">
        <v>45684</v>
      </c>
      <c r="E519" s="57">
        <v>45757</v>
      </c>
      <c r="G519" s="11">
        <v>53090</v>
      </c>
      <c r="H519" t="s">
        <v>1340</v>
      </c>
      <c r="I519" t="s">
        <v>55</v>
      </c>
      <c r="J519" t="s">
        <v>1341</v>
      </c>
      <c r="L519">
        <v>53090</v>
      </c>
      <c r="M519" t="s">
        <v>1343</v>
      </c>
    </row>
    <row r="520" spans="1:13">
      <c r="A520" t="s">
        <v>2398</v>
      </c>
      <c r="B520" t="s">
        <v>2270</v>
      </c>
      <c r="C520" t="s">
        <v>1339</v>
      </c>
      <c r="D520" s="57">
        <v>45684</v>
      </c>
      <c r="E520" s="57">
        <v>45726</v>
      </c>
      <c r="F520" t="s">
        <v>16</v>
      </c>
      <c r="G520" s="11">
        <v>13000</v>
      </c>
      <c r="H520" t="s">
        <v>1340</v>
      </c>
      <c r="I520" t="s">
        <v>1344</v>
      </c>
      <c r="J520" t="s">
        <v>83</v>
      </c>
      <c r="K520">
        <v>45945</v>
      </c>
      <c r="L520">
        <v>13000</v>
      </c>
      <c r="M520" t="s">
        <v>394</v>
      </c>
    </row>
    <row r="521" spans="1:13">
      <c r="A521" t="s">
        <v>2398</v>
      </c>
      <c r="B521" t="s">
        <v>2270</v>
      </c>
      <c r="C521" t="s">
        <v>1339</v>
      </c>
      <c r="D521" s="57">
        <v>45684</v>
      </c>
      <c r="E521" s="57">
        <v>45726</v>
      </c>
      <c r="F521" t="s">
        <v>49</v>
      </c>
      <c r="G521" s="11">
        <v>13000</v>
      </c>
      <c r="I521" t="s">
        <v>1344</v>
      </c>
      <c r="J521" t="s">
        <v>83</v>
      </c>
      <c r="K521">
        <v>45968</v>
      </c>
      <c r="L521">
        <v>13000</v>
      </c>
      <c r="M521" t="s">
        <v>394</v>
      </c>
    </row>
    <row r="522" spans="1:13">
      <c r="A522" t="s">
        <v>2398</v>
      </c>
      <c r="B522" t="s">
        <v>2270</v>
      </c>
      <c r="C522" t="s">
        <v>1339</v>
      </c>
      <c r="D522" s="57">
        <v>45684</v>
      </c>
      <c r="E522" s="57">
        <v>45726</v>
      </c>
    </row>
    <row r="523" spans="1:13">
      <c r="A523" t="s">
        <v>2398</v>
      </c>
      <c r="B523" t="s">
        <v>2270</v>
      </c>
      <c r="C523" t="s">
        <v>1339</v>
      </c>
      <c r="D523" s="57">
        <v>45684</v>
      </c>
      <c r="E523" s="57">
        <v>45726</v>
      </c>
    </row>
    <row r="524" spans="1:13">
      <c r="A524" t="s">
        <v>13</v>
      </c>
      <c r="B524" t="s">
        <v>2272</v>
      </c>
      <c r="C524" t="s">
        <v>1353</v>
      </c>
      <c r="D524" s="57">
        <v>45870</v>
      </c>
      <c r="F524" t="s">
        <v>49</v>
      </c>
      <c r="G524" s="11">
        <v>689</v>
      </c>
      <c r="H524" t="s">
        <v>1354</v>
      </c>
      <c r="I524" t="s">
        <v>1355</v>
      </c>
      <c r="J524" t="s">
        <v>56</v>
      </c>
    </row>
    <row r="525" spans="1:13">
      <c r="A525" t="s">
        <v>13</v>
      </c>
      <c r="B525" t="s">
        <v>2272</v>
      </c>
      <c r="C525" t="s">
        <v>1356</v>
      </c>
      <c r="D525" s="57">
        <v>45901</v>
      </c>
      <c r="F525" t="s">
        <v>16</v>
      </c>
      <c r="G525" s="11">
        <v>416</v>
      </c>
      <c r="H525" t="s">
        <v>1357</v>
      </c>
      <c r="I525" t="s">
        <v>1355</v>
      </c>
      <c r="J525" t="s">
        <v>215</v>
      </c>
    </row>
    <row r="526" spans="1:13">
      <c r="A526" t="s">
        <v>13</v>
      </c>
      <c r="B526" t="s">
        <v>2272</v>
      </c>
      <c r="C526" t="s">
        <v>1358</v>
      </c>
      <c r="D526" s="57">
        <v>45930</v>
      </c>
      <c r="F526" t="s">
        <v>49</v>
      </c>
      <c r="G526" s="11">
        <v>1066</v>
      </c>
      <c r="H526" t="s">
        <v>1359</v>
      </c>
      <c r="I526" t="s">
        <v>1360</v>
      </c>
      <c r="J526" t="s">
        <v>215</v>
      </c>
    </row>
    <row r="527" spans="1:13">
      <c r="A527" t="s">
        <v>13</v>
      </c>
      <c r="B527" t="s">
        <v>2272</v>
      </c>
      <c r="C527" t="s">
        <v>1361</v>
      </c>
      <c r="D527" s="57" t="s">
        <v>1362</v>
      </c>
      <c r="E527" s="57">
        <v>45965</v>
      </c>
      <c r="F527" t="s">
        <v>49</v>
      </c>
      <c r="G527" s="11">
        <v>611</v>
      </c>
      <c r="I527" t="s">
        <v>1363</v>
      </c>
      <c r="J527" t="s">
        <v>215</v>
      </c>
      <c r="L527">
        <v>611</v>
      </c>
      <c r="M527" t="s">
        <v>1364</v>
      </c>
    </row>
    <row r="528" spans="1:13">
      <c r="B528" t="s">
        <v>2399</v>
      </c>
      <c r="C528" t="s">
        <v>723</v>
      </c>
      <c r="D528" s="57">
        <v>45181</v>
      </c>
      <c r="E528" s="57">
        <v>45240</v>
      </c>
      <c r="G528" s="11">
        <v>10000</v>
      </c>
      <c r="I528" t="s">
        <v>1345</v>
      </c>
      <c r="J528" t="s">
        <v>56</v>
      </c>
    </row>
    <row r="529" spans="1:13">
      <c r="A529" t="s">
        <v>13</v>
      </c>
      <c r="B529" t="s">
        <v>2275</v>
      </c>
      <c r="C529" t="s">
        <v>1347</v>
      </c>
      <c r="D529" s="57">
        <v>45972</v>
      </c>
      <c r="E529" s="57">
        <v>45972</v>
      </c>
      <c r="F529" t="s">
        <v>49</v>
      </c>
      <c r="G529" s="11">
        <v>4200</v>
      </c>
      <c r="I529" t="s">
        <v>1348</v>
      </c>
      <c r="J529" t="s">
        <v>83</v>
      </c>
      <c r="K529">
        <v>45957</v>
      </c>
      <c r="L529">
        <v>4200</v>
      </c>
      <c r="M529" t="s">
        <v>246</v>
      </c>
    </row>
    <row r="530" spans="1:13">
      <c r="A530" t="s">
        <v>1349</v>
      </c>
      <c r="B530" t="s">
        <v>2275</v>
      </c>
      <c r="C530" t="s">
        <v>1350</v>
      </c>
      <c r="D530" s="57">
        <v>45972</v>
      </c>
      <c r="E530" s="57">
        <v>45972</v>
      </c>
      <c r="F530" t="s">
        <v>49</v>
      </c>
      <c r="G530" s="11">
        <v>410</v>
      </c>
      <c r="I530" t="s">
        <v>1351</v>
      </c>
      <c r="J530" t="s">
        <v>83</v>
      </c>
    </row>
    <row r="531" spans="1:13">
      <c r="A531" t="s">
        <v>13</v>
      </c>
      <c r="B531" t="s">
        <v>2400</v>
      </c>
      <c r="C531" t="s">
        <v>893</v>
      </c>
      <c r="D531" s="57">
        <v>45950</v>
      </c>
      <c r="E531" s="57">
        <v>45950</v>
      </c>
      <c r="F531" t="s">
        <v>16</v>
      </c>
      <c r="G531" s="11">
        <v>2850</v>
      </c>
      <c r="I531" t="s">
        <v>1367</v>
      </c>
      <c r="J531" t="s">
        <v>1368</v>
      </c>
      <c r="K531">
        <v>45953</v>
      </c>
      <c r="L531">
        <v>2850</v>
      </c>
      <c r="M531" t="s">
        <v>70</v>
      </c>
    </row>
    <row r="532" spans="1:13">
      <c r="A532" t="s">
        <v>13</v>
      </c>
      <c r="B532" t="s">
        <v>2279</v>
      </c>
      <c r="C532" t="s">
        <v>1373</v>
      </c>
      <c r="D532" s="57" t="s">
        <v>1374</v>
      </c>
      <c r="E532" s="57" t="s">
        <v>1374</v>
      </c>
      <c r="F532" t="s">
        <v>49</v>
      </c>
      <c r="G532" s="11">
        <v>284.89999999999998</v>
      </c>
      <c r="I532" t="s">
        <v>1375</v>
      </c>
      <c r="J532" t="s">
        <v>75</v>
      </c>
      <c r="K532">
        <v>45950</v>
      </c>
      <c r="L532">
        <v>284.89999999999998</v>
      </c>
      <c r="M532" t="s">
        <v>19</v>
      </c>
    </row>
    <row r="533" spans="1:13">
      <c r="A533" t="s">
        <v>1088</v>
      </c>
      <c r="B533" t="s">
        <v>2279</v>
      </c>
      <c r="C533" t="s">
        <v>1376</v>
      </c>
      <c r="D533" s="57" t="s">
        <v>1377</v>
      </c>
      <c r="E533" s="57" t="s">
        <v>1377</v>
      </c>
      <c r="F533" t="s">
        <v>49</v>
      </c>
      <c r="G533" s="11">
        <v>284.89</v>
      </c>
      <c r="I533" t="s">
        <v>1375</v>
      </c>
      <c r="J533" t="s">
        <v>83</v>
      </c>
    </row>
    <row r="534" spans="1:13">
      <c r="B534" t="s">
        <v>2280</v>
      </c>
      <c r="C534" t="s">
        <v>1379</v>
      </c>
      <c r="D534" s="57">
        <v>45714</v>
      </c>
      <c r="F534" t="s">
        <v>49</v>
      </c>
      <c r="G534" s="11">
        <v>47.64</v>
      </c>
      <c r="H534" t="s">
        <v>1380</v>
      </c>
      <c r="I534" t="s">
        <v>279</v>
      </c>
      <c r="J534" t="s">
        <v>597</v>
      </c>
      <c r="K534">
        <v>45817</v>
      </c>
      <c r="L534">
        <v>2216.0500000000002</v>
      </c>
    </row>
    <row r="535" spans="1:13">
      <c r="B535" t="s">
        <v>2281</v>
      </c>
      <c r="C535" t="s">
        <v>1370</v>
      </c>
      <c r="D535" s="57">
        <v>44000</v>
      </c>
      <c r="G535" s="11">
        <v>250</v>
      </c>
      <c r="I535" t="s">
        <v>1371</v>
      </c>
      <c r="J535" t="s">
        <v>185</v>
      </c>
    </row>
    <row r="536" spans="1:13">
      <c r="B536" t="s">
        <v>2283</v>
      </c>
      <c r="C536" t="s">
        <v>1382</v>
      </c>
      <c r="D536" s="57">
        <v>45716</v>
      </c>
      <c r="F536" t="s">
        <v>16</v>
      </c>
      <c r="G536" s="11">
        <v>2216.0500000000002</v>
      </c>
      <c r="H536" t="s">
        <v>1383</v>
      </c>
      <c r="I536" t="s">
        <v>1384</v>
      </c>
      <c r="J536" t="s">
        <v>125</v>
      </c>
      <c r="K536">
        <v>45853</v>
      </c>
      <c r="M536" t="s">
        <v>345</v>
      </c>
    </row>
    <row r="537" spans="1:13">
      <c r="B537" t="s">
        <v>2283</v>
      </c>
      <c r="C537" t="s">
        <v>1382</v>
      </c>
      <c r="D537" s="57">
        <v>45716</v>
      </c>
      <c r="F537" t="s">
        <v>16</v>
      </c>
      <c r="G537" s="11">
        <v>2216.04</v>
      </c>
      <c r="H537" t="s">
        <v>1383</v>
      </c>
      <c r="I537" t="s">
        <v>1384</v>
      </c>
      <c r="J537" t="s">
        <v>125</v>
      </c>
      <c r="K537">
        <v>45817</v>
      </c>
      <c r="M537" t="s">
        <v>111</v>
      </c>
    </row>
    <row r="538" spans="1:13">
      <c r="B538" t="s">
        <v>2284</v>
      </c>
      <c r="C538" t="s">
        <v>1386</v>
      </c>
      <c r="D538" s="57">
        <v>45729</v>
      </c>
      <c r="F538" t="s">
        <v>16</v>
      </c>
      <c r="G538" s="11">
        <v>28.94</v>
      </c>
      <c r="H538" t="s">
        <v>1387</v>
      </c>
      <c r="J538" t="s">
        <v>794</v>
      </c>
    </row>
    <row r="539" spans="1:13">
      <c r="B539" t="s">
        <v>2285</v>
      </c>
      <c r="C539" t="s">
        <v>1389</v>
      </c>
      <c r="D539" s="57">
        <v>45671</v>
      </c>
      <c r="E539" s="57">
        <v>45716</v>
      </c>
      <c r="F539" t="s">
        <v>16</v>
      </c>
      <c r="G539" s="11">
        <v>597.79999999999995</v>
      </c>
      <c r="H539" t="s">
        <v>1390</v>
      </c>
      <c r="I539" t="s">
        <v>1093</v>
      </c>
      <c r="J539" t="s">
        <v>110</v>
      </c>
    </row>
    <row r="540" spans="1:13">
      <c r="B540" t="s">
        <v>2285</v>
      </c>
      <c r="C540" t="s">
        <v>1391</v>
      </c>
      <c r="D540" s="57">
        <v>45828</v>
      </c>
      <c r="G540" s="11">
        <v>219.6</v>
      </c>
      <c r="H540" t="s">
        <v>1392</v>
      </c>
      <c r="I540" t="s">
        <v>279</v>
      </c>
      <c r="J540" t="s">
        <v>66</v>
      </c>
    </row>
    <row r="541" spans="1:13">
      <c r="B541" t="s">
        <v>2286</v>
      </c>
      <c r="C541" t="s">
        <v>1394</v>
      </c>
      <c r="D541" s="57">
        <v>45761</v>
      </c>
      <c r="E541" s="57">
        <v>45808</v>
      </c>
      <c r="F541" t="s">
        <v>16</v>
      </c>
      <c r="G541" s="11">
        <v>1378.6</v>
      </c>
      <c r="H541" t="s">
        <v>1395</v>
      </c>
      <c r="I541" t="s">
        <v>312</v>
      </c>
      <c r="J541" t="s">
        <v>66</v>
      </c>
      <c r="K541">
        <v>45854</v>
      </c>
      <c r="L541">
        <v>1378.6</v>
      </c>
      <c r="M541" t="s">
        <v>345</v>
      </c>
    </row>
    <row r="542" spans="1:13">
      <c r="A542" t="s">
        <v>13</v>
      </c>
      <c r="B542" t="s">
        <v>2287</v>
      </c>
      <c r="C542" t="s">
        <v>1397</v>
      </c>
      <c r="D542" s="57">
        <v>45857</v>
      </c>
      <c r="E542" s="57">
        <v>45900</v>
      </c>
      <c r="F542" t="s">
        <v>16</v>
      </c>
      <c r="G542" s="11">
        <v>329.4</v>
      </c>
      <c r="H542" t="s">
        <v>1398</v>
      </c>
      <c r="I542" t="s">
        <v>1399</v>
      </c>
      <c r="J542" t="s">
        <v>491</v>
      </c>
      <c r="K542">
        <v>45945</v>
      </c>
      <c r="L542">
        <v>329.4</v>
      </c>
      <c r="M542" t="s">
        <v>246</v>
      </c>
    </row>
    <row r="543" spans="1:13">
      <c r="B543" t="s">
        <v>2288</v>
      </c>
      <c r="C543" t="s">
        <v>1401</v>
      </c>
      <c r="D543" s="57">
        <v>45819</v>
      </c>
      <c r="F543" t="s">
        <v>16</v>
      </c>
      <c r="G543" s="11">
        <v>120.5</v>
      </c>
      <c r="H543" t="s">
        <v>1402</v>
      </c>
      <c r="I543" t="s">
        <v>457</v>
      </c>
      <c r="M543" t="s">
        <v>1403</v>
      </c>
    </row>
    <row r="544" spans="1:13">
      <c r="B544" t="s">
        <v>2289</v>
      </c>
      <c r="C544" t="s">
        <v>1405</v>
      </c>
      <c r="D544" s="57">
        <v>45322</v>
      </c>
      <c r="E544" s="57">
        <v>45422</v>
      </c>
      <c r="F544" t="s">
        <v>16</v>
      </c>
      <c r="G544" s="11">
        <v>13200</v>
      </c>
      <c r="H544" t="s">
        <v>1406</v>
      </c>
      <c r="I544" t="s">
        <v>1407</v>
      </c>
      <c r="J544" t="s">
        <v>1408</v>
      </c>
      <c r="K544">
        <v>45728</v>
      </c>
      <c r="L544">
        <v>12985.9</v>
      </c>
    </row>
    <row r="545" spans="2:12">
      <c r="B545" t="s">
        <v>2289</v>
      </c>
      <c r="C545" t="s">
        <v>1405</v>
      </c>
      <c r="D545" s="57">
        <v>45322</v>
      </c>
      <c r="E545" s="57">
        <v>45422</v>
      </c>
      <c r="F545" t="s">
        <v>16</v>
      </c>
      <c r="G545" s="11">
        <v>9360</v>
      </c>
      <c r="H545" t="s">
        <v>1406</v>
      </c>
      <c r="I545" t="s">
        <v>1407</v>
      </c>
      <c r="J545" t="s">
        <v>56</v>
      </c>
    </row>
    <row r="546" spans="2:12">
      <c r="B546" t="s">
        <v>2289</v>
      </c>
      <c r="C546" t="s">
        <v>1405</v>
      </c>
      <c r="D546" s="57">
        <v>45322</v>
      </c>
      <c r="E546" s="57">
        <v>45422</v>
      </c>
      <c r="G546" s="11">
        <v>9928.5</v>
      </c>
      <c r="H546" t="s">
        <v>1406</v>
      </c>
      <c r="I546" t="s">
        <v>1407</v>
      </c>
      <c r="J546" t="s">
        <v>56</v>
      </c>
      <c r="K546">
        <v>45728</v>
      </c>
      <c r="L546">
        <v>12985.9</v>
      </c>
    </row>
    <row r="547" spans="2:12">
      <c r="B547" t="s">
        <v>2289</v>
      </c>
      <c r="C547" t="s">
        <v>1409</v>
      </c>
      <c r="D547" s="57">
        <v>45412</v>
      </c>
      <c r="E547" s="57">
        <v>45514</v>
      </c>
      <c r="F547" t="s">
        <v>16</v>
      </c>
      <c r="G547" s="11">
        <v>27.95</v>
      </c>
      <c r="H547" t="s">
        <v>1410</v>
      </c>
      <c r="I547" t="s">
        <v>1411</v>
      </c>
      <c r="J547" t="s">
        <v>56</v>
      </c>
      <c r="K547">
        <v>45728</v>
      </c>
      <c r="L547">
        <v>12985.9</v>
      </c>
    </row>
    <row r="548" spans="2:12">
      <c r="B548" t="s">
        <v>2289</v>
      </c>
      <c r="C548" t="s">
        <v>1412</v>
      </c>
      <c r="D548" s="57">
        <v>45443</v>
      </c>
      <c r="E548" s="57">
        <v>45545</v>
      </c>
      <c r="F548" t="s">
        <v>16</v>
      </c>
      <c r="G548" s="11">
        <v>591.91999999999996</v>
      </c>
      <c r="H548" t="s">
        <v>1413</v>
      </c>
      <c r="I548" t="s">
        <v>1414</v>
      </c>
      <c r="J548" t="s">
        <v>56</v>
      </c>
      <c r="K548">
        <v>45728</v>
      </c>
      <c r="L548">
        <v>12985.9</v>
      </c>
    </row>
    <row r="549" spans="2:12">
      <c r="B549" t="s">
        <v>2289</v>
      </c>
      <c r="C549" t="s">
        <v>1415</v>
      </c>
      <c r="D549" s="57">
        <v>45504</v>
      </c>
      <c r="E549" s="57">
        <v>45575</v>
      </c>
      <c r="F549" t="s">
        <v>16</v>
      </c>
      <c r="G549" s="11">
        <v>842.53</v>
      </c>
      <c r="H549" t="s">
        <v>1416</v>
      </c>
      <c r="I549" t="s">
        <v>484</v>
      </c>
      <c r="J549" t="s">
        <v>56</v>
      </c>
      <c r="K549">
        <v>45728</v>
      </c>
      <c r="L549">
        <v>12985.9</v>
      </c>
    </row>
    <row r="550" spans="2:12">
      <c r="B550" t="s">
        <v>2289</v>
      </c>
      <c r="C550" t="s">
        <v>1417</v>
      </c>
      <c r="D550" s="57">
        <v>45535</v>
      </c>
      <c r="E550" s="57">
        <v>45606</v>
      </c>
      <c r="F550" t="s">
        <v>16</v>
      </c>
      <c r="G550" s="11">
        <v>1294.52</v>
      </c>
      <c r="H550" t="s">
        <v>1418</v>
      </c>
      <c r="I550" t="s">
        <v>342</v>
      </c>
      <c r="J550" t="s">
        <v>56</v>
      </c>
      <c r="K550">
        <v>45728</v>
      </c>
      <c r="L550">
        <v>12985.9</v>
      </c>
    </row>
    <row r="551" spans="2:12">
      <c r="B551" t="s">
        <v>2289</v>
      </c>
      <c r="C551" t="s">
        <v>1419</v>
      </c>
      <c r="D551" s="57">
        <v>45565</v>
      </c>
      <c r="E551" s="57">
        <v>45667</v>
      </c>
      <c r="F551" t="s">
        <v>16</v>
      </c>
      <c r="G551" s="11">
        <v>280.5</v>
      </c>
      <c r="H551" t="s">
        <v>1420</v>
      </c>
      <c r="I551" t="s">
        <v>840</v>
      </c>
      <c r="J551" t="s">
        <v>597</v>
      </c>
      <c r="K551">
        <v>45728</v>
      </c>
      <c r="L551">
        <v>12985.9</v>
      </c>
    </row>
    <row r="552" spans="2:12">
      <c r="B552" t="s">
        <v>2289</v>
      </c>
      <c r="C552" t="s">
        <v>1421</v>
      </c>
      <c r="D552" s="57">
        <v>45626</v>
      </c>
      <c r="E552" s="57">
        <v>45726</v>
      </c>
      <c r="F552" t="s">
        <v>16</v>
      </c>
      <c r="G552" s="11">
        <v>567.80999999999995</v>
      </c>
      <c r="H552" t="s">
        <v>1422</v>
      </c>
      <c r="I552" t="s">
        <v>342</v>
      </c>
      <c r="J552" t="s">
        <v>56</v>
      </c>
      <c r="K552">
        <v>45728</v>
      </c>
      <c r="L552">
        <v>12985.9</v>
      </c>
    </row>
    <row r="553" spans="2:12">
      <c r="B553" t="s">
        <v>2289</v>
      </c>
      <c r="C553" t="s">
        <v>1423</v>
      </c>
      <c r="D553" s="57">
        <v>45656</v>
      </c>
      <c r="E553" s="57">
        <v>45656</v>
      </c>
      <c r="F553" t="s">
        <v>16</v>
      </c>
      <c r="G553" s="11">
        <v>20.67</v>
      </c>
      <c r="H553" t="s">
        <v>1424</v>
      </c>
      <c r="I553" t="s">
        <v>592</v>
      </c>
      <c r="J553" t="s">
        <v>56</v>
      </c>
      <c r="L553">
        <v>12985.9</v>
      </c>
    </row>
    <row r="554" spans="2:12">
      <c r="B554" t="s">
        <v>2289</v>
      </c>
      <c r="C554" t="s">
        <v>641</v>
      </c>
      <c r="D554" s="57">
        <v>45747</v>
      </c>
      <c r="E554" s="57">
        <v>45747</v>
      </c>
      <c r="G554" s="11">
        <v>3159.26</v>
      </c>
      <c r="H554" t="s">
        <v>1425</v>
      </c>
      <c r="I554" t="s">
        <v>655</v>
      </c>
      <c r="J554" t="s">
        <v>56</v>
      </c>
    </row>
    <row r="555" spans="2:12">
      <c r="B555" t="s">
        <v>2289</v>
      </c>
      <c r="C555" t="s">
        <v>1426</v>
      </c>
      <c r="D555" s="57">
        <v>45777</v>
      </c>
      <c r="E555" s="57">
        <v>45879</v>
      </c>
      <c r="G555" s="11">
        <v>4452.29</v>
      </c>
      <c r="H555" t="s">
        <v>1427</v>
      </c>
      <c r="J555" t="s">
        <v>56</v>
      </c>
    </row>
    <row r="556" spans="2:12">
      <c r="B556" t="s">
        <v>2289</v>
      </c>
      <c r="C556" t="s">
        <v>1428</v>
      </c>
      <c r="D556" s="57">
        <v>45807</v>
      </c>
      <c r="E556" s="57">
        <v>45910</v>
      </c>
      <c r="G556" s="11">
        <v>51.92</v>
      </c>
      <c r="H556" t="s">
        <v>1429</v>
      </c>
      <c r="I556" t="s">
        <v>588</v>
      </c>
      <c r="J556" t="s">
        <v>56</v>
      </c>
    </row>
    <row r="557" spans="2:12">
      <c r="B557" t="s">
        <v>2289</v>
      </c>
      <c r="C557" t="s">
        <v>1430</v>
      </c>
      <c r="D557" s="57">
        <v>45838</v>
      </c>
      <c r="E557" s="57">
        <v>45940</v>
      </c>
      <c r="G557" s="11">
        <v>364.54</v>
      </c>
      <c r="H557" t="s">
        <v>1431</v>
      </c>
      <c r="I557" t="s">
        <v>1432</v>
      </c>
      <c r="J557" t="s">
        <v>66</v>
      </c>
    </row>
    <row r="558" spans="2:12">
      <c r="B558" t="s">
        <v>2289</v>
      </c>
      <c r="C558" t="s">
        <v>1433</v>
      </c>
      <c r="D558" s="57">
        <v>45838</v>
      </c>
      <c r="E558" s="57">
        <v>45940</v>
      </c>
      <c r="G558" s="11">
        <v>36.6</v>
      </c>
      <c r="H558" t="s">
        <v>1434</v>
      </c>
      <c r="J558" t="s">
        <v>66</v>
      </c>
      <c r="L558">
        <v>12985.9</v>
      </c>
    </row>
    <row r="559" spans="2:12">
      <c r="B559" t="s">
        <v>2290</v>
      </c>
      <c r="C559" t="s">
        <v>1436</v>
      </c>
      <c r="D559" s="57">
        <v>45742</v>
      </c>
      <c r="F559" t="s">
        <v>16</v>
      </c>
      <c r="G559" s="11">
        <v>87.23</v>
      </c>
      <c r="H559" t="s">
        <v>1437</v>
      </c>
      <c r="I559" t="s">
        <v>1093</v>
      </c>
    </row>
    <row r="560" spans="2:12">
      <c r="B560" t="s">
        <v>2291</v>
      </c>
      <c r="C560" t="s">
        <v>1439</v>
      </c>
      <c r="D560" s="57">
        <v>45701</v>
      </c>
      <c r="E560" s="57">
        <v>45713</v>
      </c>
      <c r="F560" t="s">
        <v>16</v>
      </c>
      <c r="G560" s="11">
        <v>154.22</v>
      </c>
      <c r="H560" t="s">
        <v>1440</v>
      </c>
      <c r="I560" t="s">
        <v>1348</v>
      </c>
      <c r="J560" t="s">
        <v>150</v>
      </c>
    </row>
    <row r="561" spans="1:13">
      <c r="B561" t="s">
        <v>2291</v>
      </c>
      <c r="C561" t="s">
        <v>1441</v>
      </c>
      <c r="D561" s="57">
        <v>45734</v>
      </c>
      <c r="F561" t="s">
        <v>16</v>
      </c>
      <c r="G561" s="11">
        <v>154.22</v>
      </c>
      <c r="H561" t="s">
        <v>1442</v>
      </c>
      <c r="I561" t="s">
        <v>1443</v>
      </c>
      <c r="J561" t="s">
        <v>150</v>
      </c>
    </row>
    <row r="562" spans="1:13">
      <c r="B562" t="s">
        <v>2292</v>
      </c>
      <c r="C562" t="s">
        <v>335</v>
      </c>
      <c r="D562" s="57">
        <v>45797</v>
      </c>
      <c r="F562" t="s">
        <v>16</v>
      </c>
      <c r="G562" s="11">
        <v>-8700</v>
      </c>
      <c r="H562" t="s">
        <v>1452</v>
      </c>
      <c r="I562" t="s">
        <v>55</v>
      </c>
      <c r="J562" t="s">
        <v>56</v>
      </c>
      <c r="K562">
        <v>45833</v>
      </c>
      <c r="L562">
        <v>4000</v>
      </c>
      <c r="M562" t="s">
        <v>296</v>
      </c>
    </row>
    <row r="563" spans="1:13">
      <c r="B563" t="s">
        <v>2293</v>
      </c>
      <c r="C563" t="s">
        <v>1445</v>
      </c>
      <c r="D563" s="57">
        <v>45539</v>
      </c>
      <c r="E563" s="57">
        <v>45606</v>
      </c>
      <c r="F563" t="s">
        <v>16</v>
      </c>
      <c r="G563" s="11">
        <v>5950</v>
      </c>
      <c r="H563" t="s">
        <v>1446</v>
      </c>
      <c r="I563" t="s">
        <v>1447</v>
      </c>
      <c r="J563" t="s">
        <v>56</v>
      </c>
    </row>
    <row r="564" spans="1:13">
      <c r="B564" t="s">
        <v>2293</v>
      </c>
      <c r="C564" t="s">
        <v>1445</v>
      </c>
      <c r="D564" s="57">
        <v>45539</v>
      </c>
      <c r="E564" s="57">
        <v>45636</v>
      </c>
      <c r="F564" t="s">
        <v>16</v>
      </c>
      <c r="G564" s="11">
        <v>2750</v>
      </c>
      <c r="H564" t="s">
        <v>1446</v>
      </c>
      <c r="I564" t="s">
        <v>1447</v>
      </c>
      <c r="J564" t="s">
        <v>56</v>
      </c>
      <c r="K564">
        <v>45729</v>
      </c>
      <c r="L564">
        <v>7000</v>
      </c>
      <c r="M564" t="s">
        <v>111</v>
      </c>
    </row>
    <row r="565" spans="1:13">
      <c r="B565" t="s">
        <v>2293</v>
      </c>
      <c r="C565" t="s">
        <v>1445</v>
      </c>
      <c r="D565" s="57">
        <v>45539</v>
      </c>
      <c r="E565" s="57">
        <v>45636</v>
      </c>
      <c r="F565" t="s">
        <v>16</v>
      </c>
      <c r="G565" s="11">
        <v>3200</v>
      </c>
      <c r="H565" t="s">
        <v>1446</v>
      </c>
      <c r="I565" t="s">
        <v>1447</v>
      </c>
      <c r="J565" t="s">
        <v>56</v>
      </c>
      <c r="K565">
        <v>45729</v>
      </c>
      <c r="L565">
        <v>7000</v>
      </c>
      <c r="M565" t="s">
        <v>111</v>
      </c>
    </row>
    <row r="566" spans="1:13">
      <c r="B566" t="s">
        <v>2293</v>
      </c>
      <c r="C566" t="s">
        <v>1448</v>
      </c>
      <c r="D566" s="57">
        <v>45586</v>
      </c>
      <c r="E566" s="57">
        <v>45667</v>
      </c>
      <c r="F566" t="s">
        <v>16</v>
      </c>
      <c r="G566" s="11">
        <v>3800</v>
      </c>
      <c r="H566" t="s">
        <v>1449</v>
      </c>
      <c r="I566" t="s">
        <v>1450</v>
      </c>
      <c r="J566" t="s">
        <v>56</v>
      </c>
    </row>
    <row r="567" spans="1:13">
      <c r="B567" t="s">
        <v>2294</v>
      </c>
      <c r="C567" t="s">
        <v>1063</v>
      </c>
      <c r="D567" s="57">
        <v>45751</v>
      </c>
      <c r="F567" t="s">
        <v>16</v>
      </c>
      <c r="G567" s="11">
        <v>502</v>
      </c>
      <c r="H567" t="s">
        <v>1459</v>
      </c>
      <c r="I567" t="s">
        <v>1460</v>
      </c>
      <c r="J567" t="s">
        <v>56</v>
      </c>
    </row>
    <row r="568" spans="1:13">
      <c r="B568" t="s">
        <v>2295</v>
      </c>
      <c r="C568" t="s">
        <v>338</v>
      </c>
      <c r="D568" s="57">
        <v>45833</v>
      </c>
      <c r="F568" t="s">
        <v>16</v>
      </c>
      <c r="G568" s="11">
        <v>4000</v>
      </c>
      <c r="H568" t="s">
        <v>1454</v>
      </c>
      <c r="I568" t="s">
        <v>1455</v>
      </c>
      <c r="J568" t="s">
        <v>56</v>
      </c>
    </row>
    <row r="569" spans="1:13">
      <c r="A569" t="s">
        <v>1562</v>
      </c>
      <c r="B569" t="s">
        <v>2295</v>
      </c>
      <c r="G569" s="11">
        <v>3000</v>
      </c>
      <c r="I569" t="s">
        <v>364</v>
      </c>
      <c r="J569" t="s">
        <v>75</v>
      </c>
      <c r="K569">
        <v>45940</v>
      </c>
      <c r="L569">
        <v>3000</v>
      </c>
      <c r="M569" t="s">
        <v>394</v>
      </c>
    </row>
    <row r="570" spans="1:13">
      <c r="A570" t="s">
        <v>1562</v>
      </c>
      <c r="B570" t="s">
        <v>2295</v>
      </c>
      <c r="G570" s="11">
        <v>2000</v>
      </c>
      <c r="I570" t="s">
        <v>218</v>
      </c>
      <c r="J570" t="s">
        <v>354</v>
      </c>
      <c r="K570">
        <v>45978</v>
      </c>
      <c r="L570">
        <v>2000</v>
      </c>
      <c r="M570" t="s">
        <v>394</v>
      </c>
    </row>
    <row r="571" spans="1:13">
      <c r="B571" t="s">
        <v>2297</v>
      </c>
      <c r="C571" t="s">
        <v>1462</v>
      </c>
      <c r="D571" s="57">
        <v>45792</v>
      </c>
      <c r="F571" t="s">
        <v>16</v>
      </c>
      <c r="G571" s="11">
        <v>39</v>
      </c>
      <c r="H571" t="s">
        <v>1463</v>
      </c>
      <c r="I571" t="s">
        <v>42</v>
      </c>
    </row>
    <row r="572" spans="1:13">
      <c r="B572" t="s">
        <v>2297</v>
      </c>
      <c r="C572" t="s">
        <v>1464</v>
      </c>
      <c r="D572" s="57">
        <v>45793</v>
      </c>
      <c r="F572" t="s">
        <v>16</v>
      </c>
      <c r="G572" s="11">
        <v>39</v>
      </c>
      <c r="H572" t="s">
        <v>1465</v>
      </c>
      <c r="I572" t="s">
        <v>457</v>
      </c>
    </row>
    <row r="573" spans="1:13">
      <c r="B573" t="s">
        <v>2297</v>
      </c>
      <c r="C573" t="s">
        <v>1466</v>
      </c>
      <c r="D573" s="57">
        <v>45796</v>
      </c>
      <c r="F573" t="s">
        <v>16</v>
      </c>
      <c r="G573" s="11">
        <v>26</v>
      </c>
      <c r="H573" t="s">
        <v>1467</v>
      </c>
      <c r="I573" t="s">
        <v>457</v>
      </c>
    </row>
    <row r="574" spans="1:13">
      <c r="B574" t="s">
        <v>2297</v>
      </c>
      <c r="C574" t="s">
        <v>1468</v>
      </c>
      <c r="D574" s="57">
        <v>45838</v>
      </c>
      <c r="F574" t="s">
        <v>16</v>
      </c>
      <c r="G574" s="11">
        <v>26</v>
      </c>
      <c r="H574" t="s">
        <v>1469</v>
      </c>
      <c r="I574" t="s">
        <v>457</v>
      </c>
    </row>
    <row r="575" spans="1:13">
      <c r="B575" t="s">
        <v>2297</v>
      </c>
      <c r="C575" t="s">
        <v>1470</v>
      </c>
      <c r="D575" s="57">
        <v>45840</v>
      </c>
      <c r="F575" t="s">
        <v>16</v>
      </c>
      <c r="G575" s="11">
        <v>13</v>
      </c>
      <c r="H575" t="s">
        <v>1471</v>
      </c>
      <c r="I575" t="s">
        <v>457</v>
      </c>
      <c r="K575">
        <v>45698</v>
      </c>
    </row>
    <row r="576" spans="1:13">
      <c r="B576" t="s">
        <v>2298</v>
      </c>
      <c r="C576" t="s">
        <v>1473</v>
      </c>
      <c r="D576" s="57">
        <v>45693</v>
      </c>
      <c r="F576" t="s">
        <v>16</v>
      </c>
      <c r="G576" s="11">
        <v>3050</v>
      </c>
      <c r="H576" t="s">
        <v>1474</v>
      </c>
      <c r="I576" t="s">
        <v>1475</v>
      </c>
      <c r="J576" t="s">
        <v>56</v>
      </c>
      <c r="K576">
        <v>45730</v>
      </c>
      <c r="L576">
        <v>2000</v>
      </c>
      <c r="M576" t="s">
        <v>111</v>
      </c>
    </row>
    <row r="577" spans="1:13">
      <c r="B577" t="s">
        <v>2298</v>
      </c>
      <c r="C577" t="s">
        <v>1476</v>
      </c>
      <c r="D577" s="57">
        <v>45713</v>
      </c>
      <c r="F577" t="s">
        <v>16</v>
      </c>
      <c r="G577" s="11">
        <v>2000</v>
      </c>
      <c r="H577" t="s">
        <v>1477</v>
      </c>
      <c r="I577" t="s">
        <v>87</v>
      </c>
      <c r="J577" t="s">
        <v>56</v>
      </c>
      <c r="K577">
        <v>45817</v>
      </c>
      <c r="L577">
        <v>1500</v>
      </c>
      <c r="M577" t="s">
        <v>111</v>
      </c>
    </row>
    <row r="578" spans="1:13">
      <c r="B578" t="s">
        <v>2298</v>
      </c>
      <c r="C578" t="s">
        <v>1476</v>
      </c>
      <c r="D578" s="57">
        <v>45713</v>
      </c>
      <c r="F578" t="s">
        <v>16</v>
      </c>
      <c r="G578" s="11">
        <v>1050</v>
      </c>
      <c r="H578" t="s">
        <v>1477</v>
      </c>
      <c r="I578" t="s">
        <v>87</v>
      </c>
      <c r="J578" t="s">
        <v>56</v>
      </c>
      <c r="K578">
        <v>45817</v>
      </c>
      <c r="L578">
        <v>1500</v>
      </c>
      <c r="M578" t="s">
        <v>111</v>
      </c>
    </row>
    <row r="579" spans="1:13">
      <c r="B579" t="s">
        <v>2298</v>
      </c>
      <c r="C579" t="s">
        <v>1478</v>
      </c>
      <c r="D579" s="57">
        <v>45743</v>
      </c>
      <c r="F579" t="s">
        <v>16</v>
      </c>
      <c r="G579" s="11">
        <v>450</v>
      </c>
      <c r="H579" t="s">
        <v>1479</v>
      </c>
      <c r="I579" t="s">
        <v>1384</v>
      </c>
    </row>
    <row r="580" spans="1:13">
      <c r="B580" t="s">
        <v>2298</v>
      </c>
      <c r="C580" t="s">
        <v>1478</v>
      </c>
      <c r="D580" s="57">
        <v>45743</v>
      </c>
      <c r="F580" t="s">
        <v>16</v>
      </c>
      <c r="G580" s="11">
        <v>1611.8</v>
      </c>
      <c r="H580" t="s">
        <v>1479</v>
      </c>
      <c r="I580" t="s">
        <v>1384</v>
      </c>
    </row>
    <row r="581" spans="1:13">
      <c r="B581" t="s">
        <v>2299</v>
      </c>
      <c r="C581" t="s">
        <v>1481</v>
      </c>
      <c r="D581" s="57">
        <v>45860</v>
      </c>
      <c r="F581" t="s">
        <v>16</v>
      </c>
      <c r="G581" s="11">
        <v>92.07</v>
      </c>
      <c r="H581" t="s">
        <v>1482</v>
      </c>
      <c r="J581" t="s">
        <v>215</v>
      </c>
      <c r="K581">
        <v>45853</v>
      </c>
      <c r="M581" t="s">
        <v>345</v>
      </c>
    </row>
    <row r="582" spans="1:13">
      <c r="B582" t="s">
        <v>2300</v>
      </c>
      <c r="C582" t="s">
        <v>1484</v>
      </c>
      <c r="D582" s="57">
        <v>45596</v>
      </c>
      <c r="E582" s="57">
        <v>45626</v>
      </c>
      <c r="F582" t="s">
        <v>16</v>
      </c>
      <c r="G582" s="11">
        <v>1300</v>
      </c>
      <c r="H582" t="s">
        <v>1485</v>
      </c>
      <c r="I582" t="s">
        <v>1486</v>
      </c>
      <c r="J582" t="s">
        <v>56</v>
      </c>
      <c r="K582">
        <v>45730</v>
      </c>
      <c r="L582">
        <v>1300</v>
      </c>
      <c r="M582" t="s">
        <v>111</v>
      </c>
    </row>
    <row r="583" spans="1:13">
      <c r="B583" t="s">
        <v>2300</v>
      </c>
      <c r="C583" t="s">
        <v>1487</v>
      </c>
      <c r="D583" s="57">
        <v>45656</v>
      </c>
      <c r="E583" s="57">
        <v>45716</v>
      </c>
      <c r="F583" t="s">
        <v>16</v>
      </c>
      <c r="G583" s="11">
        <v>1300</v>
      </c>
      <c r="H583" t="s">
        <v>1488</v>
      </c>
      <c r="I583" t="s">
        <v>1489</v>
      </c>
      <c r="J583" t="s">
        <v>56</v>
      </c>
    </row>
    <row r="584" spans="1:13">
      <c r="B584" t="s">
        <v>2302</v>
      </c>
      <c r="C584" t="s">
        <v>335</v>
      </c>
      <c r="D584" s="57">
        <v>45673</v>
      </c>
      <c r="E584" s="57">
        <v>45716</v>
      </c>
      <c r="F584" t="s">
        <v>16</v>
      </c>
      <c r="G584" s="11">
        <v>2500</v>
      </c>
      <c r="H584" t="s">
        <v>1494</v>
      </c>
      <c r="I584" t="s">
        <v>1231</v>
      </c>
      <c r="J584" t="s">
        <v>110</v>
      </c>
    </row>
    <row r="585" spans="1:13">
      <c r="A585">
        <v>2024</v>
      </c>
      <c r="B585" t="s">
        <v>2303</v>
      </c>
      <c r="C585" t="s">
        <v>1496</v>
      </c>
      <c r="D585" s="57">
        <v>45393</v>
      </c>
      <c r="F585" t="s">
        <v>16</v>
      </c>
      <c r="G585" s="11">
        <v>3928.09</v>
      </c>
      <c r="H585" t="s">
        <v>1497</v>
      </c>
      <c r="I585" t="s">
        <v>1498</v>
      </c>
      <c r="J585" t="s">
        <v>110</v>
      </c>
    </row>
    <row r="586" spans="1:13">
      <c r="A586">
        <v>2024</v>
      </c>
      <c r="B586" t="s">
        <v>2303</v>
      </c>
      <c r="C586" t="s">
        <v>1499</v>
      </c>
      <c r="D586" s="57">
        <v>45393</v>
      </c>
      <c r="F586" t="s">
        <v>16</v>
      </c>
      <c r="G586" s="11">
        <v>1000</v>
      </c>
      <c r="H586" t="s">
        <v>1500</v>
      </c>
      <c r="I586" t="s">
        <v>1501</v>
      </c>
      <c r="J586" t="s">
        <v>110</v>
      </c>
    </row>
    <row r="587" spans="1:13">
      <c r="A587" t="s">
        <v>1503</v>
      </c>
      <c r="B587" t="s">
        <v>2303</v>
      </c>
      <c r="C587" t="s">
        <v>1505</v>
      </c>
      <c r="D587" s="57">
        <v>45803</v>
      </c>
      <c r="G587" s="11">
        <v>80000</v>
      </c>
      <c r="H587" t="s">
        <v>1506</v>
      </c>
      <c r="I587" t="s">
        <v>312</v>
      </c>
      <c r="K587" t="s">
        <v>1507</v>
      </c>
      <c r="L587">
        <v>125000</v>
      </c>
    </row>
    <row r="588" spans="1:13">
      <c r="A588" t="s">
        <v>1503</v>
      </c>
      <c r="B588" t="s">
        <v>2303</v>
      </c>
      <c r="C588" t="s">
        <v>1508</v>
      </c>
      <c r="D588" s="57">
        <v>45803</v>
      </c>
      <c r="G588" s="11">
        <v>45000</v>
      </c>
      <c r="H588" t="s">
        <v>1509</v>
      </c>
      <c r="I588" t="s">
        <v>484</v>
      </c>
      <c r="L588" t="s">
        <v>1510</v>
      </c>
      <c r="M588" t="s">
        <v>2401</v>
      </c>
    </row>
    <row r="589" spans="1:13">
      <c r="A589" t="s">
        <v>1511</v>
      </c>
      <c r="B589" t="s">
        <v>2303</v>
      </c>
      <c r="G589" s="11">
        <v>25000</v>
      </c>
      <c r="I589" t="s">
        <v>1512</v>
      </c>
      <c r="J589" t="s">
        <v>1513</v>
      </c>
      <c r="L589">
        <v>100000</v>
      </c>
      <c r="M589" t="s">
        <v>1514</v>
      </c>
    </row>
    <row r="590" spans="1:13">
      <c r="A590" t="s">
        <v>1502</v>
      </c>
      <c r="B590" t="s">
        <v>2303</v>
      </c>
      <c r="F590" t="s">
        <v>49</v>
      </c>
      <c r="G590" s="11">
        <v>10000</v>
      </c>
      <c r="I590" t="s">
        <v>1503</v>
      </c>
      <c r="J590" t="s">
        <v>1504</v>
      </c>
      <c r="K590">
        <v>45873</v>
      </c>
      <c r="L590">
        <v>90000</v>
      </c>
      <c r="M590" t="s">
        <v>345</v>
      </c>
    </row>
    <row r="591" spans="1:13">
      <c r="A591" t="s">
        <v>1502</v>
      </c>
      <c r="B591" t="s">
        <v>2303</v>
      </c>
      <c r="F591" t="s">
        <v>49</v>
      </c>
      <c r="G591" s="11">
        <v>25000</v>
      </c>
      <c r="I591" t="s">
        <v>1503</v>
      </c>
      <c r="J591" t="s">
        <v>125</v>
      </c>
      <c r="K591">
        <v>45930</v>
      </c>
      <c r="L591">
        <v>65000</v>
      </c>
      <c r="M591" t="s">
        <v>345</v>
      </c>
    </row>
    <row r="592" spans="1:13">
      <c r="A592" t="s">
        <v>1502</v>
      </c>
      <c r="B592" t="s">
        <v>2303</v>
      </c>
      <c r="F592" t="s">
        <v>49</v>
      </c>
      <c r="G592" s="11">
        <v>13000</v>
      </c>
      <c r="I592" t="s">
        <v>1503</v>
      </c>
      <c r="J592" t="s">
        <v>374</v>
      </c>
      <c r="K592">
        <v>45957</v>
      </c>
      <c r="L592">
        <v>52000</v>
      </c>
      <c r="M592" t="s">
        <v>345</v>
      </c>
    </row>
    <row r="593" spans="1:13">
      <c r="A593" t="s">
        <v>1502</v>
      </c>
      <c r="B593" t="s">
        <v>2303</v>
      </c>
      <c r="F593" t="s">
        <v>49</v>
      </c>
      <c r="G593" s="11">
        <v>12000</v>
      </c>
      <c r="I593" t="s">
        <v>1503</v>
      </c>
      <c r="J593" t="s">
        <v>125</v>
      </c>
      <c r="K593">
        <v>45988</v>
      </c>
      <c r="L593">
        <v>40000</v>
      </c>
      <c r="M593" t="s">
        <v>345</v>
      </c>
    </row>
    <row r="594" spans="1:13">
      <c r="A594" t="s">
        <v>1502</v>
      </c>
      <c r="B594" t="s">
        <v>2303</v>
      </c>
      <c r="G594" s="11">
        <v>5000</v>
      </c>
      <c r="I594" t="s">
        <v>1503</v>
      </c>
      <c r="J594" t="s">
        <v>1504</v>
      </c>
      <c r="L594">
        <v>35000</v>
      </c>
    </row>
    <row r="595" spans="1:13">
      <c r="A595" t="s">
        <v>1502</v>
      </c>
      <c r="B595" t="s">
        <v>2303</v>
      </c>
      <c r="G595" s="11">
        <v>5000</v>
      </c>
      <c r="I595" t="s">
        <v>1503</v>
      </c>
      <c r="J595" t="s">
        <v>1504</v>
      </c>
      <c r="L595">
        <v>30000</v>
      </c>
    </row>
    <row r="596" spans="1:13">
      <c r="A596" t="s">
        <v>1502</v>
      </c>
      <c r="B596" t="s">
        <v>2303</v>
      </c>
      <c r="G596" s="11">
        <v>5000</v>
      </c>
      <c r="I596" t="s">
        <v>1503</v>
      </c>
      <c r="J596" t="s">
        <v>1504</v>
      </c>
      <c r="L596">
        <v>25000</v>
      </c>
    </row>
    <row r="597" spans="1:13">
      <c r="A597" t="s">
        <v>1502</v>
      </c>
      <c r="B597" t="s">
        <v>2303</v>
      </c>
      <c r="G597" s="11">
        <v>5000</v>
      </c>
      <c r="I597" t="s">
        <v>1503</v>
      </c>
      <c r="J597" t="s">
        <v>1504</v>
      </c>
      <c r="L597">
        <v>20000</v>
      </c>
    </row>
    <row r="598" spans="1:13">
      <c r="A598" t="s">
        <v>1502</v>
      </c>
      <c r="B598" t="s">
        <v>2303</v>
      </c>
      <c r="G598" s="11">
        <v>5000</v>
      </c>
      <c r="I598" t="s">
        <v>1503</v>
      </c>
      <c r="J598" t="s">
        <v>1504</v>
      </c>
      <c r="L598">
        <v>15000</v>
      </c>
    </row>
    <row r="599" spans="1:13">
      <c r="A599" t="s">
        <v>1502</v>
      </c>
      <c r="B599" t="s">
        <v>2303</v>
      </c>
      <c r="G599" s="11">
        <v>5000</v>
      </c>
      <c r="I599" t="s">
        <v>1503</v>
      </c>
      <c r="J599" t="s">
        <v>1504</v>
      </c>
      <c r="L599">
        <v>10000</v>
      </c>
    </row>
    <row r="600" spans="1:13">
      <c r="A600" t="s">
        <v>1502</v>
      </c>
      <c r="B600" t="s">
        <v>2303</v>
      </c>
      <c r="G600" s="11">
        <v>5000</v>
      </c>
      <c r="I600" t="s">
        <v>1503</v>
      </c>
      <c r="J600" t="s">
        <v>1504</v>
      </c>
      <c r="L600">
        <v>5000</v>
      </c>
    </row>
    <row r="601" spans="1:13">
      <c r="A601" t="s">
        <v>1502</v>
      </c>
      <c r="B601" t="s">
        <v>2303</v>
      </c>
      <c r="G601" s="11">
        <v>5000</v>
      </c>
      <c r="I601" t="s">
        <v>1503</v>
      </c>
      <c r="J601" t="s">
        <v>1504</v>
      </c>
      <c r="L601">
        <v>0</v>
      </c>
    </row>
    <row r="602" spans="1:13">
      <c r="B602" t="s">
        <v>2303</v>
      </c>
      <c r="C602" t="s">
        <v>1515</v>
      </c>
      <c r="D602" s="57">
        <v>45852</v>
      </c>
      <c r="E602" s="57">
        <v>45940</v>
      </c>
      <c r="F602" t="s">
        <v>16</v>
      </c>
      <c r="G602" s="11">
        <v>366</v>
      </c>
      <c r="H602" t="s">
        <v>1516</v>
      </c>
      <c r="I602" t="s">
        <v>1384</v>
      </c>
      <c r="J602" t="s">
        <v>110</v>
      </c>
      <c r="K602" t="s">
        <v>1517</v>
      </c>
      <c r="L602" t="s">
        <v>345</v>
      </c>
    </row>
    <row r="603" spans="1:13">
      <c r="B603" t="s">
        <v>2306</v>
      </c>
      <c r="C603" t="s">
        <v>1519</v>
      </c>
      <c r="D603" s="57">
        <v>45828</v>
      </c>
      <c r="F603" t="s">
        <v>16</v>
      </c>
      <c r="G603" s="11">
        <v>28.1</v>
      </c>
      <c r="H603" t="s">
        <v>1520</v>
      </c>
      <c r="I603" t="s">
        <v>457</v>
      </c>
      <c r="J603" t="s">
        <v>215</v>
      </c>
    </row>
    <row r="604" spans="1:13">
      <c r="B604" t="s">
        <v>2306</v>
      </c>
      <c r="C604" t="s">
        <v>1521</v>
      </c>
      <c r="D604" s="57">
        <v>45832</v>
      </c>
      <c r="F604" t="s">
        <v>16</v>
      </c>
      <c r="G604" s="11">
        <v>25.1</v>
      </c>
      <c r="H604" t="s">
        <v>1522</v>
      </c>
      <c r="I604" t="s">
        <v>457</v>
      </c>
      <c r="J604" t="s">
        <v>215</v>
      </c>
    </row>
    <row r="605" spans="1:13">
      <c r="B605" t="s">
        <v>2306</v>
      </c>
      <c r="C605" t="s">
        <v>1523</v>
      </c>
      <c r="D605" s="57">
        <v>45833</v>
      </c>
      <c r="F605" t="s">
        <v>16</v>
      </c>
      <c r="G605" s="11">
        <v>36.4</v>
      </c>
      <c r="H605" t="s">
        <v>1524</v>
      </c>
      <c r="I605" t="s">
        <v>457</v>
      </c>
      <c r="J605" t="s">
        <v>215</v>
      </c>
    </row>
    <row r="606" spans="1:13">
      <c r="B606" t="s">
        <v>2306</v>
      </c>
      <c r="C606" t="s">
        <v>1525</v>
      </c>
      <c r="D606" s="57">
        <v>45834</v>
      </c>
      <c r="F606" t="s">
        <v>16</v>
      </c>
      <c r="G606" s="11">
        <v>24.4</v>
      </c>
      <c r="H606" t="s">
        <v>1526</v>
      </c>
      <c r="I606" t="s">
        <v>1527</v>
      </c>
      <c r="J606" t="s">
        <v>215</v>
      </c>
    </row>
    <row r="607" spans="1:13">
      <c r="B607" t="s">
        <v>2306</v>
      </c>
      <c r="C607" t="s">
        <v>1528</v>
      </c>
      <c r="D607" s="57">
        <v>45835</v>
      </c>
      <c r="F607" t="s">
        <v>16</v>
      </c>
      <c r="G607" s="11">
        <v>24.4</v>
      </c>
      <c r="H607" t="s">
        <v>1529</v>
      </c>
      <c r="I607" t="s">
        <v>457</v>
      </c>
      <c r="J607" t="s">
        <v>215</v>
      </c>
    </row>
    <row r="608" spans="1:13">
      <c r="B608" t="s">
        <v>2306</v>
      </c>
      <c r="C608" t="s">
        <v>1530</v>
      </c>
      <c r="D608" s="57">
        <v>45838</v>
      </c>
      <c r="F608" t="s">
        <v>16</v>
      </c>
      <c r="G608" s="11">
        <v>33.200000000000003</v>
      </c>
      <c r="H608" t="s">
        <v>1531</v>
      </c>
      <c r="I608" t="s">
        <v>457</v>
      </c>
      <c r="J608" t="s">
        <v>215</v>
      </c>
    </row>
    <row r="609" spans="1:13">
      <c r="B609" t="s">
        <v>2306</v>
      </c>
      <c r="C609" t="s">
        <v>1532</v>
      </c>
      <c r="D609" s="57" t="s">
        <v>1533</v>
      </c>
      <c r="F609" t="s">
        <v>16</v>
      </c>
      <c r="G609" s="11">
        <v>24.7</v>
      </c>
      <c r="H609" t="s">
        <v>1534</v>
      </c>
      <c r="I609" t="s">
        <v>457</v>
      </c>
      <c r="J609" t="s">
        <v>215</v>
      </c>
    </row>
    <row r="610" spans="1:13">
      <c r="B610" t="s">
        <v>2306</v>
      </c>
      <c r="C610" t="s">
        <v>1535</v>
      </c>
      <c r="D610" s="57">
        <v>45840</v>
      </c>
      <c r="F610" t="s">
        <v>16</v>
      </c>
      <c r="G610" s="11">
        <v>25.2</v>
      </c>
      <c r="H610" t="s">
        <v>1536</v>
      </c>
      <c r="I610" t="s">
        <v>457</v>
      </c>
      <c r="J610" t="s">
        <v>215</v>
      </c>
    </row>
    <row r="611" spans="1:13">
      <c r="B611" t="s">
        <v>2306</v>
      </c>
      <c r="C611" t="s">
        <v>1537</v>
      </c>
      <c r="D611" s="57">
        <v>45841</v>
      </c>
      <c r="F611" t="s">
        <v>16</v>
      </c>
      <c r="G611" s="11">
        <v>22.7</v>
      </c>
      <c r="H611" t="s">
        <v>1538</v>
      </c>
      <c r="I611" t="s">
        <v>457</v>
      </c>
      <c r="J611" t="s">
        <v>215</v>
      </c>
    </row>
    <row r="612" spans="1:13">
      <c r="B612" t="s">
        <v>2306</v>
      </c>
      <c r="C612" t="s">
        <v>1539</v>
      </c>
      <c r="D612" s="57">
        <v>45842</v>
      </c>
      <c r="F612" t="s">
        <v>16</v>
      </c>
      <c r="G612" s="11">
        <v>35.1</v>
      </c>
      <c r="H612" t="s">
        <v>1540</v>
      </c>
      <c r="I612" t="s">
        <v>457</v>
      </c>
      <c r="J612" t="s">
        <v>215</v>
      </c>
    </row>
    <row r="613" spans="1:13">
      <c r="B613" t="s">
        <v>2306</v>
      </c>
      <c r="C613" t="s">
        <v>1541</v>
      </c>
      <c r="D613" s="57">
        <v>45845</v>
      </c>
      <c r="F613" t="s">
        <v>16</v>
      </c>
      <c r="G613" s="11">
        <v>33.700000000000003</v>
      </c>
      <c r="H613" t="s">
        <v>1542</v>
      </c>
      <c r="I613" t="s">
        <v>457</v>
      </c>
      <c r="J613" t="s">
        <v>215</v>
      </c>
    </row>
    <row r="614" spans="1:13">
      <c r="B614" t="s">
        <v>2306</v>
      </c>
      <c r="C614" t="s">
        <v>1543</v>
      </c>
      <c r="D614" s="57">
        <v>45869</v>
      </c>
      <c r="F614" t="s">
        <v>16</v>
      </c>
      <c r="G614" s="11">
        <v>457.6</v>
      </c>
      <c r="H614" t="s">
        <v>1544</v>
      </c>
      <c r="I614" t="s">
        <v>457</v>
      </c>
      <c r="J614" t="s">
        <v>66</v>
      </c>
      <c r="K614">
        <v>45972</v>
      </c>
      <c r="L614">
        <v>482</v>
      </c>
      <c r="M614" t="s">
        <v>1545</v>
      </c>
    </row>
    <row r="615" spans="1:13">
      <c r="B615" t="s">
        <v>2306</v>
      </c>
      <c r="C615" t="s">
        <v>1546</v>
      </c>
      <c r="D615" s="57">
        <v>45898</v>
      </c>
      <c r="F615" t="s">
        <v>16</v>
      </c>
      <c r="G615" s="11">
        <v>24.4</v>
      </c>
      <c r="H615" t="s">
        <v>1547</v>
      </c>
      <c r="I615" t="s">
        <v>457</v>
      </c>
      <c r="J615" t="s">
        <v>66</v>
      </c>
      <c r="K615">
        <v>45972</v>
      </c>
      <c r="L615">
        <v>482</v>
      </c>
      <c r="M615" t="s">
        <v>1545</v>
      </c>
    </row>
    <row r="616" spans="1:13">
      <c r="B616" t="s">
        <v>2308</v>
      </c>
      <c r="C616" t="s">
        <v>338</v>
      </c>
      <c r="D616" s="57">
        <v>45664</v>
      </c>
      <c r="E616" s="57">
        <v>45664</v>
      </c>
      <c r="F616" t="s">
        <v>16</v>
      </c>
      <c r="G616" s="11">
        <v>-801.94</v>
      </c>
      <c r="H616" t="s">
        <v>1549</v>
      </c>
      <c r="I616" t="s">
        <v>1550</v>
      </c>
      <c r="J616" t="s">
        <v>56</v>
      </c>
    </row>
    <row r="617" spans="1:13">
      <c r="A617" t="s">
        <v>13</v>
      </c>
      <c r="B617" t="s">
        <v>2309</v>
      </c>
      <c r="C617" t="s">
        <v>1552</v>
      </c>
      <c r="D617" s="57">
        <v>45808</v>
      </c>
      <c r="E617" s="57">
        <v>45869</v>
      </c>
      <c r="F617" t="s">
        <v>49</v>
      </c>
      <c r="G617" s="11">
        <v>2325</v>
      </c>
      <c r="H617" t="s">
        <v>1553</v>
      </c>
      <c r="I617" t="s">
        <v>1554</v>
      </c>
      <c r="J617" t="s">
        <v>56</v>
      </c>
      <c r="K617">
        <v>45950</v>
      </c>
      <c r="L617">
        <v>2325</v>
      </c>
      <c r="M617" t="s">
        <v>1555</v>
      </c>
    </row>
    <row r="618" spans="1:13">
      <c r="A618" t="s">
        <v>13</v>
      </c>
      <c r="B618" t="s">
        <v>2309</v>
      </c>
      <c r="C618" t="s">
        <v>1556</v>
      </c>
      <c r="D618" s="57">
        <v>45808</v>
      </c>
      <c r="E618" s="57">
        <v>45869</v>
      </c>
      <c r="F618" t="s">
        <v>49</v>
      </c>
      <c r="G618" s="11">
        <v>2000</v>
      </c>
      <c r="H618" t="s">
        <v>1557</v>
      </c>
      <c r="I618" t="s">
        <v>1558</v>
      </c>
      <c r="J618" t="s">
        <v>56</v>
      </c>
      <c r="K618">
        <v>45950</v>
      </c>
      <c r="L618">
        <v>1070</v>
      </c>
      <c r="M618" t="s">
        <v>1555</v>
      </c>
    </row>
    <row r="619" spans="1:13">
      <c r="A619" t="s">
        <v>13</v>
      </c>
      <c r="B619" t="s">
        <v>2309</v>
      </c>
      <c r="C619" t="s">
        <v>1556</v>
      </c>
      <c r="D619" s="57">
        <v>45808</v>
      </c>
      <c r="E619" s="57">
        <v>45869</v>
      </c>
      <c r="F619" t="s">
        <v>49</v>
      </c>
      <c r="G619" s="11">
        <v>930</v>
      </c>
      <c r="I619" t="s">
        <v>1558</v>
      </c>
      <c r="J619" t="s">
        <v>56</v>
      </c>
      <c r="K619">
        <v>45951</v>
      </c>
      <c r="L619">
        <v>930</v>
      </c>
      <c r="M619" t="s">
        <v>1559</v>
      </c>
    </row>
    <row r="620" spans="1:13">
      <c r="A620" t="s">
        <v>13</v>
      </c>
      <c r="B620" t="s">
        <v>2309</v>
      </c>
      <c r="C620" t="s">
        <v>1560</v>
      </c>
      <c r="D620" s="57">
        <v>45887</v>
      </c>
      <c r="E620" s="57">
        <v>45961</v>
      </c>
      <c r="F620" t="s">
        <v>49</v>
      </c>
      <c r="G620" s="11">
        <v>1370</v>
      </c>
      <c r="H620" t="s">
        <v>1561</v>
      </c>
      <c r="I620" t="s">
        <v>436</v>
      </c>
      <c r="J620" t="s">
        <v>56</v>
      </c>
      <c r="K620">
        <v>45951</v>
      </c>
      <c r="L620">
        <v>1370</v>
      </c>
      <c r="M620" t="s">
        <v>1559</v>
      </c>
    </row>
    <row r="621" spans="1:13">
      <c r="A621" t="s">
        <v>1562</v>
      </c>
      <c r="B621" t="s">
        <v>2310</v>
      </c>
      <c r="C621" t="s">
        <v>1564</v>
      </c>
      <c r="D621" s="57">
        <v>45954</v>
      </c>
      <c r="E621" s="57">
        <v>45954</v>
      </c>
      <c r="G621" s="11">
        <v>355.05</v>
      </c>
      <c r="I621" t="s">
        <v>1565</v>
      </c>
      <c r="J621" t="s">
        <v>825</v>
      </c>
      <c r="K621">
        <v>45954</v>
      </c>
      <c r="L621">
        <v>355.05</v>
      </c>
      <c r="M621" t="s">
        <v>1566</v>
      </c>
    </row>
    <row r="622" spans="1:13">
      <c r="A622" t="s">
        <v>13</v>
      </c>
      <c r="B622" t="s">
        <v>2312</v>
      </c>
      <c r="C622" t="s">
        <v>1568</v>
      </c>
      <c r="D622" s="57">
        <v>45688</v>
      </c>
      <c r="F622" t="s">
        <v>16</v>
      </c>
      <c r="G622" s="11">
        <v>3850</v>
      </c>
      <c r="H622" t="s">
        <v>1569</v>
      </c>
      <c r="I622" t="s">
        <v>312</v>
      </c>
      <c r="J622" t="s">
        <v>56</v>
      </c>
      <c r="K622">
        <v>45765</v>
      </c>
      <c r="L622">
        <v>3850</v>
      </c>
    </row>
    <row r="623" spans="1:13">
      <c r="A623" t="s">
        <v>13</v>
      </c>
      <c r="B623" t="s">
        <v>2312</v>
      </c>
      <c r="C623" t="s">
        <v>1568</v>
      </c>
      <c r="D623" s="57">
        <v>45688</v>
      </c>
      <c r="F623" t="s">
        <v>16</v>
      </c>
      <c r="G623" s="11">
        <v>3226</v>
      </c>
      <c r="H623" t="s">
        <v>1569</v>
      </c>
      <c r="I623" t="s">
        <v>312</v>
      </c>
      <c r="J623" t="s">
        <v>56</v>
      </c>
      <c r="K623">
        <v>45792</v>
      </c>
      <c r="L623">
        <v>3850</v>
      </c>
    </row>
    <row r="624" spans="1:13">
      <c r="A624" t="s">
        <v>13</v>
      </c>
      <c r="B624" t="s">
        <v>2312</v>
      </c>
      <c r="C624" t="s">
        <v>1570</v>
      </c>
      <c r="D624" s="57">
        <v>45688</v>
      </c>
      <c r="F624" t="s">
        <v>16</v>
      </c>
      <c r="G624" s="11">
        <v>280.60000000000002</v>
      </c>
      <c r="H624" t="s">
        <v>1571</v>
      </c>
      <c r="J624" t="s">
        <v>56</v>
      </c>
      <c r="K624">
        <v>45792</v>
      </c>
      <c r="L624">
        <v>3850</v>
      </c>
    </row>
    <row r="625" spans="1:13">
      <c r="A625" t="s">
        <v>13</v>
      </c>
      <c r="B625" t="s">
        <v>2312</v>
      </c>
      <c r="C625" t="s">
        <v>1572</v>
      </c>
      <c r="D625" s="57">
        <v>45596</v>
      </c>
      <c r="E625" s="57">
        <v>45667</v>
      </c>
      <c r="F625" t="s">
        <v>16</v>
      </c>
      <c r="G625" s="11">
        <v>343.40000000000009</v>
      </c>
      <c r="H625" t="s">
        <v>1573</v>
      </c>
      <c r="I625" t="s">
        <v>1231</v>
      </c>
      <c r="J625" t="s">
        <v>56</v>
      </c>
      <c r="K625">
        <v>45817</v>
      </c>
      <c r="L625">
        <v>3850</v>
      </c>
    </row>
    <row r="626" spans="1:13">
      <c r="A626" t="s">
        <v>13</v>
      </c>
      <c r="B626" t="s">
        <v>2312</v>
      </c>
      <c r="C626" t="s">
        <v>1572</v>
      </c>
      <c r="D626" s="57">
        <v>45596</v>
      </c>
      <c r="E626" s="57">
        <v>45667</v>
      </c>
      <c r="F626" t="s">
        <v>16</v>
      </c>
      <c r="G626" s="11">
        <v>3850</v>
      </c>
      <c r="H626" t="s">
        <v>1573</v>
      </c>
      <c r="I626" t="s">
        <v>1231</v>
      </c>
      <c r="J626" t="s">
        <v>56</v>
      </c>
      <c r="K626">
        <v>45855</v>
      </c>
      <c r="L626">
        <v>3837.17</v>
      </c>
      <c r="M626" t="s">
        <v>1574</v>
      </c>
    </row>
    <row r="627" spans="1:13">
      <c r="A627" t="s">
        <v>13</v>
      </c>
      <c r="B627" t="s">
        <v>2312</v>
      </c>
      <c r="C627" t="s">
        <v>1572</v>
      </c>
      <c r="D627" s="57">
        <v>45596</v>
      </c>
      <c r="E627" s="57">
        <v>45667</v>
      </c>
      <c r="F627" t="s">
        <v>16</v>
      </c>
      <c r="G627" s="11">
        <v>2276.3799999999992</v>
      </c>
      <c r="H627" t="s">
        <v>1573</v>
      </c>
      <c r="I627" t="s">
        <v>1231</v>
      </c>
      <c r="J627" t="s">
        <v>56</v>
      </c>
      <c r="K627">
        <v>45845</v>
      </c>
      <c r="L627">
        <v>1810</v>
      </c>
      <c r="M627" t="s">
        <v>1575</v>
      </c>
    </row>
    <row r="628" spans="1:13">
      <c r="A628" t="s">
        <v>13</v>
      </c>
      <c r="B628" t="s">
        <v>2312</v>
      </c>
      <c r="C628" t="s">
        <v>1576</v>
      </c>
      <c r="D628" s="57">
        <v>45716</v>
      </c>
      <c r="F628" t="s">
        <v>16</v>
      </c>
      <c r="G628" s="11">
        <v>366</v>
      </c>
      <c r="H628" t="s">
        <v>1577</v>
      </c>
      <c r="I628" t="s">
        <v>1578</v>
      </c>
      <c r="J628" t="s">
        <v>56</v>
      </c>
      <c r="K628">
        <v>45845</v>
      </c>
      <c r="L628">
        <v>1810</v>
      </c>
      <c r="M628" t="s">
        <v>1575</v>
      </c>
    </row>
    <row r="629" spans="1:13">
      <c r="A629" t="s">
        <v>13</v>
      </c>
      <c r="B629" t="s">
        <v>2312</v>
      </c>
      <c r="C629" t="s">
        <v>1579</v>
      </c>
      <c r="D629" s="57">
        <v>45747</v>
      </c>
      <c r="F629" t="s">
        <v>16</v>
      </c>
      <c r="G629" s="11">
        <v>366</v>
      </c>
      <c r="H629" t="s">
        <v>1580</v>
      </c>
      <c r="I629" t="s">
        <v>1578</v>
      </c>
      <c r="J629" t="s">
        <v>56</v>
      </c>
      <c r="K629">
        <v>45845</v>
      </c>
      <c r="L629">
        <v>1810</v>
      </c>
      <c r="M629" t="s">
        <v>1575</v>
      </c>
    </row>
    <row r="630" spans="1:13">
      <c r="A630" t="s">
        <v>13</v>
      </c>
      <c r="B630" t="s">
        <v>2312</v>
      </c>
      <c r="C630" t="s">
        <v>1581</v>
      </c>
      <c r="D630" s="57">
        <v>45777</v>
      </c>
      <c r="F630" t="s">
        <v>16</v>
      </c>
      <c r="G630" s="11">
        <v>366</v>
      </c>
      <c r="H630" t="s">
        <v>1582</v>
      </c>
      <c r="I630" t="s">
        <v>1578</v>
      </c>
      <c r="J630" t="s">
        <v>56</v>
      </c>
      <c r="K630">
        <v>45845</v>
      </c>
      <c r="L630">
        <v>1810</v>
      </c>
      <c r="M630" t="s">
        <v>1575</v>
      </c>
    </row>
    <row r="631" spans="1:13">
      <c r="A631" t="s">
        <v>13</v>
      </c>
      <c r="B631" t="s">
        <v>2312</v>
      </c>
      <c r="C631" t="s">
        <v>1583</v>
      </c>
      <c r="D631" s="57">
        <v>45808</v>
      </c>
      <c r="E631" s="57">
        <v>45808</v>
      </c>
      <c r="F631" t="s">
        <v>16</v>
      </c>
      <c r="G631" s="11">
        <v>366</v>
      </c>
      <c r="H631" t="s">
        <v>1584</v>
      </c>
      <c r="I631" t="s">
        <v>1578</v>
      </c>
      <c r="J631" t="s">
        <v>56</v>
      </c>
      <c r="K631">
        <v>45845</v>
      </c>
      <c r="L631">
        <v>1810</v>
      </c>
      <c r="M631" t="s">
        <v>1575</v>
      </c>
    </row>
    <row r="632" spans="1:13">
      <c r="A632" t="s">
        <v>13</v>
      </c>
      <c r="B632" t="s">
        <v>2312</v>
      </c>
      <c r="C632" t="s">
        <v>1585</v>
      </c>
      <c r="D632" s="57">
        <v>45838</v>
      </c>
      <c r="F632" t="s">
        <v>16</v>
      </c>
      <c r="G632" s="11">
        <v>366</v>
      </c>
      <c r="I632" t="s">
        <v>1578</v>
      </c>
      <c r="J632" t="s">
        <v>56</v>
      </c>
      <c r="K632">
        <v>45730</v>
      </c>
      <c r="L632">
        <v>1476.88</v>
      </c>
      <c r="M632" t="s">
        <v>111</v>
      </c>
    </row>
    <row r="633" spans="1:13">
      <c r="B633" t="s">
        <v>2313</v>
      </c>
      <c r="C633" t="s">
        <v>1587</v>
      </c>
      <c r="D633" s="57">
        <v>45898</v>
      </c>
      <c r="F633" t="s">
        <v>16</v>
      </c>
      <c r="G633" s="11">
        <v>80.06</v>
      </c>
      <c r="H633" t="s">
        <v>1588</v>
      </c>
      <c r="I633" t="s">
        <v>889</v>
      </c>
      <c r="J633" t="s">
        <v>794</v>
      </c>
    </row>
    <row r="634" spans="1:13">
      <c r="B634" t="s">
        <v>2314</v>
      </c>
      <c r="C634" t="s">
        <v>1594</v>
      </c>
      <c r="D634" s="57">
        <v>45761</v>
      </c>
      <c r="E634" s="57">
        <v>45821</v>
      </c>
      <c r="F634" t="s">
        <v>16</v>
      </c>
      <c r="G634" s="11">
        <v>1447.7</v>
      </c>
      <c r="I634" t="s">
        <v>1591</v>
      </c>
      <c r="K634">
        <v>45876</v>
      </c>
      <c r="L634">
        <v>1476.88</v>
      </c>
    </row>
    <row r="635" spans="1:13">
      <c r="B635" t="s">
        <v>2314</v>
      </c>
      <c r="C635" t="s">
        <v>1595</v>
      </c>
      <c r="D635" s="57">
        <v>45851</v>
      </c>
      <c r="F635" t="s">
        <v>16</v>
      </c>
      <c r="G635" s="11">
        <v>29.18000000000006</v>
      </c>
      <c r="I635" t="s">
        <v>1591</v>
      </c>
    </row>
    <row r="636" spans="1:13">
      <c r="B636" t="s">
        <v>2314</v>
      </c>
      <c r="C636" t="s">
        <v>1596</v>
      </c>
      <c r="D636" s="57">
        <v>45901</v>
      </c>
      <c r="F636" t="s">
        <v>16</v>
      </c>
      <c r="G636" s="11">
        <v>1361.42</v>
      </c>
      <c r="I636" t="s">
        <v>1597</v>
      </c>
    </row>
    <row r="637" spans="1:13">
      <c r="B637" t="s">
        <v>2316</v>
      </c>
      <c r="C637" t="s">
        <v>1590</v>
      </c>
      <c r="D637" s="57">
        <v>45671</v>
      </c>
      <c r="F637" t="s">
        <v>16</v>
      </c>
      <c r="G637" s="11">
        <v>1476.88</v>
      </c>
      <c r="I637" t="s">
        <v>1591</v>
      </c>
      <c r="K637">
        <v>45730</v>
      </c>
      <c r="L637">
        <v>1476.88</v>
      </c>
      <c r="M637" t="s">
        <v>111</v>
      </c>
    </row>
    <row r="638" spans="1:13">
      <c r="B638" t="s">
        <v>2316</v>
      </c>
      <c r="C638" t="s">
        <v>1592</v>
      </c>
      <c r="D638" s="57">
        <v>45876</v>
      </c>
      <c r="F638" t="s">
        <v>16</v>
      </c>
      <c r="G638" s="11">
        <v>1476.88</v>
      </c>
      <c r="I638" t="s">
        <v>1591</v>
      </c>
      <c r="K638">
        <v>45876</v>
      </c>
      <c r="L638">
        <v>1476.88</v>
      </c>
    </row>
    <row r="639" spans="1:13">
      <c r="A639">
        <v>2023</v>
      </c>
      <c r="B639" t="s">
        <v>2318</v>
      </c>
      <c r="C639" t="s">
        <v>255</v>
      </c>
      <c r="D639" s="57">
        <v>45226</v>
      </c>
      <c r="E639" s="57">
        <v>45240</v>
      </c>
      <c r="F639" t="s">
        <v>16</v>
      </c>
      <c r="G639" s="11">
        <v>2000</v>
      </c>
      <c r="H639" t="s">
        <v>256</v>
      </c>
      <c r="I639" t="s">
        <v>257</v>
      </c>
      <c r="J639" t="s">
        <v>56</v>
      </c>
      <c r="K639">
        <v>45945</v>
      </c>
      <c r="L639">
        <v>2000</v>
      </c>
    </row>
    <row r="640" spans="1:13">
      <c r="A640">
        <v>2023</v>
      </c>
      <c r="B640" t="s">
        <v>2318</v>
      </c>
      <c r="C640" t="s">
        <v>255</v>
      </c>
      <c r="D640" s="57">
        <v>45226</v>
      </c>
      <c r="E640" s="57">
        <v>45240</v>
      </c>
      <c r="G640" s="11">
        <v>299.59000000000009</v>
      </c>
      <c r="H640" t="s">
        <v>256</v>
      </c>
      <c r="I640" t="s">
        <v>257</v>
      </c>
      <c r="J640" t="s">
        <v>56</v>
      </c>
    </row>
    <row r="641" spans="1:13">
      <c r="A641">
        <v>2023</v>
      </c>
      <c r="B641" t="s">
        <v>2318</v>
      </c>
      <c r="C641" t="s">
        <v>258</v>
      </c>
      <c r="D641" s="57">
        <v>45236</v>
      </c>
      <c r="E641" s="57">
        <v>45270</v>
      </c>
      <c r="G641" s="11">
        <v>1723.02</v>
      </c>
      <c r="H641" t="s">
        <v>259</v>
      </c>
      <c r="I641" t="s">
        <v>257</v>
      </c>
      <c r="J641" t="s">
        <v>56</v>
      </c>
    </row>
    <row r="642" spans="1:13">
      <c r="A642">
        <v>2023</v>
      </c>
      <c r="B642" t="s">
        <v>2318</v>
      </c>
      <c r="C642" t="s">
        <v>260</v>
      </c>
      <c r="D642" s="57">
        <v>45250</v>
      </c>
      <c r="E642" s="57">
        <v>45270</v>
      </c>
      <c r="G642" s="11">
        <v>1519.91</v>
      </c>
      <c r="H642" t="s">
        <v>261</v>
      </c>
      <c r="I642" t="s">
        <v>257</v>
      </c>
      <c r="J642" t="s">
        <v>56</v>
      </c>
    </row>
    <row r="643" spans="1:13">
      <c r="A643">
        <v>2023</v>
      </c>
      <c r="B643" t="s">
        <v>2318</v>
      </c>
      <c r="C643" t="s">
        <v>262</v>
      </c>
      <c r="D643" s="57">
        <v>45260</v>
      </c>
      <c r="E643" s="57">
        <v>45301</v>
      </c>
      <c r="G643" s="11">
        <v>1822.6</v>
      </c>
      <c r="H643" t="s">
        <v>263</v>
      </c>
      <c r="I643" t="s">
        <v>257</v>
      </c>
      <c r="J643" t="s">
        <v>56</v>
      </c>
    </row>
    <row r="644" spans="1:13">
      <c r="B644" t="s">
        <v>2318</v>
      </c>
      <c r="C644" t="s">
        <v>1599</v>
      </c>
      <c r="D644" s="57">
        <v>45642</v>
      </c>
      <c r="G644" s="11">
        <v>3615.15</v>
      </c>
      <c r="I644" t="s">
        <v>1600</v>
      </c>
      <c r="J644" t="s">
        <v>56</v>
      </c>
    </row>
    <row r="645" spans="1:13">
      <c r="B645" t="s">
        <v>2320</v>
      </c>
      <c r="C645" t="s">
        <v>1602</v>
      </c>
      <c r="D645" s="57">
        <v>45677</v>
      </c>
      <c r="F645" t="s">
        <v>16</v>
      </c>
      <c r="G645" s="11">
        <v>300</v>
      </c>
      <c r="H645" t="s">
        <v>1603</v>
      </c>
      <c r="I645" t="s">
        <v>1604</v>
      </c>
    </row>
    <row r="646" spans="1:13">
      <c r="B646" t="s">
        <v>2320</v>
      </c>
      <c r="C646" t="s">
        <v>1602</v>
      </c>
      <c r="D646" s="57">
        <v>45677</v>
      </c>
      <c r="F646" t="s">
        <v>16</v>
      </c>
      <c r="G646" s="11">
        <v>51.06</v>
      </c>
      <c r="H646" t="s">
        <v>1603</v>
      </c>
      <c r="I646" t="s">
        <v>1604</v>
      </c>
      <c r="J646" t="s">
        <v>799</v>
      </c>
    </row>
    <row r="647" spans="1:13">
      <c r="B647" t="s">
        <v>2320</v>
      </c>
      <c r="C647" t="s">
        <v>1605</v>
      </c>
      <c r="D647" s="57">
        <v>45511</v>
      </c>
      <c r="F647" t="s">
        <v>16</v>
      </c>
      <c r="G647" s="11">
        <v>43.06</v>
      </c>
      <c r="H647" t="s">
        <v>1606</v>
      </c>
      <c r="I647" t="s">
        <v>1607</v>
      </c>
      <c r="J647" t="s">
        <v>185</v>
      </c>
    </row>
    <row r="648" spans="1:13">
      <c r="B648" t="s">
        <v>2320</v>
      </c>
      <c r="C648" t="s">
        <v>1608</v>
      </c>
      <c r="D648" s="57">
        <v>45650</v>
      </c>
      <c r="E648" s="57">
        <v>45673</v>
      </c>
      <c r="G648" s="11">
        <v>283.26</v>
      </c>
      <c r="H648" t="s">
        <v>1609</v>
      </c>
      <c r="I648" t="s">
        <v>1610</v>
      </c>
      <c r="J648" t="s">
        <v>185</v>
      </c>
    </row>
    <row r="649" spans="1:13">
      <c r="B649" t="s">
        <v>2320</v>
      </c>
      <c r="C649" t="s">
        <v>1611</v>
      </c>
      <c r="D649" s="57">
        <v>45650</v>
      </c>
      <c r="E649" s="57">
        <v>45673</v>
      </c>
      <c r="G649" s="11">
        <v>320.89999999999998</v>
      </c>
      <c r="H649" t="s">
        <v>1612</v>
      </c>
      <c r="I649" t="s">
        <v>1610</v>
      </c>
      <c r="J649" t="s">
        <v>185</v>
      </c>
    </row>
    <row r="650" spans="1:13">
      <c r="B650" t="s">
        <v>2320</v>
      </c>
      <c r="C650" t="s">
        <v>1613</v>
      </c>
      <c r="D650" s="57">
        <v>45650</v>
      </c>
      <c r="E650" s="57">
        <v>45673</v>
      </c>
      <c r="G650" s="11">
        <v>509.8</v>
      </c>
      <c r="H650" t="s">
        <v>1614</v>
      </c>
      <c r="J650" t="s">
        <v>1198</v>
      </c>
    </row>
    <row r="651" spans="1:13">
      <c r="B651" t="s">
        <v>2320</v>
      </c>
      <c r="C651" t="s">
        <v>1615</v>
      </c>
      <c r="D651" s="57">
        <v>45650</v>
      </c>
      <c r="E651" s="57">
        <v>45673</v>
      </c>
      <c r="G651" s="11">
        <v>71.260000000000005</v>
      </c>
      <c r="H651" t="s">
        <v>1616</v>
      </c>
      <c r="I651" t="s">
        <v>1610</v>
      </c>
      <c r="J651" t="s">
        <v>185</v>
      </c>
      <c r="K651">
        <v>45853</v>
      </c>
      <c r="L651">
        <v>1378.6</v>
      </c>
    </row>
    <row r="652" spans="1:13">
      <c r="B652" t="s">
        <v>2321</v>
      </c>
      <c r="C652" t="s">
        <v>1618</v>
      </c>
      <c r="D652" s="57">
        <v>45688</v>
      </c>
      <c r="E652" s="57">
        <v>45747</v>
      </c>
      <c r="G652" s="11">
        <v>323.58</v>
      </c>
      <c r="H652" t="s">
        <v>1619</v>
      </c>
      <c r="I652" t="s">
        <v>279</v>
      </c>
      <c r="J652" t="s">
        <v>110</v>
      </c>
      <c r="K652">
        <v>45853</v>
      </c>
      <c r="L652">
        <v>1378.6</v>
      </c>
      <c r="M652" t="s">
        <v>1620</v>
      </c>
    </row>
    <row r="653" spans="1:13">
      <c r="B653" t="s">
        <v>2321</v>
      </c>
      <c r="C653" t="s">
        <v>1621</v>
      </c>
      <c r="D653" s="57">
        <v>45443</v>
      </c>
      <c r="E653" s="57">
        <v>45504</v>
      </c>
      <c r="G653" s="11">
        <v>192.13</v>
      </c>
      <c r="H653" t="s">
        <v>1622</v>
      </c>
      <c r="I653" t="s">
        <v>1623</v>
      </c>
      <c r="J653" t="s">
        <v>110</v>
      </c>
      <c r="K653">
        <v>45853</v>
      </c>
      <c r="L653">
        <v>1378.6</v>
      </c>
      <c r="M653" t="s">
        <v>1620</v>
      </c>
    </row>
    <row r="654" spans="1:13">
      <c r="B654" t="s">
        <v>2321</v>
      </c>
      <c r="C654" t="s">
        <v>1624</v>
      </c>
      <c r="D654" s="57">
        <v>45596</v>
      </c>
      <c r="E654" s="57">
        <v>45667</v>
      </c>
      <c r="G654" s="11">
        <v>596.57000000000005</v>
      </c>
      <c r="H654" t="s">
        <v>1625</v>
      </c>
      <c r="I654" t="s">
        <v>1626</v>
      </c>
      <c r="J654" t="s">
        <v>110</v>
      </c>
      <c r="K654">
        <v>45853</v>
      </c>
      <c r="L654">
        <v>1378.6</v>
      </c>
      <c r="M654" t="s">
        <v>1620</v>
      </c>
    </row>
    <row r="655" spans="1:13">
      <c r="B655" t="s">
        <v>2321</v>
      </c>
      <c r="C655" t="s">
        <v>1627</v>
      </c>
      <c r="D655" s="57">
        <v>45777</v>
      </c>
      <c r="E655" s="57">
        <v>45838</v>
      </c>
      <c r="G655" s="11">
        <v>266.32</v>
      </c>
      <c r="H655" t="s">
        <v>1628</v>
      </c>
      <c r="J655" t="s">
        <v>110</v>
      </c>
    </row>
    <row r="656" spans="1:13">
      <c r="B656" t="s">
        <v>2321</v>
      </c>
      <c r="C656" t="s">
        <v>1627</v>
      </c>
      <c r="D656" s="57">
        <v>45777</v>
      </c>
      <c r="E656" s="57">
        <v>45838</v>
      </c>
      <c r="G656" s="11">
        <v>29.3</v>
      </c>
      <c r="H656" t="s">
        <v>1628</v>
      </c>
      <c r="J656" t="s">
        <v>110</v>
      </c>
    </row>
    <row r="657" spans="1:13">
      <c r="B657" t="s">
        <v>2321</v>
      </c>
      <c r="C657" t="s">
        <v>1629</v>
      </c>
      <c r="D657" s="57">
        <v>45869</v>
      </c>
      <c r="E657" s="57">
        <v>45930</v>
      </c>
      <c r="G657" s="11">
        <v>408.19</v>
      </c>
      <c r="H657" t="s">
        <v>1630</v>
      </c>
      <c r="I657" t="s">
        <v>1631</v>
      </c>
      <c r="J657" t="s">
        <v>110</v>
      </c>
    </row>
    <row r="658" spans="1:13">
      <c r="B658" t="s">
        <v>2321</v>
      </c>
      <c r="C658" t="s">
        <v>1632</v>
      </c>
      <c r="D658" s="57">
        <v>45961</v>
      </c>
      <c r="E658" s="57">
        <v>46032</v>
      </c>
      <c r="G658" s="11">
        <v>344.93</v>
      </c>
      <c r="I658" t="s">
        <v>1631</v>
      </c>
      <c r="J658" t="s">
        <v>125</v>
      </c>
      <c r="K658">
        <v>46032</v>
      </c>
      <c r="L658">
        <v>344.93</v>
      </c>
    </row>
    <row r="659" spans="1:13">
      <c r="B659" t="s">
        <v>2321</v>
      </c>
      <c r="C659" t="s">
        <v>1633</v>
      </c>
      <c r="D659" s="57">
        <v>45961</v>
      </c>
      <c r="E659" s="57">
        <v>46032</v>
      </c>
      <c r="G659" s="11">
        <v>207.8</v>
      </c>
      <c r="I659" t="s">
        <v>1634</v>
      </c>
      <c r="J659" t="s">
        <v>125</v>
      </c>
      <c r="K659">
        <v>46032</v>
      </c>
      <c r="L659">
        <v>207.8</v>
      </c>
    </row>
    <row r="660" spans="1:13">
      <c r="A660" t="s">
        <v>67</v>
      </c>
      <c r="B660" t="s">
        <v>2323</v>
      </c>
      <c r="C660" t="s">
        <v>26</v>
      </c>
      <c r="D660" s="57">
        <v>45691</v>
      </c>
      <c r="E660" s="57">
        <v>45691</v>
      </c>
      <c r="F660" t="s">
        <v>16</v>
      </c>
      <c r="G660" s="11">
        <v>7320</v>
      </c>
      <c r="H660" t="s">
        <v>1636</v>
      </c>
      <c r="I660" t="s">
        <v>1637</v>
      </c>
      <c r="J660" t="s">
        <v>66</v>
      </c>
      <c r="K660">
        <v>45698</v>
      </c>
      <c r="L660">
        <v>7320</v>
      </c>
      <c r="M660" t="s">
        <v>70</v>
      </c>
    </row>
    <row r="661" spans="1:13">
      <c r="A661" t="s">
        <v>316</v>
      </c>
      <c r="B661" t="s">
        <v>2323</v>
      </c>
      <c r="C661" t="s">
        <v>1638</v>
      </c>
      <c r="D661" s="57">
        <v>45791</v>
      </c>
      <c r="E661" s="57">
        <v>45808</v>
      </c>
      <c r="G661" s="11">
        <v>12180</v>
      </c>
      <c r="I661" t="s">
        <v>248</v>
      </c>
      <c r="J661" t="s">
        <v>354</v>
      </c>
      <c r="L661">
        <v>3090</v>
      </c>
      <c r="M661" t="s">
        <v>1639</v>
      </c>
    </row>
    <row r="662" spans="1:13">
      <c r="A662" t="s">
        <v>316</v>
      </c>
      <c r="B662" t="s">
        <v>2323</v>
      </c>
      <c r="C662" t="s">
        <v>1638</v>
      </c>
      <c r="D662" s="57">
        <v>45791</v>
      </c>
      <c r="E662" s="57">
        <v>45808</v>
      </c>
      <c r="F662" t="s">
        <v>16</v>
      </c>
      <c r="G662" s="11">
        <v>3045</v>
      </c>
      <c r="H662" t="s">
        <v>1640</v>
      </c>
      <c r="I662" t="s">
        <v>1641</v>
      </c>
      <c r="J662" t="s">
        <v>56</v>
      </c>
      <c r="K662">
        <v>45945</v>
      </c>
      <c r="L662">
        <v>3045</v>
      </c>
      <c r="M662" t="s">
        <v>71</v>
      </c>
    </row>
    <row r="663" spans="1:13">
      <c r="A663" t="s">
        <v>316</v>
      </c>
      <c r="B663" t="s">
        <v>2323</v>
      </c>
      <c r="C663" t="s">
        <v>1638</v>
      </c>
      <c r="D663" s="57">
        <v>45791</v>
      </c>
      <c r="E663" s="57">
        <v>45808</v>
      </c>
      <c r="F663" t="s">
        <v>16</v>
      </c>
      <c r="G663" s="11">
        <v>3045</v>
      </c>
      <c r="H663" t="s">
        <v>1640</v>
      </c>
      <c r="I663" t="s">
        <v>1641</v>
      </c>
      <c r="J663" t="s">
        <v>56</v>
      </c>
      <c r="K663">
        <v>45960</v>
      </c>
      <c r="L663">
        <v>3045</v>
      </c>
      <c r="M663" t="s">
        <v>246</v>
      </c>
    </row>
    <row r="664" spans="1:13">
      <c r="A664" t="s">
        <v>13</v>
      </c>
      <c r="B664" t="s">
        <v>2323</v>
      </c>
      <c r="C664" t="s">
        <v>1638</v>
      </c>
      <c r="D664" s="57">
        <v>45791</v>
      </c>
      <c r="E664" s="57">
        <v>45808</v>
      </c>
      <c r="F664" t="s">
        <v>49</v>
      </c>
      <c r="G664" s="11">
        <v>3000</v>
      </c>
      <c r="I664" t="s">
        <v>1641</v>
      </c>
      <c r="J664" t="s">
        <v>56</v>
      </c>
      <c r="K664">
        <v>45993</v>
      </c>
      <c r="L664">
        <v>3000</v>
      </c>
      <c r="M664" t="s">
        <v>246</v>
      </c>
    </row>
    <row r="665" spans="1:13">
      <c r="A665" t="s">
        <v>316</v>
      </c>
      <c r="B665" t="s">
        <v>2323</v>
      </c>
      <c r="C665" t="s">
        <v>1642</v>
      </c>
      <c r="D665" s="57">
        <v>45807</v>
      </c>
      <c r="E665" s="57">
        <v>45837</v>
      </c>
      <c r="F665" t="s">
        <v>16</v>
      </c>
      <c r="G665" s="11">
        <v>3081.72</v>
      </c>
      <c r="H665" t="s">
        <v>1643</v>
      </c>
      <c r="I665" t="s">
        <v>1644</v>
      </c>
      <c r="J665" t="s">
        <v>56</v>
      </c>
    </row>
    <row r="666" spans="1:13">
      <c r="A666" t="s">
        <v>316</v>
      </c>
      <c r="B666" t="s">
        <v>2323</v>
      </c>
      <c r="C666" t="s">
        <v>335</v>
      </c>
      <c r="D666" s="57">
        <v>45819</v>
      </c>
      <c r="E666" s="57">
        <v>45849</v>
      </c>
      <c r="F666" t="s">
        <v>16</v>
      </c>
      <c r="G666" s="11">
        <v>-3081.72</v>
      </c>
      <c r="H666" t="s">
        <v>1645</v>
      </c>
      <c r="I666" t="s">
        <v>1646</v>
      </c>
      <c r="J666" t="s">
        <v>56</v>
      </c>
      <c r="K666">
        <v>45853</v>
      </c>
      <c r="M666" t="s">
        <v>345</v>
      </c>
    </row>
    <row r="667" spans="1:13">
      <c r="A667" t="s">
        <v>316</v>
      </c>
      <c r="B667" t="s">
        <v>2323</v>
      </c>
      <c r="C667" t="s">
        <v>1647</v>
      </c>
      <c r="D667" s="57">
        <v>45819</v>
      </c>
      <c r="E667" s="57">
        <v>45849</v>
      </c>
      <c r="F667" t="s">
        <v>16</v>
      </c>
      <c r="G667" s="11">
        <v>2627.04</v>
      </c>
      <c r="H667" t="s">
        <v>1648</v>
      </c>
      <c r="I667" t="s">
        <v>1649</v>
      </c>
      <c r="J667" t="s">
        <v>56</v>
      </c>
      <c r="K667">
        <v>45853</v>
      </c>
      <c r="L667">
        <v>2627.04</v>
      </c>
      <c r="M667" t="s">
        <v>394</v>
      </c>
    </row>
    <row r="668" spans="1:13">
      <c r="A668" t="s">
        <v>316</v>
      </c>
      <c r="B668" t="s">
        <v>2402</v>
      </c>
      <c r="C668" t="s">
        <v>1651</v>
      </c>
      <c r="D668" s="57">
        <v>45797</v>
      </c>
      <c r="F668" t="s">
        <v>16</v>
      </c>
      <c r="G668" s="11">
        <v>42</v>
      </c>
      <c r="H668" t="s">
        <v>1652</v>
      </c>
      <c r="I668" t="s">
        <v>457</v>
      </c>
      <c r="J668" t="s">
        <v>219</v>
      </c>
    </row>
    <row r="669" spans="1:13">
      <c r="A669" t="s">
        <v>13</v>
      </c>
      <c r="B669" t="s">
        <v>2327</v>
      </c>
      <c r="C669" t="s">
        <v>1654</v>
      </c>
      <c r="D669" s="57">
        <v>45792</v>
      </c>
      <c r="E669" s="57">
        <v>45852</v>
      </c>
      <c r="F669" t="s">
        <v>49</v>
      </c>
      <c r="G669" s="11">
        <v>370.39</v>
      </c>
      <c r="H669" t="s">
        <v>1655</v>
      </c>
      <c r="I669" t="s">
        <v>1656</v>
      </c>
      <c r="J669" t="s">
        <v>110</v>
      </c>
      <c r="K669">
        <v>45950</v>
      </c>
      <c r="L669">
        <v>370.39</v>
      </c>
      <c r="M669" t="s">
        <v>1657</v>
      </c>
    </row>
    <row r="670" spans="1:13">
      <c r="A670" t="s">
        <v>13</v>
      </c>
      <c r="B670" t="s">
        <v>2327</v>
      </c>
      <c r="C670" t="s">
        <v>1658</v>
      </c>
      <c r="D670" s="57">
        <v>45821</v>
      </c>
      <c r="E670" s="57">
        <v>45881</v>
      </c>
      <c r="F670" t="s">
        <v>49</v>
      </c>
      <c r="G670" s="11">
        <v>1845.37</v>
      </c>
      <c r="H670" t="s">
        <v>1659</v>
      </c>
      <c r="I670" t="s">
        <v>1660</v>
      </c>
      <c r="J670" t="s">
        <v>110</v>
      </c>
      <c r="K670">
        <v>45950</v>
      </c>
      <c r="L670">
        <v>1845.37</v>
      </c>
      <c r="M670" t="s">
        <v>1661</v>
      </c>
    </row>
    <row r="671" spans="1:13">
      <c r="B671" t="s">
        <v>2328</v>
      </c>
      <c r="C671" t="s">
        <v>1663</v>
      </c>
      <c r="D671" s="57">
        <v>45687</v>
      </c>
      <c r="E671" s="57">
        <v>45687</v>
      </c>
      <c r="F671" t="s">
        <v>16</v>
      </c>
      <c r="G671" s="11">
        <v>21.35</v>
      </c>
      <c r="H671" t="s">
        <v>1664</v>
      </c>
      <c r="I671" t="s">
        <v>1665</v>
      </c>
      <c r="J671" t="s">
        <v>150</v>
      </c>
      <c r="M671" t="s">
        <v>246</v>
      </c>
    </row>
    <row r="672" spans="1:13">
      <c r="B672" t="s">
        <v>2328</v>
      </c>
      <c r="C672" t="s">
        <v>1666</v>
      </c>
      <c r="D672" s="57">
        <v>45687</v>
      </c>
      <c r="E672" s="57">
        <v>45687</v>
      </c>
      <c r="F672" t="s">
        <v>16</v>
      </c>
      <c r="G672" s="11">
        <v>6</v>
      </c>
      <c r="H672" t="s">
        <v>1667</v>
      </c>
      <c r="I672" t="s">
        <v>1668</v>
      </c>
      <c r="J672" t="s">
        <v>150</v>
      </c>
      <c r="M672" t="s">
        <v>246</v>
      </c>
    </row>
    <row r="673" spans="2:13">
      <c r="B673" t="s">
        <v>2328</v>
      </c>
      <c r="C673" t="s">
        <v>1669</v>
      </c>
      <c r="D673" s="57">
        <v>45716</v>
      </c>
      <c r="F673" t="s">
        <v>16</v>
      </c>
      <c r="G673" s="11">
        <v>52.34</v>
      </c>
      <c r="H673" t="s">
        <v>1670</v>
      </c>
      <c r="I673" t="s">
        <v>1665</v>
      </c>
      <c r="J673" t="s">
        <v>150</v>
      </c>
      <c r="M673" t="s">
        <v>246</v>
      </c>
    </row>
    <row r="674" spans="2:13">
      <c r="B674" t="s">
        <v>2328</v>
      </c>
      <c r="C674" t="s">
        <v>1671</v>
      </c>
      <c r="D674" s="57">
        <v>45746</v>
      </c>
      <c r="F674" t="s">
        <v>16</v>
      </c>
      <c r="G674" s="11">
        <v>12.5</v>
      </c>
      <c r="H674" t="s">
        <v>1672</v>
      </c>
      <c r="I674" t="s">
        <v>1673</v>
      </c>
      <c r="J674" t="s">
        <v>150</v>
      </c>
      <c r="M674" t="s">
        <v>246</v>
      </c>
    </row>
    <row r="675" spans="2:13">
      <c r="B675" t="s">
        <v>2328</v>
      </c>
      <c r="C675" t="s">
        <v>1674</v>
      </c>
      <c r="D675" s="57">
        <v>45746</v>
      </c>
      <c r="F675" t="s">
        <v>16</v>
      </c>
      <c r="G675" s="11">
        <v>21.35</v>
      </c>
      <c r="H675" t="s">
        <v>1672</v>
      </c>
      <c r="I675" t="s">
        <v>1665</v>
      </c>
      <c r="J675" t="s">
        <v>150</v>
      </c>
      <c r="M675" t="s">
        <v>246</v>
      </c>
    </row>
    <row r="676" spans="2:13">
      <c r="B676" t="s">
        <v>2328</v>
      </c>
      <c r="C676" t="s">
        <v>1675</v>
      </c>
      <c r="D676" s="57">
        <v>45777</v>
      </c>
      <c r="F676" t="s">
        <v>16</v>
      </c>
      <c r="G676" s="11">
        <v>21.35</v>
      </c>
      <c r="H676" t="s">
        <v>1676</v>
      </c>
      <c r="I676" t="s">
        <v>1665</v>
      </c>
      <c r="J676" t="s">
        <v>150</v>
      </c>
      <c r="M676" t="s">
        <v>246</v>
      </c>
    </row>
    <row r="677" spans="2:13">
      <c r="B677" t="s">
        <v>2328</v>
      </c>
      <c r="C677" t="s">
        <v>1677</v>
      </c>
      <c r="D677" s="57">
        <v>45807</v>
      </c>
      <c r="F677" t="s">
        <v>16</v>
      </c>
      <c r="G677" s="11">
        <v>21.35</v>
      </c>
      <c r="H677" t="s">
        <v>1678</v>
      </c>
      <c r="I677" t="s">
        <v>1665</v>
      </c>
      <c r="J677" t="s">
        <v>150</v>
      </c>
      <c r="M677" t="s">
        <v>246</v>
      </c>
    </row>
    <row r="678" spans="2:13">
      <c r="B678" t="s">
        <v>2328</v>
      </c>
      <c r="C678" t="s">
        <v>1679</v>
      </c>
      <c r="D678" s="57">
        <v>45838</v>
      </c>
      <c r="F678" t="s">
        <v>16</v>
      </c>
      <c r="G678" s="11">
        <v>21.35</v>
      </c>
      <c r="H678" t="s">
        <v>1680</v>
      </c>
      <c r="I678" t="s">
        <v>1665</v>
      </c>
      <c r="J678" t="s">
        <v>150</v>
      </c>
      <c r="M678" t="s">
        <v>246</v>
      </c>
    </row>
    <row r="679" spans="2:13">
      <c r="B679" t="s">
        <v>2328</v>
      </c>
      <c r="C679" t="s">
        <v>1681</v>
      </c>
      <c r="D679" s="57">
        <v>45868</v>
      </c>
      <c r="F679" t="s">
        <v>16</v>
      </c>
      <c r="G679" s="11">
        <v>33.32</v>
      </c>
      <c r="H679" t="s">
        <v>1682</v>
      </c>
      <c r="I679" t="s">
        <v>1665</v>
      </c>
      <c r="J679" t="s">
        <v>150</v>
      </c>
      <c r="K679">
        <v>45730</v>
      </c>
      <c r="L679">
        <v>30000</v>
      </c>
      <c r="M679" t="s">
        <v>111</v>
      </c>
    </row>
    <row r="680" spans="2:13">
      <c r="B680" t="s">
        <v>2328</v>
      </c>
      <c r="C680" t="s">
        <v>1683</v>
      </c>
      <c r="D680" s="57">
        <v>45899</v>
      </c>
      <c r="F680" t="s">
        <v>16</v>
      </c>
      <c r="G680" s="11">
        <v>33.32</v>
      </c>
      <c r="H680" t="s">
        <v>1684</v>
      </c>
      <c r="I680" t="s">
        <v>1665</v>
      </c>
      <c r="J680" t="s">
        <v>150</v>
      </c>
      <c r="M680" t="s">
        <v>246</v>
      </c>
    </row>
    <row r="681" spans="2:13">
      <c r="B681" t="s">
        <v>2328</v>
      </c>
      <c r="C681" t="s">
        <v>1685</v>
      </c>
      <c r="D681" s="57">
        <v>45899</v>
      </c>
      <c r="F681" t="s">
        <v>16</v>
      </c>
      <c r="G681" s="11">
        <v>1.8</v>
      </c>
      <c r="H681" t="s">
        <v>1686</v>
      </c>
      <c r="I681" t="s">
        <v>1665</v>
      </c>
      <c r="J681" t="s">
        <v>150</v>
      </c>
      <c r="M681" t="s">
        <v>246</v>
      </c>
    </row>
    <row r="682" spans="2:13">
      <c r="B682" t="s">
        <v>2328</v>
      </c>
      <c r="C682" t="s">
        <v>1687</v>
      </c>
      <c r="D682" s="57">
        <v>45930</v>
      </c>
      <c r="F682" t="s">
        <v>49</v>
      </c>
      <c r="G682" s="11">
        <v>33.32</v>
      </c>
      <c r="H682" t="s">
        <v>1688</v>
      </c>
      <c r="I682" t="s">
        <v>1665</v>
      </c>
      <c r="J682" t="s">
        <v>150</v>
      </c>
      <c r="M682" t="s">
        <v>246</v>
      </c>
    </row>
    <row r="683" spans="2:13">
      <c r="B683" t="s">
        <v>2328</v>
      </c>
      <c r="C683" t="s">
        <v>1689</v>
      </c>
      <c r="D683" s="57">
        <v>45960</v>
      </c>
      <c r="E683" s="57">
        <v>45960</v>
      </c>
      <c r="F683" t="s">
        <v>49</v>
      </c>
      <c r="G683" s="11">
        <v>2.5</v>
      </c>
      <c r="I683" t="s">
        <v>1665</v>
      </c>
      <c r="J683" t="s">
        <v>150</v>
      </c>
      <c r="M683" t="s">
        <v>246</v>
      </c>
    </row>
    <row r="684" spans="2:13">
      <c r="B684" t="s">
        <v>2328</v>
      </c>
      <c r="C684" t="s">
        <v>1690</v>
      </c>
      <c r="D684" s="57">
        <v>45960</v>
      </c>
      <c r="E684" s="57">
        <v>45960</v>
      </c>
      <c r="F684" t="s">
        <v>49</v>
      </c>
      <c r="G684" s="11">
        <v>33.32</v>
      </c>
      <c r="I684" t="s">
        <v>1665</v>
      </c>
      <c r="J684" t="s">
        <v>150</v>
      </c>
      <c r="M684" t="s">
        <v>246</v>
      </c>
    </row>
    <row r="685" spans="2:13">
      <c r="B685" t="s">
        <v>2328</v>
      </c>
      <c r="C685" t="s">
        <v>1691</v>
      </c>
      <c r="D685" s="57">
        <v>45991</v>
      </c>
      <c r="E685" s="57">
        <v>45991</v>
      </c>
      <c r="F685" t="s">
        <v>49</v>
      </c>
      <c r="G685" s="11">
        <v>5</v>
      </c>
      <c r="I685" t="s">
        <v>1692</v>
      </c>
      <c r="J685" t="s">
        <v>1276</v>
      </c>
      <c r="M685" t="s">
        <v>246</v>
      </c>
    </row>
    <row r="686" spans="2:13">
      <c r="B686" t="s">
        <v>2328</v>
      </c>
      <c r="C686" t="s">
        <v>1693</v>
      </c>
      <c r="D686" s="57">
        <v>45991</v>
      </c>
      <c r="E686" s="57">
        <v>45991</v>
      </c>
      <c r="F686" t="s">
        <v>49</v>
      </c>
      <c r="G686" s="11">
        <v>33.32</v>
      </c>
      <c r="I686" t="s">
        <v>1694</v>
      </c>
      <c r="J686" t="s">
        <v>1276</v>
      </c>
      <c r="M686" t="s">
        <v>246</v>
      </c>
    </row>
    <row r="687" spans="2:13">
      <c r="B687" t="s">
        <v>2331</v>
      </c>
      <c r="C687" t="s">
        <v>848</v>
      </c>
      <c r="D687" s="57">
        <v>45569</v>
      </c>
      <c r="E687" s="57">
        <v>45667</v>
      </c>
      <c r="F687" t="s">
        <v>16</v>
      </c>
      <c r="G687" s="11">
        <v>19743.5</v>
      </c>
      <c r="H687" t="s">
        <v>1696</v>
      </c>
      <c r="I687" t="s">
        <v>1697</v>
      </c>
      <c r="J687" t="s">
        <v>66</v>
      </c>
      <c r="K687">
        <v>45730</v>
      </c>
      <c r="L687">
        <v>30000</v>
      </c>
      <c r="M687" t="s">
        <v>111</v>
      </c>
    </row>
    <row r="688" spans="2:13">
      <c r="B688" t="s">
        <v>2331</v>
      </c>
      <c r="C688" t="s">
        <v>848</v>
      </c>
      <c r="D688" s="57">
        <v>45569</v>
      </c>
      <c r="E688" s="57">
        <v>45698</v>
      </c>
      <c r="F688" t="s">
        <v>16</v>
      </c>
      <c r="G688" s="11">
        <v>10256.5</v>
      </c>
      <c r="H688" t="s">
        <v>1696</v>
      </c>
      <c r="I688" t="s">
        <v>1698</v>
      </c>
      <c r="J688" t="s">
        <v>66</v>
      </c>
    </row>
    <row r="689" spans="1:13">
      <c r="B689" t="s">
        <v>2331</v>
      </c>
      <c r="C689" t="s">
        <v>848</v>
      </c>
      <c r="D689" s="57">
        <v>45569</v>
      </c>
      <c r="E689" s="57">
        <v>45698</v>
      </c>
      <c r="F689" t="s">
        <v>16</v>
      </c>
      <c r="G689" s="11">
        <v>9487</v>
      </c>
      <c r="H689" t="s">
        <v>1696</v>
      </c>
      <c r="I689" t="s">
        <v>1698</v>
      </c>
      <c r="J689" t="s">
        <v>66</v>
      </c>
    </row>
    <row r="690" spans="1:13">
      <c r="B690" t="s">
        <v>2331</v>
      </c>
      <c r="C690" t="s">
        <v>1699</v>
      </c>
      <c r="D690" s="57">
        <v>45624</v>
      </c>
      <c r="E690" s="57">
        <v>45698</v>
      </c>
      <c r="F690" t="s">
        <v>16</v>
      </c>
      <c r="G690" s="11">
        <v>4907</v>
      </c>
      <c r="H690" t="s">
        <v>1700</v>
      </c>
      <c r="I690" t="s">
        <v>1701</v>
      </c>
      <c r="J690" t="s">
        <v>56</v>
      </c>
    </row>
    <row r="691" spans="1:13">
      <c r="B691" t="s">
        <v>2331</v>
      </c>
      <c r="C691" t="s">
        <v>1699</v>
      </c>
      <c r="D691" s="57">
        <v>45624</v>
      </c>
      <c r="E691" s="57">
        <v>45726</v>
      </c>
      <c r="F691" t="s">
        <v>16</v>
      </c>
      <c r="G691" s="11">
        <v>4907</v>
      </c>
      <c r="H691" t="s">
        <v>1700</v>
      </c>
      <c r="I691" t="s">
        <v>1701</v>
      </c>
      <c r="J691" t="s">
        <v>56</v>
      </c>
    </row>
    <row r="692" spans="1:13">
      <c r="A692" t="s">
        <v>1702</v>
      </c>
      <c r="B692" t="s">
        <v>2331</v>
      </c>
      <c r="C692" t="s">
        <v>1703</v>
      </c>
      <c r="D692" s="57">
        <v>45656</v>
      </c>
      <c r="E692" s="57">
        <v>45726</v>
      </c>
      <c r="F692" t="s">
        <v>16</v>
      </c>
      <c r="G692" s="11">
        <v>20000</v>
      </c>
      <c r="H692" t="s">
        <v>1704</v>
      </c>
      <c r="I692" t="s">
        <v>1705</v>
      </c>
      <c r="J692" t="s">
        <v>56</v>
      </c>
    </row>
    <row r="693" spans="1:13">
      <c r="A693" t="s">
        <v>1702</v>
      </c>
      <c r="B693" t="s">
        <v>2331</v>
      </c>
      <c r="C693" t="s">
        <v>1703</v>
      </c>
      <c r="D693" s="57">
        <v>45656</v>
      </c>
      <c r="E693" s="57">
        <v>45757</v>
      </c>
      <c r="F693" t="s">
        <v>16</v>
      </c>
      <c r="G693" s="11">
        <v>20000</v>
      </c>
      <c r="H693" t="s">
        <v>1704</v>
      </c>
      <c r="I693" t="s">
        <v>1705</v>
      </c>
      <c r="J693" t="s">
        <v>56</v>
      </c>
    </row>
    <row r="694" spans="1:13">
      <c r="A694" t="s">
        <v>1702</v>
      </c>
      <c r="B694" t="s">
        <v>2331</v>
      </c>
      <c r="C694" t="s">
        <v>335</v>
      </c>
      <c r="D694" s="57">
        <v>45729</v>
      </c>
      <c r="E694" s="57">
        <v>45729</v>
      </c>
      <c r="F694" t="s">
        <v>16</v>
      </c>
      <c r="G694" s="11">
        <v>-8800</v>
      </c>
      <c r="H694" t="s">
        <v>1706</v>
      </c>
      <c r="I694" t="s">
        <v>1707</v>
      </c>
      <c r="J694" t="s">
        <v>56</v>
      </c>
    </row>
    <row r="695" spans="1:13">
      <c r="A695" t="s">
        <v>1702</v>
      </c>
      <c r="B695" t="s">
        <v>2331</v>
      </c>
      <c r="C695" t="s">
        <v>1708</v>
      </c>
      <c r="D695" s="57">
        <v>45656</v>
      </c>
      <c r="E695" s="57">
        <v>45726</v>
      </c>
      <c r="F695" t="s">
        <v>16</v>
      </c>
      <c r="G695" s="11">
        <v>5013.5</v>
      </c>
      <c r="H695" t="s">
        <v>1709</v>
      </c>
      <c r="I695" t="s">
        <v>342</v>
      </c>
      <c r="J695" t="s">
        <v>56</v>
      </c>
    </row>
    <row r="696" spans="1:13">
      <c r="A696" t="s">
        <v>1702</v>
      </c>
      <c r="B696" t="s">
        <v>2331</v>
      </c>
      <c r="C696" t="s">
        <v>1708</v>
      </c>
      <c r="D696" s="57">
        <v>45656</v>
      </c>
      <c r="E696" s="57">
        <v>45757</v>
      </c>
      <c r="F696" t="s">
        <v>16</v>
      </c>
      <c r="G696" s="11">
        <v>5013.5</v>
      </c>
      <c r="H696" t="s">
        <v>1709</v>
      </c>
      <c r="I696" t="s">
        <v>342</v>
      </c>
      <c r="J696" t="s">
        <v>56</v>
      </c>
    </row>
    <row r="697" spans="1:13">
      <c r="A697" t="s">
        <v>1702</v>
      </c>
      <c r="B697" t="s">
        <v>2331</v>
      </c>
      <c r="C697" t="s">
        <v>893</v>
      </c>
      <c r="D697" s="57">
        <v>45687</v>
      </c>
      <c r="E697" s="57">
        <v>45757</v>
      </c>
      <c r="F697" t="s">
        <v>16</v>
      </c>
      <c r="G697" s="11">
        <v>8123.5</v>
      </c>
      <c r="H697" t="s">
        <v>1457</v>
      </c>
      <c r="I697" t="s">
        <v>55</v>
      </c>
      <c r="J697" t="s">
        <v>56</v>
      </c>
    </row>
    <row r="698" spans="1:13">
      <c r="A698" t="s">
        <v>1702</v>
      </c>
      <c r="B698" t="s">
        <v>2331</v>
      </c>
      <c r="C698" t="s">
        <v>893</v>
      </c>
      <c r="D698" s="57">
        <v>45687</v>
      </c>
      <c r="E698" s="57">
        <v>45787</v>
      </c>
      <c r="F698" t="s">
        <v>16</v>
      </c>
      <c r="G698" s="11">
        <v>8123.5</v>
      </c>
      <c r="H698" t="s">
        <v>1457</v>
      </c>
      <c r="I698" t="s">
        <v>55</v>
      </c>
      <c r="J698" t="s">
        <v>56</v>
      </c>
    </row>
    <row r="699" spans="1:13">
      <c r="A699" t="s">
        <v>1702</v>
      </c>
      <c r="B699" t="s">
        <v>2331</v>
      </c>
      <c r="C699" t="s">
        <v>338</v>
      </c>
      <c r="D699" s="57">
        <v>45729</v>
      </c>
      <c r="E699" s="57">
        <v>45729</v>
      </c>
      <c r="F699" t="s">
        <v>16</v>
      </c>
      <c r="G699" s="11">
        <v>-7000</v>
      </c>
      <c r="H699" t="s">
        <v>1710</v>
      </c>
      <c r="I699" t="s">
        <v>1711</v>
      </c>
      <c r="J699" t="s">
        <v>56</v>
      </c>
    </row>
    <row r="700" spans="1:13">
      <c r="A700" t="s">
        <v>1702</v>
      </c>
      <c r="B700" t="s">
        <v>2331</v>
      </c>
      <c r="C700" t="s">
        <v>1712</v>
      </c>
      <c r="D700" s="57">
        <v>45833</v>
      </c>
      <c r="E700" s="57">
        <v>45817</v>
      </c>
      <c r="F700" t="s">
        <v>16</v>
      </c>
      <c r="G700" s="11">
        <v>1000</v>
      </c>
      <c r="H700" t="s">
        <v>1713</v>
      </c>
      <c r="I700" t="s">
        <v>312</v>
      </c>
      <c r="J700" t="s">
        <v>56</v>
      </c>
      <c r="K700">
        <v>45817</v>
      </c>
      <c r="L700">
        <v>1000</v>
      </c>
      <c r="M700" t="s">
        <v>627</v>
      </c>
    </row>
    <row r="701" spans="1:13">
      <c r="A701" t="s">
        <v>1702</v>
      </c>
      <c r="B701" t="s">
        <v>2331</v>
      </c>
      <c r="C701" t="s">
        <v>1712</v>
      </c>
      <c r="D701" s="57">
        <v>45833</v>
      </c>
      <c r="E701" s="57">
        <v>45833</v>
      </c>
      <c r="F701" t="s">
        <v>16</v>
      </c>
      <c r="G701" s="11">
        <v>1000</v>
      </c>
      <c r="H701" t="s">
        <v>1713</v>
      </c>
      <c r="I701" t="s">
        <v>312</v>
      </c>
      <c r="J701" t="s">
        <v>56</v>
      </c>
    </row>
    <row r="702" spans="1:13">
      <c r="A702" t="s">
        <v>1702</v>
      </c>
      <c r="B702" t="s">
        <v>2331</v>
      </c>
      <c r="C702" t="s">
        <v>1445</v>
      </c>
      <c r="D702" s="57">
        <v>45835</v>
      </c>
      <c r="E702" s="57">
        <v>45930</v>
      </c>
      <c r="F702" t="s">
        <v>16</v>
      </c>
      <c r="G702" s="11">
        <v>1465</v>
      </c>
      <c r="H702" t="s">
        <v>1714</v>
      </c>
      <c r="I702" t="s">
        <v>1715</v>
      </c>
      <c r="J702" t="s">
        <v>597</v>
      </c>
    </row>
    <row r="703" spans="1:13">
      <c r="A703" t="s">
        <v>1702</v>
      </c>
      <c r="B703" t="s">
        <v>2331</v>
      </c>
      <c r="C703" t="s">
        <v>1716</v>
      </c>
      <c r="D703" s="57">
        <v>45862</v>
      </c>
      <c r="E703" s="57">
        <v>45930</v>
      </c>
      <c r="F703" t="s">
        <v>16</v>
      </c>
      <c r="G703" s="11">
        <v>1465</v>
      </c>
      <c r="H703" t="s">
        <v>1717</v>
      </c>
      <c r="I703" t="s">
        <v>312</v>
      </c>
      <c r="J703" t="s">
        <v>56</v>
      </c>
    </row>
    <row r="704" spans="1:13">
      <c r="A704" t="s">
        <v>1702</v>
      </c>
      <c r="B704" t="s">
        <v>2331</v>
      </c>
      <c r="C704" t="s">
        <v>1718</v>
      </c>
      <c r="D704" s="57">
        <v>45862</v>
      </c>
      <c r="E704" s="57">
        <v>45862</v>
      </c>
      <c r="F704" t="s">
        <v>16</v>
      </c>
      <c r="G704" s="11">
        <v>-1465</v>
      </c>
      <c r="H704" t="s">
        <v>1719</v>
      </c>
      <c r="I704" t="s">
        <v>55</v>
      </c>
      <c r="J704" t="s">
        <v>56</v>
      </c>
      <c r="M704" t="s">
        <v>1720</v>
      </c>
    </row>
    <row r="705" spans="1:13">
      <c r="A705" t="s">
        <v>1702</v>
      </c>
      <c r="B705" t="s">
        <v>2331</v>
      </c>
      <c r="C705" t="s">
        <v>1721</v>
      </c>
      <c r="D705" s="57">
        <v>45971</v>
      </c>
      <c r="E705" s="57">
        <v>45971</v>
      </c>
      <c r="F705" t="s">
        <v>16</v>
      </c>
      <c r="G705" s="11">
        <v>1465</v>
      </c>
      <c r="I705" t="s">
        <v>312</v>
      </c>
      <c r="J705" t="s">
        <v>1504</v>
      </c>
    </row>
    <row r="706" spans="1:13">
      <c r="A706" t="s">
        <v>1702</v>
      </c>
      <c r="B706" t="s">
        <v>2331</v>
      </c>
      <c r="C706" t="s">
        <v>1722</v>
      </c>
      <c r="D706" s="57">
        <v>45971</v>
      </c>
      <c r="E706" s="57">
        <v>45971</v>
      </c>
      <c r="F706" t="s">
        <v>16</v>
      </c>
      <c r="G706" s="11">
        <v>-1465</v>
      </c>
      <c r="I706" t="s">
        <v>1723</v>
      </c>
      <c r="J706" t="s">
        <v>1504</v>
      </c>
    </row>
    <row r="707" spans="1:13">
      <c r="A707" t="s">
        <v>1724</v>
      </c>
      <c r="B707" t="s">
        <v>2331</v>
      </c>
      <c r="G707" s="11">
        <v>65000</v>
      </c>
      <c r="I707" t="s">
        <v>2334</v>
      </c>
      <c r="L707" t="s">
        <v>2185</v>
      </c>
    </row>
    <row r="708" spans="1:13">
      <c r="A708" t="s">
        <v>1724</v>
      </c>
      <c r="B708" t="s">
        <v>2331</v>
      </c>
      <c r="F708" t="s">
        <v>49</v>
      </c>
      <c r="G708" s="11">
        <v>13000</v>
      </c>
      <c r="I708" t="s">
        <v>1725</v>
      </c>
      <c r="J708" t="s">
        <v>1504</v>
      </c>
      <c r="K708">
        <v>45981</v>
      </c>
      <c r="L708">
        <v>52000</v>
      </c>
      <c r="M708" t="s">
        <v>246</v>
      </c>
    </row>
    <row r="709" spans="1:13">
      <c r="A709" t="s">
        <v>1724</v>
      </c>
      <c r="B709" t="s">
        <v>2331</v>
      </c>
      <c r="G709" s="11">
        <v>13000</v>
      </c>
      <c r="I709" t="s">
        <v>1726</v>
      </c>
      <c r="J709" t="s">
        <v>1504</v>
      </c>
      <c r="K709">
        <v>46006</v>
      </c>
      <c r="L709">
        <v>39000</v>
      </c>
    </row>
    <row r="710" spans="1:13">
      <c r="A710" t="s">
        <v>1724</v>
      </c>
      <c r="B710" t="s">
        <v>2331</v>
      </c>
      <c r="G710" s="11">
        <v>13000</v>
      </c>
      <c r="I710" t="s">
        <v>1727</v>
      </c>
      <c r="J710" t="s">
        <v>1504</v>
      </c>
      <c r="K710">
        <v>45672</v>
      </c>
      <c r="L710">
        <v>26000</v>
      </c>
    </row>
    <row r="711" spans="1:13">
      <c r="A711" t="s">
        <v>1724</v>
      </c>
      <c r="B711" t="s">
        <v>2331</v>
      </c>
      <c r="G711" s="11">
        <v>13000</v>
      </c>
      <c r="I711" t="s">
        <v>1728</v>
      </c>
      <c r="J711" t="s">
        <v>1504</v>
      </c>
      <c r="K711">
        <v>45703</v>
      </c>
      <c r="L711">
        <v>13000</v>
      </c>
    </row>
    <row r="712" spans="1:13">
      <c r="A712" t="s">
        <v>1724</v>
      </c>
      <c r="B712" t="s">
        <v>2331</v>
      </c>
      <c r="G712" s="11">
        <v>13000</v>
      </c>
      <c r="I712" t="s">
        <v>1729</v>
      </c>
      <c r="J712" t="s">
        <v>1504</v>
      </c>
      <c r="K712">
        <v>45731</v>
      </c>
      <c r="L712">
        <v>0</v>
      </c>
    </row>
    <row r="713" spans="1:13">
      <c r="B713" t="s">
        <v>2335</v>
      </c>
      <c r="C713" t="s">
        <v>1731</v>
      </c>
      <c r="D713" s="57">
        <v>45670</v>
      </c>
      <c r="E713" s="57">
        <v>45701</v>
      </c>
      <c r="F713" t="s">
        <v>16</v>
      </c>
      <c r="G713" s="11">
        <v>27.94</v>
      </c>
      <c r="H713" t="s">
        <v>1732</v>
      </c>
      <c r="I713" t="s">
        <v>1733</v>
      </c>
    </row>
    <row r="714" spans="1:13">
      <c r="B714" t="s">
        <v>2335</v>
      </c>
      <c r="C714" t="s">
        <v>1734</v>
      </c>
      <c r="D714" s="57">
        <v>45699</v>
      </c>
      <c r="E714" s="57">
        <v>45730</v>
      </c>
      <c r="F714" t="s">
        <v>16</v>
      </c>
      <c r="G714" s="11">
        <v>27.94</v>
      </c>
      <c r="H714" t="s">
        <v>1735</v>
      </c>
      <c r="I714" t="s">
        <v>1733</v>
      </c>
      <c r="J714" t="s">
        <v>150</v>
      </c>
      <c r="M714" t="s">
        <v>345</v>
      </c>
    </row>
    <row r="715" spans="1:13">
      <c r="B715" t="s">
        <v>2335</v>
      </c>
      <c r="C715" t="s">
        <v>1736</v>
      </c>
      <c r="D715" s="57">
        <v>45727</v>
      </c>
      <c r="E715" s="57">
        <v>45758</v>
      </c>
      <c r="G715" s="11">
        <v>27.94</v>
      </c>
      <c r="H715" t="s">
        <v>1737</v>
      </c>
      <c r="I715" t="s">
        <v>1733</v>
      </c>
      <c r="J715" t="s">
        <v>1738</v>
      </c>
      <c r="M715" t="s">
        <v>345</v>
      </c>
    </row>
    <row r="716" spans="1:13">
      <c r="B716" t="s">
        <v>2335</v>
      </c>
      <c r="C716" t="s">
        <v>1739</v>
      </c>
      <c r="D716" s="57">
        <v>45757</v>
      </c>
      <c r="E716" s="57">
        <v>45789</v>
      </c>
      <c r="F716" t="s">
        <v>16</v>
      </c>
      <c r="G716" s="11">
        <v>27.94</v>
      </c>
      <c r="H716" t="s">
        <v>1740</v>
      </c>
      <c r="I716" t="s">
        <v>1733</v>
      </c>
      <c r="J716" t="s">
        <v>150</v>
      </c>
      <c r="M716" t="s">
        <v>345</v>
      </c>
    </row>
    <row r="717" spans="1:13">
      <c r="B717" t="s">
        <v>2335</v>
      </c>
      <c r="C717" t="s">
        <v>1741</v>
      </c>
      <c r="D717" s="57">
        <v>45787</v>
      </c>
      <c r="E717" s="57">
        <v>45818</v>
      </c>
      <c r="F717" t="s">
        <v>16</v>
      </c>
      <c r="G717" s="11">
        <v>27.94</v>
      </c>
      <c r="H717" t="s">
        <v>1742</v>
      </c>
      <c r="I717" t="s">
        <v>1733</v>
      </c>
      <c r="J717" t="s">
        <v>150</v>
      </c>
      <c r="M717" t="s">
        <v>345</v>
      </c>
    </row>
    <row r="718" spans="1:13">
      <c r="B718" t="s">
        <v>2335</v>
      </c>
      <c r="C718" t="s">
        <v>1743</v>
      </c>
      <c r="D718" s="57">
        <v>45848</v>
      </c>
      <c r="E718" s="57">
        <v>45880</v>
      </c>
      <c r="F718" t="s">
        <v>16</v>
      </c>
      <c r="G718" s="11">
        <v>30.52</v>
      </c>
      <c r="H718" t="s">
        <v>1744</v>
      </c>
      <c r="I718" t="s">
        <v>1745</v>
      </c>
      <c r="J718" t="s">
        <v>150</v>
      </c>
      <c r="M718" t="s">
        <v>345</v>
      </c>
    </row>
    <row r="719" spans="1:13">
      <c r="B719" t="s">
        <v>2335</v>
      </c>
      <c r="C719" t="s">
        <v>1746</v>
      </c>
      <c r="D719" s="57">
        <v>45819</v>
      </c>
      <c r="E719" s="57">
        <v>45852</v>
      </c>
      <c r="F719" t="s">
        <v>16</v>
      </c>
      <c r="G719" s="11">
        <v>27.94</v>
      </c>
      <c r="H719" t="s">
        <v>1747</v>
      </c>
      <c r="I719" t="s">
        <v>1733</v>
      </c>
      <c r="J719" t="s">
        <v>150</v>
      </c>
      <c r="M719" t="s">
        <v>345</v>
      </c>
    </row>
    <row r="720" spans="1:13">
      <c r="B720" t="s">
        <v>2335</v>
      </c>
      <c r="C720" t="s">
        <v>1748</v>
      </c>
      <c r="D720" s="57">
        <v>45880</v>
      </c>
      <c r="E720" s="57">
        <v>45880</v>
      </c>
      <c r="G720" s="11">
        <v>27.94</v>
      </c>
      <c r="H720" t="s">
        <v>1749</v>
      </c>
      <c r="I720" t="s">
        <v>1733</v>
      </c>
      <c r="J720" t="s">
        <v>1750</v>
      </c>
      <c r="M720" t="s">
        <v>345</v>
      </c>
    </row>
    <row r="721" spans="2:13">
      <c r="B721" t="s">
        <v>2335</v>
      </c>
      <c r="C721" t="s">
        <v>1751</v>
      </c>
      <c r="D721" s="57">
        <v>45911</v>
      </c>
      <c r="E721" s="57">
        <v>45943</v>
      </c>
      <c r="G721" s="11">
        <v>28.51</v>
      </c>
      <c r="H721" t="s">
        <v>1752</v>
      </c>
      <c r="I721" t="s">
        <v>1745</v>
      </c>
      <c r="J721" t="s">
        <v>150</v>
      </c>
      <c r="M721" t="s">
        <v>345</v>
      </c>
    </row>
    <row r="722" spans="2:13">
      <c r="B722" t="s">
        <v>2335</v>
      </c>
      <c r="C722" t="s">
        <v>1753</v>
      </c>
      <c r="D722" s="57">
        <v>45939</v>
      </c>
      <c r="E722" s="57">
        <v>45971</v>
      </c>
      <c r="G722" s="11">
        <v>27.94</v>
      </c>
      <c r="H722" t="s">
        <v>1754</v>
      </c>
      <c r="I722" t="s">
        <v>1733</v>
      </c>
      <c r="J722" t="s">
        <v>150</v>
      </c>
      <c r="M722" t="s">
        <v>345</v>
      </c>
    </row>
    <row r="723" spans="2:13">
      <c r="B723" t="s">
        <v>2335</v>
      </c>
      <c r="C723" t="s">
        <v>1755</v>
      </c>
      <c r="D723" s="57">
        <v>45972</v>
      </c>
      <c r="E723" s="57">
        <v>46002</v>
      </c>
      <c r="G723" s="11">
        <v>22.95</v>
      </c>
      <c r="I723" t="s">
        <v>1745</v>
      </c>
      <c r="J723" t="s">
        <v>1757</v>
      </c>
      <c r="M723" t="s">
        <v>345</v>
      </c>
    </row>
    <row r="724" spans="2:13">
      <c r="B724" t="s">
        <v>2335</v>
      </c>
      <c r="C724" t="s">
        <v>1758</v>
      </c>
      <c r="D724" s="57">
        <v>45972</v>
      </c>
      <c r="E724" s="57">
        <v>46002</v>
      </c>
      <c r="G724" s="11">
        <v>27.94</v>
      </c>
      <c r="I724" t="s">
        <v>1733</v>
      </c>
      <c r="M724" t="s">
        <v>345</v>
      </c>
    </row>
    <row r="725" spans="2:13">
      <c r="B725" t="s">
        <v>2337</v>
      </c>
      <c r="C725" t="s">
        <v>1765</v>
      </c>
      <c r="D725" s="57">
        <v>45693</v>
      </c>
      <c r="E725" s="57">
        <v>45716</v>
      </c>
      <c r="F725" t="s">
        <v>16</v>
      </c>
      <c r="G725" s="11">
        <v>5130.24</v>
      </c>
      <c r="H725" t="s">
        <v>1766</v>
      </c>
      <c r="I725" t="s">
        <v>1767</v>
      </c>
      <c r="J725" t="s">
        <v>56</v>
      </c>
    </row>
    <row r="726" spans="2:13">
      <c r="B726" t="s">
        <v>2338</v>
      </c>
      <c r="C726" t="s">
        <v>1769</v>
      </c>
      <c r="D726" s="57">
        <v>45730</v>
      </c>
      <c r="F726" t="s">
        <v>16</v>
      </c>
      <c r="G726" s="11">
        <v>20</v>
      </c>
      <c r="H726" t="s">
        <v>1770</v>
      </c>
      <c r="I726" t="s">
        <v>519</v>
      </c>
      <c r="J726" t="s">
        <v>215</v>
      </c>
    </row>
    <row r="727" spans="2:13">
      <c r="B727" t="s">
        <v>2338</v>
      </c>
      <c r="C727" t="s">
        <v>1771</v>
      </c>
      <c r="D727" s="57">
        <v>45849</v>
      </c>
      <c r="F727" t="s">
        <v>16</v>
      </c>
      <c r="G727" s="11">
        <v>20</v>
      </c>
      <c r="H727" t="s">
        <v>1772</v>
      </c>
      <c r="I727" t="s">
        <v>1773</v>
      </c>
      <c r="J727" t="s">
        <v>215</v>
      </c>
    </row>
    <row r="728" spans="2:13">
      <c r="B728" t="s">
        <v>2338</v>
      </c>
      <c r="C728" t="s">
        <v>1774</v>
      </c>
      <c r="D728" s="57">
        <v>45966</v>
      </c>
      <c r="E728" s="57">
        <v>45966</v>
      </c>
      <c r="F728" t="s">
        <v>49</v>
      </c>
      <c r="G728" s="11">
        <v>20</v>
      </c>
      <c r="I728" t="s">
        <v>1775</v>
      </c>
      <c r="J728" t="s">
        <v>215</v>
      </c>
    </row>
    <row r="729" spans="2:13">
      <c r="B729" t="s">
        <v>2339</v>
      </c>
      <c r="C729" t="s">
        <v>1777</v>
      </c>
      <c r="D729" s="57">
        <v>45838</v>
      </c>
      <c r="E729" s="57">
        <v>45845</v>
      </c>
      <c r="G729" s="11">
        <v>30000</v>
      </c>
      <c r="H729" t="s">
        <v>1778</v>
      </c>
      <c r="I729" t="s">
        <v>1779</v>
      </c>
      <c r="J729" t="s">
        <v>56</v>
      </c>
    </row>
    <row r="730" spans="2:13">
      <c r="B730" t="s">
        <v>2339</v>
      </c>
      <c r="C730" t="s">
        <v>1780</v>
      </c>
      <c r="D730" s="57">
        <v>45838</v>
      </c>
      <c r="E730" s="57">
        <v>45845</v>
      </c>
      <c r="G730" s="11">
        <v>70000</v>
      </c>
      <c r="H730" t="s">
        <v>1781</v>
      </c>
      <c r="I730" t="s">
        <v>312</v>
      </c>
      <c r="J730" t="s">
        <v>56</v>
      </c>
    </row>
    <row r="731" spans="2:13">
      <c r="B731" t="s">
        <v>2341</v>
      </c>
      <c r="C731" t="s">
        <v>1783</v>
      </c>
      <c r="D731" s="57">
        <v>45688</v>
      </c>
      <c r="F731" t="s">
        <v>16</v>
      </c>
      <c r="G731" s="11">
        <v>1105</v>
      </c>
      <c r="H731" t="s">
        <v>1784</v>
      </c>
      <c r="I731" t="s">
        <v>1785</v>
      </c>
    </row>
    <row r="732" spans="2:13">
      <c r="B732" t="s">
        <v>2341</v>
      </c>
      <c r="C732" t="s">
        <v>1786</v>
      </c>
      <c r="D732" s="57">
        <v>45716</v>
      </c>
      <c r="F732" t="s">
        <v>16</v>
      </c>
      <c r="G732" s="11">
        <v>1274</v>
      </c>
      <c r="H732" t="s">
        <v>1787</v>
      </c>
      <c r="I732" t="s">
        <v>1788</v>
      </c>
      <c r="J732" t="s">
        <v>24</v>
      </c>
    </row>
    <row r="733" spans="2:13">
      <c r="B733" t="s">
        <v>2341</v>
      </c>
      <c r="C733" t="s">
        <v>1789</v>
      </c>
      <c r="D733" s="57">
        <v>45747</v>
      </c>
      <c r="F733" t="s">
        <v>16</v>
      </c>
      <c r="G733" s="11">
        <v>767</v>
      </c>
      <c r="H733" t="s">
        <v>1790</v>
      </c>
      <c r="I733" t="s">
        <v>1791</v>
      </c>
      <c r="J733" t="s">
        <v>1792</v>
      </c>
    </row>
    <row r="734" spans="2:13">
      <c r="B734" t="s">
        <v>2341</v>
      </c>
      <c r="C734" t="s">
        <v>1793</v>
      </c>
      <c r="D734" s="57">
        <v>45779</v>
      </c>
      <c r="F734" t="s">
        <v>16</v>
      </c>
      <c r="G734" s="11">
        <v>533</v>
      </c>
      <c r="H734" t="s">
        <v>1794</v>
      </c>
      <c r="I734" t="s">
        <v>1795</v>
      </c>
      <c r="J734" t="s">
        <v>1792</v>
      </c>
    </row>
    <row r="735" spans="2:13">
      <c r="B735" t="s">
        <v>2341</v>
      </c>
      <c r="C735" t="s">
        <v>1796</v>
      </c>
      <c r="D735" s="57">
        <v>45811</v>
      </c>
      <c r="F735" t="s">
        <v>16</v>
      </c>
      <c r="G735" s="11">
        <v>1040</v>
      </c>
      <c r="H735" t="s">
        <v>1797</v>
      </c>
      <c r="I735" t="s">
        <v>1798</v>
      </c>
      <c r="J735" t="s">
        <v>1792</v>
      </c>
    </row>
    <row r="736" spans="2:13">
      <c r="B736" t="s">
        <v>2341</v>
      </c>
      <c r="C736" t="s">
        <v>2342</v>
      </c>
      <c r="D736" s="57">
        <v>45838</v>
      </c>
      <c r="F736" t="s">
        <v>16</v>
      </c>
      <c r="G736" s="11">
        <v>949</v>
      </c>
      <c r="H736" t="s">
        <v>1800</v>
      </c>
      <c r="I736" t="s">
        <v>1801</v>
      </c>
      <c r="J736" t="s">
        <v>1792</v>
      </c>
    </row>
    <row r="737" spans="1:13">
      <c r="B737" t="s">
        <v>2403</v>
      </c>
      <c r="C737" t="s">
        <v>1803</v>
      </c>
      <c r="D737" s="57">
        <v>45787</v>
      </c>
      <c r="F737" t="s">
        <v>16</v>
      </c>
      <c r="G737" s="11">
        <v>122.3</v>
      </c>
      <c r="H737" t="s">
        <v>1804</v>
      </c>
      <c r="I737" t="s">
        <v>457</v>
      </c>
      <c r="J737" t="s">
        <v>215</v>
      </c>
    </row>
    <row r="738" spans="1:13">
      <c r="B738" t="s">
        <v>2344</v>
      </c>
      <c r="C738" t="s">
        <v>1806</v>
      </c>
      <c r="D738" s="57">
        <v>45687</v>
      </c>
      <c r="E738" s="57">
        <v>45687</v>
      </c>
      <c r="F738" t="s">
        <v>16</v>
      </c>
      <c r="G738" s="11">
        <v>1.2</v>
      </c>
      <c r="H738" t="s">
        <v>1807</v>
      </c>
      <c r="I738" t="s">
        <v>565</v>
      </c>
      <c r="J738" t="s">
        <v>150</v>
      </c>
      <c r="K738">
        <v>45698</v>
      </c>
    </row>
    <row r="739" spans="1:13">
      <c r="B739" t="s">
        <v>2345</v>
      </c>
      <c r="C739" t="s">
        <v>1809</v>
      </c>
      <c r="D739" s="57">
        <v>45695</v>
      </c>
      <c r="F739" t="s">
        <v>16</v>
      </c>
      <c r="G739" s="11">
        <v>1682</v>
      </c>
      <c r="H739" t="s">
        <v>1810</v>
      </c>
      <c r="I739" t="s">
        <v>1811</v>
      </c>
      <c r="J739" t="s">
        <v>56</v>
      </c>
    </row>
    <row r="740" spans="1:13">
      <c r="B740" t="s">
        <v>2346</v>
      </c>
      <c r="C740" t="s">
        <v>1813</v>
      </c>
      <c r="D740" s="57">
        <v>45693</v>
      </c>
      <c r="E740" s="57">
        <v>45693</v>
      </c>
      <c r="F740" t="s">
        <v>16</v>
      </c>
      <c r="G740" s="11">
        <v>108.01</v>
      </c>
      <c r="H740" t="s">
        <v>1814</v>
      </c>
      <c r="J740" t="s">
        <v>24</v>
      </c>
    </row>
    <row r="741" spans="1:13">
      <c r="A741" t="s">
        <v>316</v>
      </c>
      <c r="B741" t="s">
        <v>2347</v>
      </c>
      <c r="C741" t="s">
        <v>1816</v>
      </c>
      <c r="D741" s="57">
        <v>45701</v>
      </c>
      <c r="F741" t="s">
        <v>49</v>
      </c>
      <c r="G741" s="11">
        <v>6.85</v>
      </c>
      <c r="H741" t="s">
        <v>1817</v>
      </c>
      <c r="I741" t="s">
        <v>1818</v>
      </c>
      <c r="J741" t="s">
        <v>150</v>
      </c>
    </row>
    <row r="742" spans="1:13">
      <c r="A742" t="s">
        <v>316</v>
      </c>
      <c r="B742" t="s">
        <v>2347</v>
      </c>
      <c r="C742" t="s">
        <v>1819</v>
      </c>
      <c r="D742" s="57">
        <v>45805</v>
      </c>
      <c r="F742" t="s">
        <v>16</v>
      </c>
      <c r="G742" s="11">
        <v>0</v>
      </c>
      <c r="H742" t="s">
        <v>1820</v>
      </c>
      <c r="I742" t="s">
        <v>1821</v>
      </c>
      <c r="J742" t="s">
        <v>150</v>
      </c>
    </row>
    <row r="743" spans="1:13">
      <c r="A743" t="s">
        <v>316</v>
      </c>
      <c r="B743" t="s">
        <v>2347</v>
      </c>
      <c r="C743" t="s">
        <v>1822</v>
      </c>
      <c r="D743" s="57">
        <v>45874</v>
      </c>
      <c r="F743" t="s">
        <v>49</v>
      </c>
      <c r="G743" s="11">
        <v>30.19</v>
      </c>
      <c r="H743" t="s">
        <v>1823</v>
      </c>
      <c r="I743" t="s">
        <v>1824</v>
      </c>
      <c r="J743" t="s">
        <v>1825</v>
      </c>
      <c r="K743">
        <v>45960</v>
      </c>
      <c r="L743">
        <v>32.19</v>
      </c>
      <c r="M743" t="s">
        <v>1826</v>
      </c>
    </row>
    <row r="744" spans="1:13">
      <c r="A744" t="s">
        <v>316</v>
      </c>
      <c r="B744" t="s">
        <v>2347</v>
      </c>
      <c r="C744" t="s">
        <v>1827</v>
      </c>
      <c r="D744" s="57">
        <v>45635</v>
      </c>
      <c r="E744" s="57">
        <v>45665</v>
      </c>
      <c r="F744" t="s">
        <v>16</v>
      </c>
      <c r="G744" s="11">
        <v>26.65</v>
      </c>
      <c r="I744" t="s">
        <v>1828</v>
      </c>
      <c r="J744" t="s">
        <v>176</v>
      </c>
      <c r="K744">
        <v>45972</v>
      </c>
      <c r="L744">
        <v>26.65</v>
      </c>
      <c r="M744" t="s">
        <v>394</v>
      </c>
    </row>
    <row r="745" spans="1:13">
      <c r="A745" t="s">
        <v>316</v>
      </c>
      <c r="B745" t="s">
        <v>2347</v>
      </c>
      <c r="C745" t="s">
        <v>1829</v>
      </c>
      <c r="D745" s="57">
        <v>45706</v>
      </c>
      <c r="F745" t="s">
        <v>49</v>
      </c>
      <c r="G745" s="11">
        <v>204.97</v>
      </c>
      <c r="H745" t="s">
        <v>1830</v>
      </c>
      <c r="I745" t="s">
        <v>1831</v>
      </c>
      <c r="J745" t="s">
        <v>150</v>
      </c>
    </row>
    <row r="746" spans="1:13">
      <c r="A746" t="s">
        <v>316</v>
      </c>
      <c r="B746" t="s">
        <v>2347</v>
      </c>
      <c r="C746" t="s">
        <v>1832</v>
      </c>
      <c r="D746" s="57">
        <v>45734</v>
      </c>
      <c r="E746" s="57">
        <v>45764</v>
      </c>
      <c r="F746" t="s">
        <v>16</v>
      </c>
      <c r="G746" s="11">
        <v>36.51</v>
      </c>
      <c r="H746" t="s">
        <v>1833</v>
      </c>
      <c r="I746" t="s">
        <v>312</v>
      </c>
    </row>
    <row r="747" spans="1:13">
      <c r="A747" t="s">
        <v>316</v>
      </c>
      <c r="B747" t="s">
        <v>2347</v>
      </c>
      <c r="C747" t="s">
        <v>1834</v>
      </c>
      <c r="D747" s="57">
        <v>45741</v>
      </c>
      <c r="F747" t="s">
        <v>16</v>
      </c>
      <c r="G747" s="11">
        <v>0</v>
      </c>
      <c r="H747" t="s">
        <v>1835</v>
      </c>
      <c r="I747" t="s">
        <v>1836</v>
      </c>
    </row>
    <row r="748" spans="1:13">
      <c r="A748" t="s">
        <v>13</v>
      </c>
      <c r="B748" t="s">
        <v>2347</v>
      </c>
      <c r="C748" t="s">
        <v>1837</v>
      </c>
      <c r="D748" s="57">
        <v>45559</v>
      </c>
      <c r="E748" s="57">
        <v>45589</v>
      </c>
      <c r="F748" t="s">
        <v>49</v>
      </c>
      <c r="G748" s="11">
        <v>30.39</v>
      </c>
      <c r="I748" t="s">
        <v>1838</v>
      </c>
      <c r="J748" t="s">
        <v>176</v>
      </c>
      <c r="K748">
        <v>45972</v>
      </c>
      <c r="L748">
        <v>30.39</v>
      </c>
      <c r="M748" t="s">
        <v>19</v>
      </c>
    </row>
    <row r="749" spans="1:13">
      <c r="A749" t="s">
        <v>1839</v>
      </c>
      <c r="B749" t="s">
        <v>2347</v>
      </c>
      <c r="C749" t="s">
        <v>1840</v>
      </c>
      <c r="D749" s="57">
        <v>45805</v>
      </c>
      <c r="E749" s="57">
        <v>45835</v>
      </c>
      <c r="G749" s="11">
        <v>335.87</v>
      </c>
      <c r="H749" t="s">
        <v>1841</v>
      </c>
      <c r="I749" t="s">
        <v>1842</v>
      </c>
      <c r="J749" t="s">
        <v>18</v>
      </c>
    </row>
    <row r="750" spans="1:13">
      <c r="A750" t="s">
        <v>1839</v>
      </c>
      <c r="B750" t="s">
        <v>2347</v>
      </c>
      <c r="C750" t="s">
        <v>1843</v>
      </c>
      <c r="D750" s="57">
        <v>45919</v>
      </c>
      <c r="E750" s="57">
        <v>45950</v>
      </c>
      <c r="G750" s="11">
        <v>188</v>
      </c>
      <c r="H750" t="s">
        <v>1844</v>
      </c>
      <c r="I750" t="s">
        <v>1845</v>
      </c>
      <c r="J750" t="s">
        <v>1846</v>
      </c>
    </row>
    <row r="751" spans="1:13">
      <c r="A751" t="s">
        <v>1839</v>
      </c>
      <c r="B751" t="s">
        <v>2347</v>
      </c>
      <c r="C751" t="s">
        <v>1843</v>
      </c>
      <c r="D751" s="57">
        <v>45919</v>
      </c>
      <c r="E751" s="57">
        <v>46042</v>
      </c>
      <c r="G751" s="11">
        <v>188</v>
      </c>
      <c r="H751" t="s">
        <v>1844</v>
      </c>
      <c r="I751" t="s">
        <v>1845</v>
      </c>
      <c r="J751" t="s">
        <v>1846</v>
      </c>
    </row>
    <row r="752" spans="1:13">
      <c r="A752" t="s">
        <v>1839</v>
      </c>
      <c r="B752" t="s">
        <v>2347</v>
      </c>
      <c r="C752" t="s">
        <v>1843</v>
      </c>
      <c r="D752" s="57">
        <v>45919</v>
      </c>
      <c r="E752" s="57">
        <v>46132</v>
      </c>
      <c r="G752" s="11">
        <v>188</v>
      </c>
      <c r="H752" t="s">
        <v>1844</v>
      </c>
      <c r="I752" t="s">
        <v>1845</v>
      </c>
      <c r="J752" t="s">
        <v>1846</v>
      </c>
    </row>
    <row r="753" spans="1:13">
      <c r="A753" t="s">
        <v>1839</v>
      </c>
      <c r="B753" t="s">
        <v>2347</v>
      </c>
      <c r="C753" t="s">
        <v>1843</v>
      </c>
      <c r="D753" s="57">
        <v>45919</v>
      </c>
      <c r="E753" s="57">
        <v>46223</v>
      </c>
      <c r="G753" s="11">
        <v>188.58</v>
      </c>
      <c r="H753" t="s">
        <v>1844</v>
      </c>
      <c r="I753" t="s">
        <v>1845</v>
      </c>
      <c r="J753" t="s">
        <v>1846</v>
      </c>
    </row>
    <row r="754" spans="1:13">
      <c r="B754" t="s">
        <v>2347</v>
      </c>
      <c r="C754" t="s">
        <v>1847</v>
      </c>
      <c r="D754" s="57">
        <v>45979</v>
      </c>
      <c r="E754" s="57">
        <v>45979</v>
      </c>
      <c r="F754" t="s">
        <v>49</v>
      </c>
      <c r="G754" s="11">
        <v>0</v>
      </c>
      <c r="I754" t="s">
        <v>1848</v>
      </c>
      <c r="J754" t="s">
        <v>1849</v>
      </c>
    </row>
    <row r="755" spans="1:13">
      <c r="B755" t="s">
        <v>2347</v>
      </c>
      <c r="C755" t="s">
        <v>1850</v>
      </c>
      <c r="D755" s="57">
        <v>45986</v>
      </c>
      <c r="E755" s="57">
        <v>46020</v>
      </c>
      <c r="G755" s="11">
        <v>11.06</v>
      </c>
      <c r="I755" t="s">
        <v>1851</v>
      </c>
      <c r="J755" t="s">
        <v>1849</v>
      </c>
    </row>
    <row r="756" spans="1:13">
      <c r="A756" t="s">
        <v>13</v>
      </c>
      <c r="B756" t="s">
        <v>2404</v>
      </c>
      <c r="C756" t="s">
        <v>1857</v>
      </c>
      <c r="D756" s="57">
        <v>45962</v>
      </c>
      <c r="E756" s="57" t="s">
        <v>1858</v>
      </c>
      <c r="F756" t="s">
        <v>16</v>
      </c>
      <c r="G756" s="11">
        <v>137.97999999999999</v>
      </c>
      <c r="I756" t="s">
        <v>1859</v>
      </c>
      <c r="J756" t="s">
        <v>361</v>
      </c>
    </row>
    <row r="757" spans="1:13">
      <c r="B757" t="s">
        <v>2350</v>
      </c>
      <c r="C757" t="s">
        <v>1874</v>
      </c>
      <c r="D757" s="57">
        <v>45716</v>
      </c>
      <c r="F757" t="s">
        <v>16</v>
      </c>
      <c r="G757" s="11">
        <v>345.34</v>
      </c>
      <c r="H757" t="s">
        <v>1875</v>
      </c>
      <c r="I757" t="s">
        <v>1384</v>
      </c>
      <c r="J757" t="s">
        <v>56</v>
      </c>
    </row>
    <row r="758" spans="1:13">
      <c r="A758" t="s">
        <v>13</v>
      </c>
      <c r="B758" t="s">
        <v>2351</v>
      </c>
      <c r="C758" t="s">
        <v>1861</v>
      </c>
      <c r="D758" s="57">
        <v>45665</v>
      </c>
      <c r="E758" s="57">
        <v>45665</v>
      </c>
      <c r="F758" t="s">
        <v>16</v>
      </c>
      <c r="G758" s="11">
        <v>170.5</v>
      </c>
      <c r="H758" t="s">
        <v>1862</v>
      </c>
      <c r="I758" t="s">
        <v>1863</v>
      </c>
      <c r="J758" t="s">
        <v>751</v>
      </c>
    </row>
    <row r="759" spans="1:13">
      <c r="A759" t="s">
        <v>13</v>
      </c>
      <c r="B759" t="s">
        <v>2351</v>
      </c>
      <c r="C759" t="s">
        <v>1864</v>
      </c>
      <c r="D759" s="57">
        <v>45709</v>
      </c>
      <c r="F759" t="s">
        <v>49</v>
      </c>
      <c r="G759" s="11">
        <v>173</v>
      </c>
      <c r="H759" t="s">
        <v>1865</v>
      </c>
      <c r="I759" t="s">
        <v>1773</v>
      </c>
      <c r="J759" t="s">
        <v>1792</v>
      </c>
      <c r="M759" t="s">
        <v>1866</v>
      </c>
    </row>
    <row r="760" spans="1:13">
      <c r="A760" t="s">
        <v>13</v>
      </c>
      <c r="B760" t="s">
        <v>2351</v>
      </c>
      <c r="C760" t="s">
        <v>1867</v>
      </c>
      <c r="D760" s="57">
        <v>45826</v>
      </c>
      <c r="F760" t="s">
        <v>16</v>
      </c>
      <c r="G760" s="11">
        <v>35.5</v>
      </c>
      <c r="H760" t="s">
        <v>1868</v>
      </c>
      <c r="I760" t="s">
        <v>1773</v>
      </c>
      <c r="M760" t="s">
        <v>1866</v>
      </c>
    </row>
    <row r="761" spans="1:13">
      <c r="A761" t="s">
        <v>13</v>
      </c>
      <c r="B761" t="s">
        <v>2351</v>
      </c>
      <c r="C761" t="s">
        <v>1869</v>
      </c>
      <c r="D761" s="57">
        <v>45853</v>
      </c>
      <c r="F761" t="s">
        <v>16</v>
      </c>
      <c r="G761" s="11">
        <v>123.5</v>
      </c>
      <c r="H761" t="s">
        <v>1870</v>
      </c>
      <c r="I761" t="s">
        <v>1773</v>
      </c>
      <c r="J761" t="s">
        <v>794</v>
      </c>
      <c r="M761" t="s">
        <v>1866</v>
      </c>
    </row>
    <row r="762" spans="1:13">
      <c r="A762" t="s">
        <v>13</v>
      </c>
      <c r="B762" t="s">
        <v>2351</v>
      </c>
      <c r="C762" t="s">
        <v>1568</v>
      </c>
      <c r="D762" s="57">
        <v>45959</v>
      </c>
      <c r="F762" t="s">
        <v>49</v>
      </c>
      <c r="G762" s="11">
        <v>49.5</v>
      </c>
      <c r="I762" t="s">
        <v>1871</v>
      </c>
      <c r="J762" t="s">
        <v>1872</v>
      </c>
      <c r="M762" t="s">
        <v>1866</v>
      </c>
    </row>
    <row r="763" spans="1:13">
      <c r="B763" t="s">
        <v>2352</v>
      </c>
      <c r="C763" t="s">
        <v>1877</v>
      </c>
      <c r="D763" s="57">
        <v>45658</v>
      </c>
      <c r="E763" s="57">
        <v>45688</v>
      </c>
      <c r="F763" t="s">
        <v>16</v>
      </c>
      <c r="G763" s="11">
        <v>52.22</v>
      </c>
      <c r="H763" t="s">
        <v>1878</v>
      </c>
      <c r="I763" t="s">
        <v>1093</v>
      </c>
      <c r="J763" t="s">
        <v>150</v>
      </c>
      <c r="M763" t="s">
        <v>19</v>
      </c>
    </row>
    <row r="764" spans="1:13">
      <c r="B764" t="s">
        <v>2352</v>
      </c>
      <c r="C764" t="s">
        <v>1879</v>
      </c>
      <c r="D764" s="57">
        <v>45658</v>
      </c>
      <c r="E764" s="57">
        <v>45688</v>
      </c>
      <c r="F764" t="s">
        <v>16</v>
      </c>
      <c r="G764" s="11">
        <v>50.8</v>
      </c>
      <c r="H764" t="s">
        <v>1880</v>
      </c>
      <c r="I764" t="s">
        <v>1093</v>
      </c>
      <c r="J764" t="s">
        <v>150</v>
      </c>
      <c r="M764" t="s">
        <v>19</v>
      </c>
    </row>
    <row r="765" spans="1:13">
      <c r="B765" t="s">
        <v>2352</v>
      </c>
      <c r="C765" t="s">
        <v>1881</v>
      </c>
      <c r="D765" s="57">
        <v>45658</v>
      </c>
      <c r="E765" s="57">
        <v>45688</v>
      </c>
      <c r="F765" t="s">
        <v>16</v>
      </c>
      <c r="G765" s="11">
        <v>70.599999999999994</v>
      </c>
      <c r="H765" t="s">
        <v>1882</v>
      </c>
      <c r="I765" t="s">
        <v>1093</v>
      </c>
      <c r="J765" t="s">
        <v>150</v>
      </c>
      <c r="M765" t="s">
        <v>19</v>
      </c>
    </row>
    <row r="766" spans="1:13">
      <c r="B766" t="s">
        <v>2352</v>
      </c>
      <c r="C766" t="s">
        <v>1883</v>
      </c>
      <c r="D766" s="57">
        <v>45689</v>
      </c>
      <c r="F766" t="s">
        <v>16</v>
      </c>
      <c r="G766" s="11">
        <v>50.8</v>
      </c>
      <c r="H766" t="s">
        <v>1884</v>
      </c>
      <c r="J766" t="s">
        <v>150</v>
      </c>
      <c r="M766" t="s">
        <v>19</v>
      </c>
    </row>
    <row r="767" spans="1:13">
      <c r="B767" t="s">
        <v>2352</v>
      </c>
      <c r="C767" t="s">
        <v>1885</v>
      </c>
      <c r="D767" s="57">
        <v>45689</v>
      </c>
      <c r="F767" t="s">
        <v>16</v>
      </c>
      <c r="G767" s="11">
        <v>52.22</v>
      </c>
      <c r="H767" t="s">
        <v>1886</v>
      </c>
      <c r="J767" t="s">
        <v>150</v>
      </c>
      <c r="M767" t="s">
        <v>19</v>
      </c>
    </row>
    <row r="768" spans="1:13">
      <c r="B768" t="s">
        <v>2352</v>
      </c>
      <c r="C768" t="s">
        <v>1887</v>
      </c>
      <c r="D768" s="57">
        <v>45689</v>
      </c>
      <c r="F768" t="s">
        <v>16</v>
      </c>
      <c r="G768" s="11">
        <v>70.599999999999994</v>
      </c>
      <c r="H768" t="s">
        <v>1888</v>
      </c>
      <c r="J768" t="s">
        <v>150</v>
      </c>
      <c r="M768" t="s">
        <v>19</v>
      </c>
    </row>
    <row r="769" spans="2:13">
      <c r="B769" t="s">
        <v>2352</v>
      </c>
      <c r="C769" t="s">
        <v>1889</v>
      </c>
      <c r="D769" s="57">
        <v>45693</v>
      </c>
      <c r="F769" t="s">
        <v>16</v>
      </c>
      <c r="G769" s="11">
        <v>0</v>
      </c>
      <c r="H769" t="s">
        <v>1890</v>
      </c>
      <c r="I769" t="s">
        <v>1093</v>
      </c>
      <c r="M769" t="s">
        <v>19</v>
      </c>
    </row>
    <row r="770" spans="2:13">
      <c r="B770" t="s">
        <v>2352</v>
      </c>
      <c r="C770" t="s">
        <v>1891</v>
      </c>
      <c r="D770" s="57">
        <v>45717</v>
      </c>
      <c r="F770" t="s">
        <v>16</v>
      </c>
      <c r="G770" s="11">
        <v>52.22</v>
      </c>
      <c r="H770" t="s">
        <v>1892</v>
      </c>
      <c r="J770" t="s">
        <v>154</v>
      </c>
      <c r="M770" t="s">
        <v>19</v>
      </c>
    </row>
    <row r="771" spans="2:13">
      <c r="B771" t="s">
        <v>2352</v>
      </c>
      <c r="C771" t="s">
        <v>1893</v>
      </c>
      <c r="D771" s="57">
        <v>45717</v>
      </c>
      <c r="F771" t="s">
        <v>16</v>
      </c>
      <c r="G771" s="11">
        <v>50.8</v>
      </c>
      <c r="H771" t="s">
        <v>1894</v>
      </c>
      <c r="J771" t="s">
        <v>150</v>
      </c>
      <c r="M771" t="s">
        <v>19</v>
      </c>
    </row>
    <row r="772" spans="2:13">
      <c r="B772" t="s">
        <v>2352</v>
      </c>
      <c r="C772" t="s">
        <v>1895</v>
      </c>
      <c r="D772" s="57">
        <v>45717</v>
      </c>
      <c r="F772" t="s">
        <v>16</v>
      </c>
      <c r="G772" s="11">
        <v>70.599999999999994</v>
      </c>
      <c r="H772" t="s">
        <v>1896</v>
      </c>
      <c r="J772" t="s">
        <v>150</v>
      </c>
      <c r="M772" t="s">
        <v>19</v>
      </c>
    </row>
    <row r="773" spans="2:13">
      <c r="B773" t="s">
        <v>2352</v>
      </c>
      <c r="C773" t="s">
        <v>1897</v>
      </c>
      <c r="D773" s="57">
        <v>45748</v>
      </c>
      <c r="F773" t="s">
        <v>16</v>
      </c>
      <c r="G773" s="11">
        <v>52.22</v>
      </c>
      <c r="H773" t="s">
        <v>1898</v>
      </c>
      <c r="J773" t="s">
        <v>154</v>
      </c>
      <c r="M773" t="s">
        <v>19</v>
      </c>
    </row>
    <row r="774" spans="2:13">
      <c r="B774" t="s">
        <v>2352</v>
      </c>
      <c r="C774" t="s">
        <v>1899</v>
      </c>
      <c r="D774" s="57">
        <v>45748</v>
      </c>
      <c r="F774" t="s">
        <v>16</v>
      </c>
      <c r="G774" s="11">
        <v>50.8</v>
      </c>
      <c r="H774" t="s">
        <v>1900</v>
      </c>
      <c r="J774" t="s">
        <v>150</v>
      </c>
      <c r="M774" t="s">
        <v>19</v>
      </c>
    </row>
    <row r="775" spans="2:13">
      <c r="B775" t="s">
        <v>2352</v>
      </c>
      <c r="C775" t="s">
        <v>1901</v>
      </c>
      <c r="D775" s="57">
        <v>45748</v>
      </c>
      <c r="F775" t="s">
        <v>16</v>
      </c>
      <c r="G775" s="11">
        <v>70.599999999999994</v>
      </c>
      <c r="H775" t="s">
        <v>1902</v>
      </c>
      <c r="J775" t="s">
        <v>150</v>
      </c>
      <c r="M775" t="s">
        <v>19</v>
      </c>
    </row>
    <row r="776" spans="2:13">
      <c r="B776" t="s">
        <v>2352</v>
      </c>
      <c r="C776" t="s">
        <v>1903</v>
      </c>
      <c r="D776" s="57">
        <v>45747</v>
      </c>
      <c r="F776" t="s">
        <v>16</v>
      </c>
      <c r="G776" s="11">
        <v>496.99</v>
      </c>
      <c r="H776" t="s">
        <v>1904</v>
      </c>
      <c r="J776" t="s">
        <v>350</v>
      </c>
      <c r="M776" t="s">
        <v>19</v>
      </c>
    </row>
    <row r="777" spans="2:13">
      <c r="B777" t="s">
        <v>2352</v>
      </c>
      <c r="C777" t="s">
        <v>1905</v>
      </c>
      <c r="D777" s="57">
        <v>45747</v>
      </c>
      <c r="F777" t="s">
        <v>16</v>
      </c>
      <c r="G777" s="11">
        <v>19.12</v>
      </c>
      <c r="H777" t="s">
        <v>1906</v>
      </c>
      <c r="J777" t="s">
        <v>154</v>
      </c>
      <c r="M777" t="s">
        <v>19</v>
      </c>
    </row>
    <row r="778" spans="2:13">
      <c r="B778" t="s">
        <v>2352</v>
      </c>
      <c r="C778" t="s">
        <v>1907</v>
      </c>
      <c r="D778" s="57">
        <v>45748</v>
      </c>
      <c r="F778" t="s">
        <v>16</v>
      </c>
      <c r="G778" s="11">
        <v>49.8</v>
      </c>
      <c r="H778" t="s">
        <v>1908</v>
      </c>
      <c r="J778" t="s">
        <v>150</v>
      </c>
      <c r="M778" t="s">
        <v>19</v>
      </c>
    </row>
    <row r="779" spans="2:13">
      <c r="B779" t="s">
        <v>2352</v>
      </c>
      <c r="C779" t="s">
        <v>1909</v>
      </c>
      <c r="D779" s="57">
        <v>45758</v>
      </c>
      <c r="F779" t="s">
        <v>16</v>
      </c>
      <c r="G779" s="11">
        <v>0</v>
      </c>
      <c r="H779" t="s">
        <v>1910</v>
      </c>
      <c r="M779" t="s">
        <v>19</v>
      </c>
    </row>
    <row r="780" spans="2:13">
      <c r="B780" t="s">
        <v>2352</v>
      </c>
      <c r="C780" t="s">
        <v>1911</v>
      </c>
      <c r="D780" s="57">
        <v>45778</v>
      </c>
      <c r="F780" t="s">
        <v>16</v>
      </c>
      <c r="G780" s="11">
        <v>49.8</v>
      </c>
      <c r="H780" t="s">
        <v>1912</v>
      </c>
      <c r="J780" t="s">
        <v>150</v>
      </c>
      <c r="M780" t="s">
        <v>19</v>
      </c>
    </row>
    <row r="781" spans="2:13">
      <c r="B781" t="s">
        <v>2352</v>
      </c>
      <c r="C781" t="s">
        <v>1913</v>
      </c>
      <c r="D781" s="57">
        <v>45778</v>
      </c>
      <c r="F781" t="s">
        <v>16</v>
      </c>
      <c r="G781" s="11">
        <v>60.72</v>
      </c>
      <c r="H781" t="s">
        <v>1914</v>
      </c>
      <c r="J781" t="s">
        <v>150</v>
      </c>
      <c r="M781" t="s">
        <v>19</v>
      </c>
    </row>
    <row r="782" spans="2:13">
      <c r="B782" t="s">
        <v>2352</v>
      </c>
      <c r="C782" t="s">
        <v>1915</v>
      </c>
      <c r="D782" s="57">
        <v>45778</v>
      </c>
      <c r="F782" t="s">
        <v>16</v>
      </c>
      <c r="G782" s="11">
        <v>53.12</v>
      </c>
      <c r="H782" t="s">
        <v>1916</v>
      </c>
      <c r="J782" t="s">
        <v>150</v>
      </c>
      <c r="M782" t="s">
        <v>19</v>
      </c>
    </row>
    <row r="783" spans="2:13">
      <c r="B783" t="s">
        <v>2352</v>
      </c>
      <c r="C783" t="s">
        <v>1917</v>
      </c>
      <c r="D783" s="57">
        <v>45778</v>
      </c>
      <c r="F783" t="s">
        <v>16</v>
      </c>
      <c r="G783" s="11">
        <v>70.599999999999994</v>
      </c>
      <c r="H783" t="s">
        <v>1918</v>
      </c>
      <c r="J783" t="s">
        <v>150</v>
      </c>
      <c r="M783" t="s">
        <v>19</v>
      </c>
    </row>
    <row r="784" spans="2:13">
      <c r="B784" t="s">
        <v>2352</v>
      </c>
      <c r="C784" t="s">
        <v>1919</v>
      </c>
      <c r="D784" s="57">
        <v>45809</v>
      </c>
      <c r="F784" t="s">
        <v>16</v>
      </c>
      <c r="G784" s="11">
        <v>49.8</v>
      </c>
      <c r="H784" t="s">
        <v>1920</v>
      </c>
      <c r="J784" t="s">
        <v>150</v>
      </c>
      <c r="M784" t="s">
        <v>19</v>
      </c>
    </row>
    <row r="785" spans="2:13">
      <c r="B785" t="s">
        <v>2352</v>
      </c>
      <c r="C785" t="s">
        <v>1921</v>
      </c>
      <c r="D785" s="57">
        <v>45809</v>
      </c>
      <c r="F785" t="s">
        <v>16</v>
      </c>
      <c r="G785" s="11">
        <v>66.86</v>
      </c>
      <c r="H785" t="s">
        <v>1922</v>
      </c>
      <c r="J785" t="s">
        <v>150</v>
      </c>
      <c r="M785" t="s">
        <v>19</v>
      </c>
    </row>
    <row r="786" spans="2:13">
      <c r="B786" t="s">
        <v>2352</v>
      </c>
      <c r="C786" t="s">
        <v>1923</v>
      </c>
      <c r="D786" s="57">
        <v>45809</v>
      </c>
      <c r="F786" t="s">
        <v>16</v>
      </c>
      <c r="G786" s="11">
        <v>62.79</v>
      </c>
      <c r="H786" t="s">
        <v>1924</v>
      </c>
      <c r="J786" t="s">
        <v>150</v>
      </c>
      <c r="M786" t="s">
        <v>19</v>
      </c>
    </row>
    <row r="787" spans="2:13">
      <c r="B787" t="s">
        <v>2352</v>
      </c>
      <c r="C787" t="s">
        <v>1925</v>
      </c>
      <c r="D787" s="57">
        <v>45809</v>
      </c>
      <c r="F787" t="s">
        <v>16</v>
      </c>
      <c r="G787" s="11">
        <v>70.599999999999994</v>
      </c>
      <c r="H787" t="s">
        <v>1926</v>
      </c>
      <c r="J787" t="s">
        <v>150</v>
      </c>
      <c r="M787" t="s">
        <v>19</v>
      </c>
    </row>
    <row r="788" spans="2:13">
      <c r="B788" t="s">
        <v>2352</v>
      </c>
      <c r="C788" t="s">
        <v>1927</v>
      </c>
      <c r="D788" s="57">
        <v>45839</v>
      </c>
      <c r="F788" t="s">
        <v>16</v>
      </c>
      <c r="G788" s="11">
        <v>49.8</v>
      </c>
      <c r="H788" t="s">
        <v>1928</v>
      </c>
      <c r="J788" t="s">
        <v>150</v>
      </c>
      <c r="M788" t="s">
        <v>19</v>
      </c>
    </row>
    <row r="789" spans="2:13">
      <c r="B789" t="s">
        <v>2352</v>
      </c>
      <c r="C789" t="s">
        <v>1929</v>
      </c>
      <c r="D789" s="57">
        <v>45839</v>
      </c>
      <c r="F789" t="s">
        <v>16</v>
      </c>
      <c r="G789" s="11">
        <v>66.86</v>
      </c>
      <c r="H789" t="s">
        <v>1930</v>
      </c>
      <c r="J789" t="s">
        <v>150</v>
      </c>
      <c r="M789" t="s">
        <v>19</v>
      </c>
    </row>
    <row r="790" spans="2:13">
      <c r="B790" t="s">
        <v>2352</v>
      </c>
      <c r="C790" t="s">
        <v>1931</v>
      </c>
      <c r="D790" s="57">
        <v>45839</v>
      </c>
      <c r="F790" t="s">
        <v>16</v>
      </c>
      <c r="G790" s="11">
        <v>62.79</v>
      </c>
      <c r="H790" t="s">
        <v>1932</v>
      </c>
      <c r="J790" t="s">
        <v>150</v>
      </c>
      <c r="M790" t="s">
        <v>19</v>
      </c>
    </row>
    <row r="791" spans="2:13">
      <c r="B791" t="s">
        <v>2352</v>
      </c>
      <c r="C791" t="s">
        <v>1933</v>
      </c>
      <c r="D791" s="57">
        <v>45839</v>
      </c>
      <c r="F791" t="s">
        <v>16</v>
      </c>
      <c r="G791" s="11">
        <v>70.599999999999994</v>
      </c>
      <c r="H791" t="s">
        <v>1934</v>
      </c>
      <c r="J791" t="s">
        <v>150</v>
      </c>
      <c r="M791" t="s">
        <v>19</v>
      </c>
    </row>
    <row r="792" spans="2:13">
      <c r="B792" t="s">
        <v>2352</v>
      </c>
      <c r="C792" t="s">
        <v>1935</v>
      </c>
      <c r="D792" s="57">
        <v>45870</v>
      </c>
      <c r="F792" t="s">
        <v>16</v>
      </c>
      <c r="G792" s="11">
        <v>49.8</v>
      </c>
      <c r="H792" t="s">
        <v>1936</v>
      </c>
      <c r="J792" t="s">
        <v>150</v>
      </c>
      <c r="M792" t="s">
        <v>19</v>
      </c>
    </row>
    <row r="793" spans="2:13">
      <c r="B793" t="s">
        <v>2352</v>
      </c>
      <c r="C793" t="s">
        <v>1937</v>
      </c>
      <c r="D793" s="57">
        <v>45870</v>
      </c>
      <c r="F793" t="s">
        <v>16</v>
      </c>
      <c r="G793" s="11">
        <v>66.86</v>
      </c>
      <c r="H793" t="s">
        <v>1938</v>
      </c>
      <c r="J793" t="s">
        <v>150</v>
      </c>
      <c r="M793" t="s">
        <v>19</v>
      </c>
    </row>
    <row r="794" spans="2:13">
      <c r="B794" t="s">
        <v>2352</v>
      </c>
      <c r="C794" t="s">
        <v>1939</v>
      </c>
      <c r="D794" s="57">
        <v>45870</v>
      </c>
      <c r="F794" t="s">
        <v>16</v>
      </c>
      <c r="G794" s="11">
        <v>62.79</v>
      </c>
      <c r="H794" t="s">
        <v>1940</v>
      </c>
      <c r="J794" t="s">
        <v>150</v>
      </c>
      <c r="M794" t="s">
        <v>19</v>
      </c>
    </row>
    <row r="795" spans="2:13">
      <c r="B795" t="s">
        <v>2352</v>
      </c>
      <c r="C795" t="s">
        <v>1941</v>
      </c>
      <c r="D795" s="57">
        <v>45870</v>
      </c>
      <c r="F795" t="s">
        <v>16</v>
      </c>
      <c r="G795" s="11">
        <v>70.599999999999994</v>
      </c>
      <c r="H795" t="s">
        <v>1942</v>
      </c>
      <c r="J795" t="s">
        <v>150</v>
      </c>
      <c r="M795" t="s">
        <v>19</v>
      </c>
    </row>
    <row r="796" spans="2:13">
      <c r="B796" t="s">
        <v>2352</v>
      </c>
      <c r="C796" t="s">
        <v>1943</v>
      </c>
      <c r="D796" s="57">
        <v>45901</v>
      </c>
      <c r="F796" t="s">
        <v>16</v>
      </c>
      <c r="G796" s="11">
        <v>51.3</v>
      </c>
      <c r="H796" t="s">
        <v>1944</v>
      </c>
      <c r="J796" t="s">
        <v>150</v>
      </c>
      <c r="M796" t="s">
        <v>19</v>
      </c>
    </row>
    <row r="797" spans="2:13">
      <c r="B797" t="s">
        <v>2352</v>
      </c>
      <c r="C797" t="s">
        <v>1945</v>
      </c>
      <c r="D797" s="57">
        <v>45901</v>
      </c>
      <c r="F797" t="s">
        <v>16</v>
      </c>
      <c r="G797" s="11">
        <v>62.79</v>
      </c>
      <c r="H797" t="s">
        <v>1946</v>
      </c>
      <c r="J797" t="s">
        <v>150</v>
      </c>
      <c r="M797" t="s">
        <v>19</v>
      </c>
    </row>
    <row r="798" spans="2:13">
      <c r="B798" t="s">
        <v>2352</v>
      </c>
      <c r="C798" t="s">
        <v>1947</v>
      </c>
      <c r="D798" s="57">
        <v>45901</v>
      </c>
      <c r="F798" t="s">
        <v>16</v>
      </c>
      <c r="G798" s="11">
        <v>66.86</v>
      </c>
      <c r="H798" t="s">
        <v>1948</v>
      </c>
      <c r="J798" t="s">
        <v>150</v>
      </c>
      <c r="M798" t="s">
        <v>19</v>
      </c>
    </row>
    <row r="799" spans="2:13">
      <c r="B799" t="s">
        <v>2352</v>
      </c>
      <c r="C799" t="s">
        <v>1949</v>
      </c>
      <c r="D799" s="57">
        <v>45901</v>
      </c>
      <c r="F799" t="s">
        <v>16</v>
      </c>
      <c r="G799" s="11">
        <v>70.599999999999994</v>
      </c>
      <c r="H799" t="s">
        <v>1950</v>
      </c>
      <c r="J799" t="s">
        <v>150</v>
      </c>
      <c r="M799" t="s">
        <v>19</v>
      </c>
    </row>
    <row r="800" spans="2:13">
      <c r="B800" t="s">
        <v>2352</v>
      </c>
      <c r="C800" t="s">
        <v>1951</v>
      </c>
      <c r="D800" s="57">
        <v>45904</v>
      </c>
      <c r="F800" t="s">
        <v>16</v>
      </c>
      <c r="G800" s="11">
        <v>0</v>
      </c>
      <c r="H800" t="s">
        <v>1952</v>
      </c>
      <c r="J800" t="s">
        <v>150</v>
      </c>
      <c r="M800" t="s">
        <v>19</v>
      </c>
    </row>
    <row r="801" spans="1:13">
      <c r="B801" t="s">
        <v>2352</v>
      </c>
      <c r="C801" t="s">
        <v>1953</v>
      </c>
      <c r="D801" s="57">
        <v>45931</v>
      </c>
      <c r="F801" t="s">
        <v>16</v>
      </c>
      <c r="G801" s="11">
        <v>58.8</v>
      </c>
      <c r="H801" t="s">
        <v>1954</v>
      </c>
      <c r="J801" t="s">
        <v>150</v>
      </c>
      <c r="M801" t="s">
        <v>19</v>
      </c>
    </row>
    <row r="802" spans="1:13">
      <c r="B802" t="s">
        <v>2352</v>
      </c>
      <c r="C802" t="s">
        <v>1955</v>
      </c>
      <c r="D802" s="57">
        <v>45931</v>
      </c>
      <c r="F802" t="s">
        <v>16</v>
      </c>
      <c r="G802" s="11">
        <v>66.86</v>
      </c>
      <c r="H802" t="s">
        <v>1956</v>
      </c>
      <c r="J802" t="s">
        <v>150</v>
      </c>
      <c r="M802" t="s">
        <v>19</v>
      </c>
    </row>
    <row r="803" spans="1:13">
      <c r="B803" t="s">
        <v>2352</v>
      </c>
      <c r="C803" t="s">
        <v>1957</v>
      </c>
      <c r="D803" s="57">
        <v>45931</v>
      </c>
      <c r="F803" t="s">
        <v>16</v>
      </c>
      <c r="G803" s="11">
        <v>62.79</v>
      </c>
      <c r="H803" t="s">
        <v>1958</v>
      </c>
      <c r="J803" t="s">
        <v>150</v>
      </c>
      <c r="M803" t="s">
        <v>19</v>
      </c>
    </row>
    <row r="804" spans="1:13">
      <c r="B804" t="s">
        <v>2352</v>
      </c>
      <c r="C804" t="s">
        <v>1959</v>
      </c>
      <c r="D804" s="57">
        <v>45931</v>
      </c>
      <c r="F804" t="s">
        <v>16</v>
      </c>
      <c r="G804" s="11">
        <v>70.599999999999994</v>
      </c>
      <c r="H804" t="s">
        <v>1960</v>
      </c>
      <c r="J804" t="s">
        <v>150</v>
      </c>
      <c r="M804" t="s">
        <v>19</v>
      </c>
    </row>
    <row r="805" spans="1:13">
      <c r="B805" t="s">
        <v>2352</v>
      </c>
      <c r="C805" t="s">
        <v>1961</v>
      </c>
      <c r="D805" s="57">
        <v>45962</v>
      </c>
      <c r="F805" t="s">
        <v>49</v>
      </c>
      <c r="G805" s="11">
        <v>70.599999999999994</v>
      </c>
      <c r="J805" t="s">
        <v>150</v>
      </c>
      <c r="M805" t="s">
        <v>19</v>
      </c>
    </row>
    <row r="806" spans="1:13">
      <c r="B806" t="s">
        <v>2352</v>
      </c>
      <c r="C806" t="s">
        <v>1962</v>
      </c>
      <c r="D806" s="57">
        <v>45962</v>
      </c>
      <c r="F806" t="s">
        <v>49</v>
      </c>
      <c r="G806" s="11">
        <v>66.86</v>
      </c>
      <c r="J806" t="s">
        <v>150</v>
      </c>
      <c r="M806" t="s">
        <v>19</v>
      </c>
    </row>
    <row r="807" spans="1:13">
      <c r="B807" t="s">
        <v>2352</v>
      </c>
      <c r="C807" t="s">
        <v>1963</v>
      </c>
      <c r="D807" s="57">
        <v>45962</v>
      </c>
      <c r="F807" t="s">
        <v>49</v>
      </c>
      <c r="G807" s="11">
        <v>62.79</v>
      </c>
      <c r="J807" t="s">
        <v>150</v>
      </c>
      <c r="M807" t="s">
        <v>19</v>
      </c>
    </row>
    <row r="808" spans="1:13">
      <c r="B808" t="s">
        <v>2352</v>
      </c>
      <c r="C808" t="s">
        <v>1964</v>
      </c>
      <c r="D808" s="57">
        <v>45962</v>
      </c>
      <c r="F808" t="s">
        <v>49</v>
      </c>
      <c r="G808" s="11">
        <v>58.8</v>
      </c>
      <c r="J808" t="s">
        <v>150</v>
      </c>
      <c r="M808" t="s">
        <v>19</v>
      </c>
    </row>
    <row r="809" spans="1:13">
      <c r="B809" t="s">
        <v>2352</v>
      </c>
      <c r="C809" t="s">
        <v>1965</v>
      </c>
      <c r="D809" s="57">
        <v>45992</v>
      </c>
      <c r="F809" t="s">
        <v>49</v>
      </c>
      <c r="G809" s="11">
        <v>70.599999999999994</v>
      </c>
      <c r="J809" t="s">
        <v>150</v>
      </c>
      <c r="M809" t="s">
        <v>19</v>
      </c>
    </row>
    <row r="810" spans="1:13">
      <c r="B810" t="s">
        <v>2352</v>
      </c>
      <c r="C810" t="s">
        <v>1966</v>
      </c>
      <c r="D810" s="57">
        <v>45992</v>
      </c>
      <c r="F810" t="s">
        <v>49</v>
      </c>
      <c r="G810" s="11">
        <v>62.79</v>
      </c>
      <c r="J810" t="s">
        <v>150</v>
      </c>
      <c r="M810" t="s">
        <v>19</v>
      </c>
    </row>
    <row r="811" spans="1:13">
      <c r="B811" t="s">
        <v>2352</v>
      </c>
      <c r="C811" t="s">
        <v>1967</v>
      </c>
      <c r="D811" s="57">
        <v>45992</v>
      </c>
      <c r="F811" t="s">
        <v>49</v>
      </c>
      <c r="G811" s="11">
        <v>66.86</v>
      </c>
      <c r="J811" t="s">
        <v>150</v>
      </c>
      <c r="M811" t="s">
        <v>19</v>
      </c>
    </row>
    <row r="812" spans="1:13">
      <c r="B812" t="s">
        <v>2352</v>
      </c>
      <c r="C812" t="s">
        <v>1968</v>
      </c>
      <c r="D812" s="57">
        <v>45992</v>
      </c>
      <c r="F812" t="s">
        <v>49</v>
      </c>
      <c r="G812" s="11">
        <v>58.8</v>
      </c>
      <c r="J812" t="s">
        <v>150</v>
      </c>
      <c r="M812" t="s">
        <v>19</v>
      </c>
    </row>
    <row r="813" spans="1:13">
      <c r="A813" t="s">
        <v>13</v>
      </c>
      <c r="B813" t="s">
        <v>2405</v>
      </c>
      <c r="C813" t="s">
        <v>1970</v>
      </c>
      <c r="D813" s="57">
        <v>45948</v>
      </c>
      <c r="E813" s="57" t="s">
        <v>1971</v>
      </c>
      <c r="F813" t="s">
        <v>49</v>
      </c>
      <c r="G813" s="11">
        <v>701.77</v>
      </c>
      <c r="I813" t="s">
        <v>1972</v>
      </c>
      <c r="J813" t="s">
        <v>75</v>
      </c>
      <c r="K813">
        <v>45947</v>
      </c>
      <c r="L813">
        <v>701.77</v>
      </c>
      <c r="M813" t="s">
        <v>1973</v>
      </c>
    </row>
    <row r="814" spans="1:13">
      <c r="A814" t="s">
        <v>13</v>
      </c>
      <c r="B814" t="s">
        <v>2405</v>
      </c>
      <c r="C814" t="s">
        <v>1970</v>
      </c>
      <c r="D814" s="57">
        <v>45948</v>
      </c>
      <c r="E814" s="57">
        <v>45948</v>
      </c>
      <c r="F814" t="s">
        <v>49</v>
      </c>
      <c r="G814" s="11">
        <v>98.48</v>
      </c>
      <c r="I814" t="s">
        <v>1972</v>
      </c>
      <c r="J814" t="s">
        <v>75</v>
      </c>
      <c r="K814">
        <v>45951</v>
      </c>
      <c r="L814">
        <v>98.48</v>
      </c>
      <c r="M814" t="s">
        <v>1974</v>
      </c>
    </row>
    <row r="815" spans="1:13">
      <c r="A815" t="s">
        <v>13</v>
      </c>
      <c r="B815" t="s">
        <v>2355</v>
      </c>
      <c r="C815" t="s">
        <v>343</v>
      </c>
      <c r="D815" s="57">
        <v>45670</v>
      </c>
      <c r="E815" s="57">
        <v>45670</v>
      </c>
      <c r="F815" t="s">
        <v>16</v>
      </c>
      <c r="G815" s="11">
        <v>830.72</v>
      </c>
      <c r="H815" t="s">
        <v>1976</v>
      </c>
      <c r="I815" t="s">
        <v>1977</v>
      </c>
      <c r="J815" t="s">
        <v>105</v>
      </c>
      <c r="M815" t="s">
        <v>1978</v>
      </c>
    </row>
    <row r="816" spans="1:13">
      <c r="A816" t="s">
        <v>13</v>
      </c>
      <c r="B816" t="s">
        <v>2355</v>
      </c>
      <c r="C816" t="s">
        <v>343</v>
      </c>
      <c r="D816" s="57">
        <v>45670</v>
      </c>
      <c r="E816" s="57">
        <v>45670</v>
      </c>
      <c r="F816" t="s">
        <v>16</v>
      </c>
      <c r="G816" s="11">
        <v>256.2</v>
      </c>
      <c r="H816" t="s">
        <v>1976</v>
      </c>
      <c r="I816" t="s">
        <v>1977</v>
      </c>
      <c r="J816" t="s">
        <v>56</v>
      </c>
    </row>
    <row r="817" spans="1:13">
      <c r="A817" t="s">
        <v>13</v>
      </c>
      <c r="B817" t="s">
        <v>2355</v>
      </c>
      <c r="C817" t="s">
        <v>1979</v>
      </c>
      <c r="D817" s="57">
        <v>45688</v>
      </c>
      <c r="E817" s="57">
        <v>45688</v>
      </c>
      <c r="F817" t="s">
        <v>16</v>
      </c>
      <c r="G817" s="11">
        <v>-180.56</v>
      </c>
      <c r="H817" t="s">
        <v>1980</v>
      </c>
      <c r="I817" t="s">
        <v>1981</v>
      </c>
    </row>
    <row r="818" spans="1:13">
      <c r="A818" t="s">
        <v>13</v>
      </c>
      <c r="B818" t="s">
        <v>2355</v>
      </c>
      <c r="C818" t="s">
        <v>1982</v>
      </c>
      <c r="D818" s="57">
        <v>45731</v>
      </c>
      <c r="F818" t="s">
        <v>16</v>
      </c>
      <c r="G818" s="11">
        <v>194.71</v>
      </c>
      <c r="H818" t="s">
        <v>1983</v>
      </c>
      <c r="I818" t="s">
        <v>1984</v>
      </c>
      <c r="J818" t="s">
        <v>751</v>
      </c>
    </row>
    <row r="819" spans="1:13">
      <c r="A819" t="s">
        <v>13</v>
      </c>
      <c r="B819" t="s">
        <v>2355</v>
      </c>
      <c r="C819" t="s">
        <v>1985</v>
      </c>
      <c r="D819" s="57">
        <v>45747</v>
      </c>
      <c r="F819" t="s">
        <v>16</v>
      </c>
      <c r="G819" s="11">
        <v>179.55</v>
      </c>
      <c r="H819" t="s">
        <v>1986</v>
      </c>
      <c r="I819" t="s">
        <v>1384</v>
      </c>
      <c r="J819" t="s">
        <v>66</v>
      </c>
    </row>
    <row r="820" spans="1:13">
      <c r="A820" t="s">
        <v>13</v>
      </c>
      <c r="B820" t="s">
        <v>2355</v>
      </c>
      <c r="C820" t="s">
        <v>1987</v>
      </c>
      <c r="D820" s="57">
        <v>45800</v>
      </c>
      <c r="F820" t="s">
        <v>16</v>
      </c>
      <c r="G820" s="11">
        <v>213.5</v>
      </c>
      <c r="H820" t="s">
        <v>1988</v>
      </c>
      <c r="I820" t="s">
        <v>1989</v>
      </c>
      <c r="J820" t="s">
        <v>56</v>
      </c>
      <c r="K820">
        <v>45868</v>
      </c>
      <c r="M820" t="s">
        <v>345</v>
      </c>
    </row>
    <row r="821" spans="1:13">
      <c r="A821" t="s">
        <v>13</v>
      </c>
      <c r="B821" t="s">
        <v>2355</v>
      </c>
      <c r="C821" t="s">
        <v>1990</v>
      </c>
      <c r="D821" s="57">
        <v>45868</v>
      </c>
      <c r="F821" t="s">
        <v>16</v>
      </c>
      <c r="G821" s="11">
        <v>1166.31</v>
      </c>
      <c r="J821" t="s">
        <v>66</v>
      </c>
    </row>
    <row r="822" spans="1:13">
      <c r="A822" t="s">
        <v>13</v>
      </c>
      <c r="B822" t="s">
        <v>2355</v>
      </c>
      <c r="C822" t="s">
        <v>1991</v>
      </c>
      <c r="D822" s="57">
        <v>45874</v>
      </c>
      <c r="E822" s="57">
        <v>45910</v>
      </c>
      <c r="F822" t="s">
        <v>16</v>
      </c>
      <c r="G822" s="11">
        <v>1383.41</v>
      </c>
      <c r="H822" t="s">
        <v>1992</v>
      </c>
      <c r="I822" t="s">
        <v>1993</v>
      </c>
      <c r="J822" t="s">
        <v>66</v>
      </c>
    </row>
    <row r="823" spans="1:13">
      <c r="A823" t="s">
        <v>13</v>
      </c>
      <c r="B823" t="s">
        <v>2355</v>
      </c>
      <c r="C823" t="s">
        <v>1994</v>
      </c>
      <c r="D823" s="57">
        <v>45909</v>
      </c>
      <c r="F823" t="s">
        <v>16</v>
      </c>
      <c r="G823" s="11">
        <v>63.44</v>
      </c>
      <c r="H823" t="s">
        <v>1995</v>
      </c>
      <c r="I823" t="s">
        <v>1996</v>
      </c>
      <c r="J823" t="s">
        <v>56</v>
      </c>
    </row>
    <row r="824" spans="1:13">
      <c r="A824" t="s">
        <v>1997</v>
      </c>
      <c r="B824" t="s">
        <v>2355</v>
      </c>
      <c r="C824" t="s">
        <v>1998</v>
      </c>
      <c r="D824" s="57">
        <v>45951</v>
      </c>
      <c r="E824" s="57">
        <v>45951</v>
      </c>
      <c r="F824" t="s">
        <v>16</v>
      </c>
      <c r="G824" s="11">
        <v>360.88</v>
      </c>
      <c r="I824" t="s">
        <v>1999</v>
      </c>
      <c r="J824" t="s">
        <v>354</v>
      </c>
      <c r="K824">
        <v>45950</v>
      </c>
      <c r="L824">
        <v>295.8</v>
      </c>
      <c r="M824" t="s">
        <v>394</v>
      </c>
    </row>
    <row r="825" spans="1:13">
      <c r="A825" t="s">
        <v>2000</v>
      </c>
      <c r="B825" t="s">
        <v>2355</v>
      </c>
      <c r="C825" t="s">
        <v>1998</v>
      </c>
      <c r="D825" s="57">
        <v>45951</v>
      </c>
      <c r="E825" s="57">
        <v>45951</v>
      </c>
      <c r="G825" s="11">
        <v>65.08</v>
      </c>
      <c r="I825" t="s">
        <v>1999</v>
      </c>
      <c r="J825" t="s">
        <v>83</v>
      </c>
    </row>
    <row r="826" spans="1:13">
      <c r="A826" t="s">
        <v>2004</v>
      </c>
      <c r="B826" t="s">
        <v>2406</v>
      </c>
      <c r="C826" t="s">
        <v>2006</v>
      </c>
      <c r="D826" s="57">
        <v>45838</v>
      </c>
      <c r="E826" s="57">
        <v>45838</v>
      </c>
      <c r="F826" t="s">
        <v>16</v>
      </c>
      <c r="G826" s="11">
        <v>572</v>
      </c>
      <c r="I826" t="s">
        <v>2007</v>
      </c>
      <c r="J826" t="s">
        <v>56</v>
      </c>
      <c r="K826">
        <v>45950</v>
      </c>
      <c r="L826">
        <v>582</v>
      </c>
      <c r="M826" t="s">
        <v>2008</v>
      </c>
    </row>
    <row r="827" spans="1:13">
      <c r="B827" t="s">
        <v>2358</v>
      </c>
      <c r="C827" t="s">
        <v>2010</v>
      </c>
      <c r="D827" s="57">
        <v>45817</v>
      </c>
      <c r="F827" t="s">
        <v>16</v>
      </c>
      <c r="G827" s="11">
        <v>180.84</v>
      </c>
      <c r="H827" t="s">
        <v>2011</v>
      </c>
      <c r="I827" t="s">
        <v>1863</v>
      </c>
      <c r="J827" t="s">
        <v>215</v>
      </c>
    </row>
    <row r="828" spans="1:13">
      <c r="A828" t="s">
        <v>13</v>
      </c>
      <c r="B828" t="s">
        <v>2407</v>
      </c>
      <c r="C828" t="s">
        <v>1063</v>
      </c>
      <c r="D828" s="57">
        <v>45950</v>
      </c>
      <c r="E828" s="57">
        <v>45950</v>
      </c>
      <c r="F828" t="s">
        <v>49</v>
      </c>
      <c r="G828" s="11">
        <v>1989</v>
      </c>
      <c r="I828" t="s">
        <v>2013</v>
      </c>
      <c r="J828" t="s">
        <v>142</v>
      </c>
      <c r="L828">
        <v>1989</v>
      </c>
      <c r="M828" t="s">
        <v>111</v>
      </c>
    </row>
    <row r="829" spans="1:13">
      <c r="A829" t="s">
        <v>13</v>
      </c>
      <c r="B829" t="s">
        <v>2360</v>
      </c>
      <c r="C829" t="s">
        <v>2015</v>
      </c>
      <c r="D829" s="57">
        <v>45201</v>
      </c>
      <c r="F829" t="s">
        <v>49</v>
      </c>
      <c r="G829" s="11">
        <v>269.63</v>
      </c>
      <c r="H829" t="s">
        <v>2016</v>
      </c>
      <c r="I829" t="s">
        <v>2017</v>
      </c>
      <c r="J829" t="s">
        <v>56</v>
      </c>
      <c r="M829" t="s">
        <v>2018</v>
      </c>
    </row>
    <row r="830" spans="1:13">
      <c r="A830" t="s">
        <v>13</v>
      </c>
      <c r="B830" t="s">
        <v>2360</v>
      </c>
      <c r="C830" t="s">
        <v>2019</v>
      </c>
      <c r="D830" s="57">
        <v>45203</v>
      </c>
      <c r="F830" t="s">
        <v>49</v>
      </c>
      <c r="G830" s="11">
        <v>94.28</v>
      </c>
      <c r="H830" t="s">
        <v>2020</v>
      </c>
      <c r="I830" t="s">
        <v>2017</v>
      </c>
      <c r="J830" t="s">
        <v>56</v>
      </c>
      <c r="K830">
        <v>45853</v>
      </c>
      <c r="M830" t="s">
        <v>2021</v>
      </c>
    </row>
    <row r="831" spans="1:13">
      <c r="A831" t="s">
        <v>13</v>
      </c>
      <c r="B831" t="s">
        <v>2360</v>
      </c>
      <c r="C831" t="s">
        <v>2022</v>
      </c>
      <c r="D831" s="57">
        <v>45203</v>
      </c>
      <c r="F831" t="s">
        <v>49</v>
      </c>
      <c r="G831" s="11">
        <v>1236.82</v>
      </c>
      <c r="H831" t="s">
        <v>2023</v>
      </c>
      <c r="I831" t="s">
        <v>2017</v>
      </c>
      <c r="J831" t="s">
        <v>56</v>
      </c>
      <c r="M831" t="s">
        <v>2024</v>
      </c>
    </row>
    <row r="832" spans="1:13">
      <c r="A832" t="s">
        <v>13</v>
      </c>
      <c r="B832" t="s">
        <v>2360</v>
      </c>
      <c r="C832" t="s">
        <v>2022</v>
      </c>
      <c r="D832" s="57">
        <v>45203</v>
      </c>
      <c r="F832" t="s">
        <v>49</v>
      </c>
      <c r="G832" s="11">
        <v>1636.99</v>
      </c>
      <c r="H832" t="s">
        <v>2023</v>
      </c>
      <c r="I832" t="s">
        <v>2017</v>
      </c>
      <c r="J832" t="s">
        <v>56</v>
      </c>
      <c r="M832" t="s">
        <v>2025</v>
      </c>
    </row>
    <row r="833" spans="1:13">
      <c r="A833" t="s">
        <v>13</v>
      </c>
      <c r="B833" t="s">
        <v>2360</v>
      </c>
      <c r="C833" t="s">
        <v>2019</v>
      </c>
      <c r="D833" s="57">
        <v>45965</v>
      </c>
      <c r="F833" t="s">
        <v>49</v>
      </c>
      <c r="G833" s="11">
        <v>472.74</v>
      </c>
      <c r="I833" t="s">
        <v>2026</v>
      </c>
      <c r="J833" t="s">
        <v>83</v>
      </c>
      <c r="M833" t="s">
        <v>2027</v>
      </c>
    </row>
    <row r="834" spans="1:13">
      <c r="B834" t="s">
        <v>2361</v>
      </c>
      <c r="C834" t="s">
        <v>2029</v>
      </c>
      <c r="D834" s="57">
        <v>45804</v>
      </c>
      <c r="F834" t="s">
        <v>16</v>
      </c>
      <c r="G834" s="11">
        <v>71.790000000000006</v>
      </c>
      <c r="H834" t="s">
        <v>2030</v>
      </c>
      <c r="I834" t="s">
        <v>1455</v>
      </c>
      <c r="J834" t="s">
        <v>56</v>
      </c>
    </row>
    <row r="835" spans="1:13">
      <c r="B835" t="s">
        <v>2361</v>
      </c>
      <c r="C835" t="s">
        <v>2031</v>
      </c>
      <c r="D835" s="57">
        <v>45974</v>
      </c>
      <c r="E835" s="57">
        <v>45974</v>
      </c>
      <c r="F835" t="s">
        <v>49</v>
      </c>
      <c r="G835" s="11">
        <v>85.18</v>
      </c>
      <c r="I835" t="s">
        <v>1455</v>
      </c>
      <c r="J835" t="s">
        <v>56</v>
      </c>
      <c r="K835">
        <v>45974</v>
      </c>
      <c r="L835">
        <v>85.18</v>
      </c>
      <c r="M835" t="s">
        <v>47</v>
      </c>
    </row>
    <row r="836" spans="1:13">
      <c r="B836" t="s">
        <v>2363</v>
      </c>
      <c r="C836" t="s">
        <v>2033</v>
      </c>
      <c r="D836" s="57">
        <v>45688</v>
      </c>
      <c r="E836" s="57">
        <v>45716</v>
      </c>
      <c r="F836" t="s">
        <v>16</v>
      </c>
      <c r="G836" s="11">
        <v>152.38999999999999</v>
      </c>
      <c r="H836" t="s">
        <v>2034</v>
      </c>
      <c r="I836" t="s">
        <v>312</v>
      </c>
      <c r="J836" t="s">
        <v>110</v>
      </c>
      <c r="K836">
        <v>45716</v>
      </c>
      <c r="L836">
        <v>152.38999999999999</v>
      </c>
    </row>
    <row r="837" spans="1:13">
      <c r="B837" t="s">
        <v>2363</v>
      </c>
      <c r="C837" t="s">
        <v>2033</v>
      </c>
      <c r="D837" s="57">
        <v>45688</v>
      </c>
      <c r="E837" s="57">
        <v>45747</v>
      </c>
      <c r="F837" t="s">
        <v>16</v>
      </c>
      <c r="G837" s="11">
        <v>152.38999999999999</v>
      </c>
      <c r="H837" t="s">
        <v>2034</v>
      </c>
      <c r="I837" t="s">
        <v>312</v>
      </c>
      <c r="J837" t="s">
        <v>66</v>
      </c>
      <c r="K837">
        <v>45775</v>
      </c>
      <c r="L837">
        <v>152.38999999999999</v>
      </c>
    </row>
    <row r="838" spans="1:13">
      <c r="B838" t="s">
        <v>2363</v>
      </c>
      <c r="C838" t="s">
        <v>2035</v>
      </c>
      <c r="D838" s="57">
        <v>45650</v>
      </c>
      <c r="E838" s="57">
        <v>45716</v>
      </c>
      <c r="F838" t="s">
        <v>16</v>
      </c>
      <c r="G838" s="11">
        <v>694.17</v>
      </c>
      <c r="H838" t="s">
        <v>2036</v>
      </c>
      <c r="J838" t="s">
        <v>110</v>
      </c>
      <c r="K838">
        <v>45775</v>
      </c>
      <c r="L838">
        <v>694.17</v>
      </c>
    </row>
    <row r="839" spans="1:13">
      <c r="B839" t="s">
        <v>2364</v>
      </c>
      <c r="C839" t="s">
        <v>338</v>
      </c>
      <c r="D839" s="57">
        <v>45685</v>
      </c>
      <c r="F839" t="s">
        <v>16</v>
      </c>
      <c r="G839" s="11">
        <v>1300</v>
      </c>
      <c r="H839" t="s">
        <v>2038</v>
      </c>
      <c r="I839" t="s">
        <v>337</v>
      </c>
      <c r="J839" t="s">
        <v>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9"/>
  <dimension ref="A1:M1"/>
  <sheetViews>
    <sheetView workbookViewId="0">
      <selection activeCell="O26" sqref="O26"/>
    </sheetView>
  </sheetViews>
  <sheetFormatPr defaultRowHeight="15"/>
  <cols>
    <col min="1" max="1" width="11.140625" bestFit="1" customWidth="1"/>
    <col min="2" max="2" width="11.28515625" bestFit="1" customWidth="1"/>
    <col min="3" max="3" width="11.5703125" bestFit="1" customWidth="1"/>
    <col min="4" max="4" width="6.140625" bestFit="1" customWidth="1"/>
    <col min="5" max="5" width="11.42578125" bestFit="1" customWidth="1"/>
    <col min="6" max="6" width="6.5703125" bestFit="1" customWidth="1"/>
    <col min="7" max="7" width="10.42578125" bestFit="1" customWidth="1"/>
    <col min="8" max="8" width="10.5703125" bestFit="1" customWidth="1"/>
    <col min="9" max="9" width="10.85546875" bestFit="1" customWidth="1"/>
    <col min="10" max="10" width="21.5703125" bestFit="1" customWidth="1"/>
    <col min="11" max="11" width="17.42578125" bestFit="1" customWidth="1"/>
    <col min="12" max="12" width="20.7109375" bestFit="1" customWidth="1"/>
    <col min="13" max="13" width="8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10">
    <pageSetUpPr fitToPage="1"/>
  </sheetPr>
  <dimension ref="A1:H589"/>
  <sheetViews>
    <sheetView topLeftCell="A51" zoomScaleNormal="100" workbookViewId="0">
      <selection activeCell="G76" sqref="G76"/>
    </sheetView>
  </sheetViews>
  <sheetFormatPr defaultRowHeight="18.75"/>
  <cols>
    <col min="1" max="1" width="37.28515625" style="39" bestFit="1" customWidth="1"/>
    <col min="2" max="2" width="19" style="40" bestFit="1" customWidth="1"/>
    <col min="3" max="3" width="37.85546875" style="44" customWidth="1"/>
    <col min="7" max="7" width="37.28515625" bestFit="1" customWidth="1"/>
    <col min="8" max="8" width="19" bestFit="1" customWidth="1"/>
  </cols>
  <sheetData>
    <row r="1" spans="1:8" ht="15" customHeight="1">
      <c r="A1" s="41" t="s">
        <v>5</v>
      </c>
      <c r="B1" s="11" t="s">
        <v>2408</v>
      </c>
      <c r="G1" s="41" t="s">
        <v>5</v>
      </c>
      <c r="H1" s="11" t="s">
        <v>2408</v>
      </c>
    </row>
    <row r="2" spans="1:8" ht="15" customHeight="1">
      <c r="A2" s="41" t="s">
        <v>6</v>
      </c>
      <c r="B2" t="s">
        <v>2409</v>
      </c>
      <c r="G2" s="41" t="s">
        <v>6</v>
      </c>
      <c r="H2" t="s">
        <v>2409</v>
      </c>
    </row>
    <row r="3" spans="1:8" ht="15" customHeight="1"/>
    <row r="4" spans="1:8" ht="15" customHeight="1">
      <c r="A4" s="41" t="s">
        <v>2410</v>
      </c>
      <c r="B4" s="11" t="s">
        <v>2411</v>
      </c>
      <c r="G4" s="41" t="s">
        <v>2410</v>
      </c>
      <c r="H4" s="11" t="s">
        <v>2411</v>
      </c>
    </row>
    <row r="5" spans="1:8" ht="15" customHeight="1">
      <c r="A5" s="42" t="s">
        <v>2367</v>
      </c>
      <c r="B5" s="11">
        <v>189.99</v>
      </c>
      <c r="C5" s="44" t="str">
        <f>IFERROR(IF(OR(VLOOKUP(A5,#REF!, 4, FALSE)="", VLOOKUP(A5,#REF!, 4, FALSE)&lt;DATE(2024,1,1)), "RISCHEDULARE O SCADENZA MANCANTE", VLOOKUP(A5,#REF!, 4, FALSE)), "")</f>
        <v/>
      </c>
      <c r="G5" s="42" t="s">
        <v>2048</v>
      </c>
      <c r="H5" s="11">
        <v>1390.8</v>
      </c>
    </row>
    <row r="6" spans="1:8" ht="15" customHeight="1">
      <c r="A6" s="43" t="s">
        <v>45</v>
      </c>
      <c r="B6" s="11">
        <v>189.99</v>
      </c>
      <c r="C6" s="44" t="str">
        <f>IFERROR(IF(OR(VLOOKUP(A6,#REF!, 4, FALSE)="", VLOOKUP(A6,#REF!, 4, FALSE)&lt;DATE(2024,1,1)), "RISCHEDULARE O SCADENZA MANCANTE", VLOOKUP(A6,#REF!, 4, FALSE)), "")</f>
        <v/>
      </c>
      <c r="G6" s="43" t="s">
        <v>53</v>
      </c>
      <c r="H6" s="11">
        <v>1390.8</v>
      </c>
    </row>
    <row r="7" spans="1:8" ht="15" customHeight="1">
      <c r="A7" s="42" t="s">
        <v>2048</v>
      </c>
      <c r="B7" s="11">
        <v>1390.8</v>
      </c>
      <c r="C7" s="44" t="str">
        <f>IFERROR(IF(OR(VLOOKUP(A7,#REF!, 4, FALSE)="", VLOOKUP(A7,#REF!, 4, FALSE)&lt;DATE(2024,1,1)), "RISCHEDULARE O SCADENZA MANCANTE", VLOOKUP(A7,#REF!, 4, FALSE)), "")</f>
        <v/>
      </c>
      <c r="G7" s="42" t="s">
        <v>2053</v>
      </c>
      <c r="H7" s="11">
        <v>206</v>
      </c>
    </row>
    <row r="8" spans="1:8" ht="15" customHeight="1">
      <c r="A8" s="43" t="s">
        <v>53</v>
      </c>
      <c r="B8" s="11">
        <v>1390.8</v>
      </c>
      <c r="C8" s="44" t="str">
        <f>IFERROR(IF(OR(VLOOKUP(A8,#REF!, 4, FALSE)="", VLOOKUP(A8,#REF!, 4, FALSE)&lt;DATE(2024,1,1)), "RISCHEDULARE O SCADENZA MANCANTE", VLOOKUP(A8,#REF!, 4, FALSE)), "")</f>
        <v/>
      </c>
      <c r="G8" s="43">
        <v>172</v>
      </c>
      <c r="H8" s="11">
        <v>206</v>
      </c>
    </row>
    <row r="9" spans="1:8" ht="15" customHeight="1">
      <c r="A9" s="42" t="s">
        <v>2055</v>
      </c>
      <c r="B9" s="11">
        <v>1072.1300000000001</v>
      </c>
      <c r="C9" s="44" t="str">
        <f>IFERROR(IF(OR(VLOOKUP(A9,#REF!, 4, FALSE)="", VLOOKUP(A9,#REF!, 4, FALSE)&lt;DATE(2024,1,1)), "RISCHEDULARE O SCADENZA MANCANTE", VLOOKUP(A9,#REF!, 4, FALSE)), "")</f>
        <v/>
      </c>
      <c r="G9" s="42" t="s">
        <v>2055</v>
      </c>
      <c r="H9" s="11">
        <v>1072.1300000000001</v>
      </c>
    </row>
    <row r="10" spans="1:8" ht="15" customHeight="1">
      <c r="A10" s="43" t="s">
        <v>85</v>
      </c>
      <c r="B10" s="11">
        <v>977.42000000000007</v>
      </c>
      <c r="C10" s="44" t="str">
        <f>IFERROR(IF(OR(VLOOKUP(A10,#REF!, 4, FALSE)="", VLOOKUP(A10,#REF!, 4, FALSE)&lt;DATE(2024,1,1)), "RISCHEDULARE O SCADENZA MANCANTE", VLOOKUP(A10,#REF!, 4, FALSE)), "")</f>
        <v/>
      </c>
      <c r="G10" s="43" t="s">
        <v>85</v>
      </c>
      <c r="H10" s="11">
        <v>977.42000000000007</v>
      </c>
    </row>
    <row r="11" spans="1:8" ht="15" customHeight="1">
      <c r="A11" s="43" t="s">
        <v>91</v>
      </c>
      <c r="B11" s="11">
        <v>94.71</v>
      </c>
      <c r="C11" s="44" t="str">
        <f>IFERROR(IF(OR(VLOOKUP(A11,#REF!, 4, FALSE)="", VLOOKUP(A11,#REF!, 4, FALSE)&lt;DATE(2024,1,1)), "RISCHEDULARE O SCADENZA MANCANTE", VLOOKUP(A11,#REF!, 4, FALSE)), "")</f>
        <v/>
      </c>
      <c r="G11" s="43" t="s">
        <v>91</v>
      </c>
      <c r="H11" s="11">
        <v>94.71</v>
      </c>
    </row>
    <row r="12" spans="1:8" ht="15" customHeight="1">
      <c r="A12" s="42" t="s">
        <v>2057</v>
      </c>
      <c r="B12" s="11">
        <v>1271.58</v>
      </c>
      <c r="C12" s="44" t="str">
        <f>IFERROR(IF(OR(VLOOKUP(A12,#REF!, 4, FALSE)="", VLOOKUP(A12,#REF!, 4, FALSE)&lt;DATE(2024,1,1)), "RISCHEDULARE O SCADENZA MANCANTE", VLOOKUP(A12,#REF!, 4, FALSE)), "")</f>
        <v/>
      </c>
      <c r="G12" s="42" t="s">
        <v>2057</v>
      </c>
      <c r="H12" s="11">
        <v>1258.1600000000001</v>
      </c>
    </row>
    <row r="13" spans="1:8" ht="15" customHeight="1">
      <c r="A13" s="43" t="s">
        <v>139</v>
      </c>
      <c r="B13" s="11">
        <v>1244.74</v>
      </c>
      <c r="C13" s="44" t="str">
        <f>IFERROR(IF(OR(VLOOKUP(A13,#REF!, 4, FALSE)="", VLOOKUP(A13,#REF!, 4, FALSE)&lt;DATE(2024,1,1)), "RISCHEDULARE O SCADENZA MANCANTE", VLOOKUP(A13,#REF!, 4, FALSE)), "")</f>
        <v/>
      </c>
      <c r="G13" s="43" t="s">
        <v>139</v>
      </c>
      <c r="H13" s="11">
        <v>1244.74</v>
      </c>
    </row>
    <row r="14" spans="1:8" ht="15" customHeight="1">
      <c r="A14" s="43" t="s">
        <v>2408</v>
      </c>
      <c r="B14" s="11">
        <v>13.42</v>
      </c>
      <c r="C14" s="44" t="str">
        <f>IFERROR(IF(OR(VLOOKUP(A14,#REF!, 4, FALSE)="", VLOOKUP(A14,#REF!, 4, FALSE)&lt;DATE(2024,1,1)), "RISCHEDULARE O SCADENZA MANCANTE", VLOOKUP(A14,#REF!, 4, FALSE)), "")</f>
        <v/>
      </c>
      <c r="G14" s="43" t="s">
        <v>144</v>
      </c>
      <c r="H14" s="11">
        <v>13.42</v>
      </c>
    </row>
    <row r="15" spans="1:8" ht="15" customHeight="1">
      <c r="A15" s="43" t="s">
        <v>144</v>
      </c>
      <c r="B15" s="11">
        <v>13.42</v>
      </c>
      <c r="C15" s="44" t="str">
        <f>IFERROR(IF(OR(VLOOKUP(A15,#REF!, 4, FALSE)="", VLOOKUP(A15,#REF!, 4, FALSE)&lt;DATE(2024,1,1)), "RISCHEDULARE O SCADENZA MANCANTE", VLOOKUP(A15,#REF!, 4, FALSE)), "")</f>
        <v/>
      </c>
      <c r="G15" s="42" t="s">
        <v>2074</v>
      </c>
      <c r="H15" s="11">
        <v>3645.12</v>
      </c>
    </row>
    <row r="16" spans="1:8" ht="15" customHeight="1">
      <c r="A16" s="42" t="s">
        <v>2069</v>
      </c>
      <c r="B16" s="11">
        <v>483.11999999999989</v>
      </c>
      <c r="C16" s="44" t="str">
        <f>IFERROR(IF(OR(VLOOKUP(A16,#REF!, 4, FALSE)="", VLOOKUP(A16,#REF!, 4, FALSE)&lt;DATE(2024,1,1)), "RISCHEDULARE O SCADENZA MANCANTE", VLOOKUP(A16,#REF!, 4, FALSE)), "")</f>
        <v/>
      </c>
      <c r="G16" s="43" t="s">
        <v>241</v>
      </c>
      <c r="H16" s="11">
        <v>729.56</v>
      </c>
    </row>
    <row r="17" spans="1:8" ht="15" customHeight="1">
      <c r="A17" s="43" t="s">
        <v>2408</v>
      </c>
      <c r="B17" s="11">
        <v>483.11999999999989</v>
      </c>
      <c r="C17" s="44" t="str">
        <f>IFERROR(IF(OR(VLOOKUP(A17,#REF!, 4, FALSE)="", VLOOKUP(A17,#REF!, 4, FALSE)&lt;DATE(2024,1,1)), "RISCHEDULARE O SCADENZA MANCANTE", VLOOKUP(A17,#REF!, 4, FALSE)), "")</f>
        <v/>
      </c>
      <c r="G17" s="43" t="s">
        <v>247</v>
      </c>
      <c r="H17" s="11">
        <v>212.13</v>
      </c>
    </row>
    <row r="18" spans="1:8" ht="15" customHeight="1">
      <c r="A18" s="42" t="s">
        <v>2070</v>
      </c>
      <c r="B18" s="11">
        <v>218.16</v>
      </c>
      <c r="C18" s="44" t="str">
        <f>IFERROR(IF(OR(VLOOKUP(A18,#REF!, 4, FALSE)="", VLOOKUP(A18,#REF!, 4, FALSE)&lt;DATE(2024,1,1)), "RISCHEDULARE O SCADENZA MANCANTE", VLOOKUP(A18,#REF!, 4, FALSE)), "")</f>
        <v/>
      </c>
      <c r="G18" s="43" t="s">
        <v>244</v>
      </c>
      <c r="H18" s="11">
        <v>160</v>
      </c>
    </row>
    <row r="19" spans="1:8" ht="15" customHeight="1">
      <c r="A19" s="43" t="s">
        <v>212</v>
      </c>
      <c r="B19" s="11">
        <v>218.16</v>
      </c>
      <c r="C19" s="44" t="str">
        <f>IFERROR(IF(OR(VLOOKUP(A19,#REF!, 4, FALSE)="", VLOOKUP(A19,#REF!, 4, FALSE)&lt;DATE(2024,1,1)), "RISCHEDULARE O SCADENZA MANCANTE", VLOOKUP(A19,#REF!, 4, FALSE)), "")</f>
        <v/>
      </c>
      <c r="G19" s="43" t="s">
        <v>249</v>
      </c>
      <c r="H19" s="11">
        <v>372.13</v>
      </c>
    </row>
    <row r="20" spans="1:8" ht="15" customHeight="1">
      <c r="A20" s="42" t="s">
        <v>2074</v>
      </c>
      <c r="B20" s="11">
        <v>5473.82</v>
      </c>
      <c r="C20" s="44" t="str">
        <f>IFERROR(IF(OR(VLOOKUP(A20,#REF!, 4, FALSE)="", VLOOKUP(A20,#REF!, 4, FALSE)&lt;DATE(2024,1,1)), "RISCHEDULARE O SCADENZA MANCANTE", VLOOKUP(A20,#REF!, 4, FALSE)), "")</f>
        <v/>
      </c>
      <c r="G20" s="43" t="s">
        <v>2077</v>
      </c>
      <c r="H20" s="11">
        <v>1741.34</v>
      </c>
    </row>
    <row r="21" spans="1:8" ht="15" customHeight="1">
      <c r="A21" s="43" t="s">
        <v>241</v>
      </c>
      <c r="B21" s="11">
        <v>3869.64</v>
      </c>
      <c r="C21" s="44" t="str">
        <f>IFERROR(IF(OR(VLOOKUP(A21,#REF!, 4, FALSE)="", VLOOKUP(A21,#REF!, 4, FALSE)&lt;DATE(2024,1,1)), "RISCHEDULARE O SCADENZA MANCANTE", VLOOKUP(A21,#REF!, 4, FALSE)), "")</f>
        <v/>
      </c>
      <c r="G21" s="43" t="s">
        <v>2078</v>
      </c>
      <c r="H21" s="11">
        <v>429.96</v>
      </c>
    </row>
    <row r="22" spans="1:8" ht="15" customHeight="1">
      <c r="A22" s="43" t="s">
        <v>2075</v>
      </c>
      <c r="B22" s="11">
        <v>859.92</v>
      </c>
      <c r="C22" s="44" t="str">
        <f>IFERROR(IF(OR(VLOOKUP(A22,#REF!, 4, FALSE)="", VLOOKUP(A22,#REF!, 4, FALSE)&lt;DATE(2024,1,1)), "RISCHEDULARE O SCADENZA MANCANTE", VLOOKUP(A22,#REF!, 4, FALSE)), "")</f>
        <v/>
      </c>
      <c r="G22" s="42" t="s">
        <v>2079</v>
      </c>
      <c r="H22" s="11">
        <v>197.8</v>
      </c>
    </row>
    <row r="23" spans="1:8" ht="15" customHeight="1">
      <c r="A23" s="43" t="s">
        <v>247</v>
      </c>
      <c r="B23" s="11">
        <v>212.13</v>
      </c>
      <c r="C23" s="44" t="str">
        <f>IFERROR(IF(OR(VLOOKUP(A23,#REF!, 4, FALSE)="", VLOOKUP(A23,#REF!, 4, FALSE)&lt;DATE(2024,1,1)), "RISCHEDULARE O SCADENZA MANCANTE", VLOOKUP(A23,#REF!, 4, FALSE)), "")</f>
        <v/>
      </c>
      <c r="G23" s="43" t="s">
        <v>265</v>
      </c>
      <c r="H23" s="11">
        <v>197.8</v>
      </c>
    </row>
    <row r="24" spans="1:8" ht="15" customHeight="1">
      <c r="A24" s="43" t="s">
        <v>244</v>
      </c>
      <c r="B24" s="11">
        <v>160</v>
      </c>
      <c r="C24" s="44" t="str">
        <f>IFERROR(IF(OR(VLOOKUP(A24,#REF!, 4, FALSE)="", VLOOKUP(A24,#REF!, 4, FALSE)&lt;DATE(2024,1,1)), "RISCHEDULARE O SCADENZA MANCANTE", VLOOKUP(A24,#REF!, 4, FALSE)), "")</f>
        <v/>
      </c>
      <c r="G24" s="42" t="s">
        <v>2084</v>
      </c>
      <c r="H24" s="11">
        <v>2024.41</v>
      </c>
    </row>
    <row r="25" spans="1:8" ht="15" customHeight="1">
      <c r="A25" s="43" t="s">
        <v>249</v>
      </c>
      <c r="B25" s="11">
        <v>372.13</v>
      </c>
      <c r="C25" s="44" t="str">
        <f>IFERROR(IF(OR(VLOOKUP(A25,#REF!, 4, FALSE)="", VLOOKUP(A25,#REF!, 4, FALSE)&lt;DATE(2024,1,1)), "RISCHEDULARE O SCADENZA MANCANTE", VLOOKUP(A25,#REF!, 4, FALSE)), "")</f>
        <v/>
      </c>
      <c r="G25" s="43" t="s">
        <v>269</v>
      </c>
      <c r="H25" s="11">
        <v>643.05999999999995</v>
      </c>
    </row>
    <row r="26" spans="1:8" ht="15" customHeight="1">
      <c r="A26" s="42" t="s">
        <v>2079</v>
      </c>
      <c r="B26" s="11">
        <v>1479.99</v>
      </c>
      <c r="C26" s="44" t="str">
        <f>IFERROR(IF(OR(VLOOKUP(A26,#REF!, 4, FALSE)="", VLOOKUP(A26,#REF!, 4, FALSE)&lt;DATE(2024,1,1)), "RISCHEDULARE O SCADENZA MANCANTE", VLOOKUP(A26,#REF!, 4, FALSE)), "")</f>
        <v/>
      </c>
      <c r="G26" s="43" t="s">
        <v>272</v>
      </c>
      <c r="H26" s="11">
        <v>1381.35</v>
      </c>
    </row>
    <row r="27" spans="1:8" ht="15" customHeight="1">
      <c r="A27" s="43" t="s">
        <v>265</v>
      </c>
      <c r="B27" s="11">
        <v>1479.99</v>
      </c>
      <c r="C27" s="44" t="str">
        <f>IFERROR(IF(OR(VLOOKUP(A27,#REF!, 4, FALSE)="", VLOOKUP(A27,#REF!, 4, FALSE)&lt;DATE(2024,1,1)), "RISCHEDULARE O SCADENZA MANCANTE", VLOOKUP(A27,#REF!, 4, FALSE)), "")</f>
        <v/>
      </c>
      <c r="G27" s="42" t="s">
        <v>2090</v>
      </c>
      <c r="H27" s="11">
        <v>-126.88</v>
      </c>
    </row>
    <row r="28" spans="1:8" ht="15" customHeight="1">
      <c r="A28" s="42" t="s">
        <v>2084</v>
      </c>
      <c r="B28" s="11">
        <v>2024.41</v>
      </c>
      <c r="C28" s="44" t="str">
        <f>IFERROR(IF(OR(VLOOKUP(A28,#REF!, 4, FALSE)="", VLOOKUP(A28,#REF!, 4, FALSE)&lt;DATE(2024,1,1)), "RISCHEDULARE O SCADENZA MANCANTE", VLOOKUP(A28,#REF!, 4, FALSE)), "")</f>
        <v/>
      </c>
      <c r="G28" s="43" t="s">
        <v>2093</v>
      </c>
      <c r="H28" s="11">
        <v>-126.88</v>
      </c>
    </row>
    <row r="29" spans="1:8" ht="15" customHeight="1">
      <c r="A29" s="43" t="s">
        <v>269</v>
      </c>
      <c r="B29" s="11">
        <v>643.05999999999995</v>
      </c>
      <c r="C29" s="44" t="str">
        <f>IFERROR(IF(OR(VLOOKUP(A29,#REF!, 4, FALSE)="", VLOOKUP(A29,#REF!, 4, FALSE)&lt;DATE(2024,1,1)), "RISCHEDULARE O SCADENZA MANCANTE", VLOOKUP(A29,#REF!, 4, FALSE)), "")</f>
        <v/>
      </c>
      <c r="G29" s="42" t="s">
        <v>2094</v>
      </c>
      <c r="H29" s="11">
        <v>20000</v>
      </c>
    </row>
    <row r="30" spans="1:8" ht="15" customHeight="1">
      <c r="A30" s="43" t="s">
        <v>272</v>
      </c>
      <c r="B30" s="11">
        <v>1381.35</v>
      </c>
      <c r="C30" s="44" t="str">
        <f>IFERROR(IF(OR(VLOOKUP(A30,#REF!, 4, FALSE)="", VLOOKUP(A30,#REF!, 4, FALSE)&lt;DATE(2024,1,1)), "RISCHEDULARE O SCADENZA MANCANTE", VLOOKUP(A30,#REF!, 4, FALSE)), "")</f>
        <v/>
      </c>
      <c r="G30" s="43" t="s">
        <v>314</v>
      </c>
      <c r="H30" s="11">
        <v>20000</v>
      </c>
    </row>
    <row r="31" spans="1:8" ht="15" customHeight="1">
      <c r="A31" s="42" t="s">
        <v>2090</v>
      </c>
      <c r="B31" s="11">
        <v>126.88</v>
      </c>
      <c r="C31" s="44" t="str">
        <f>IFERROR(IF(OR(VLOOKUP(A31,#REF!, 4, FALSE)="", VLOOKUP(A31,#REF!, 4, FALSE)&lt;DATE(2024,1,1)), "RISCHEDULARE O SCADENZA MANCANTE", VLOOKUP(A31,#REF!, 4, FALSE)), "")</f>
        <v/>
      </c>
      <c r="G31" s="42" t="s">
        <v>2098</v>
      </c>
      <c r="H31" s="11">
        <v>881.26</v>
      </c>
    </row>
    <row r="32" spans="1:8" ht="15" customHeight="1">
      <c r="A32" s="43" t="s">
        <v>2093</v>
      </c>
      <c r="B32" s="11">
        <v>126.88</v>
      </c>
      <c r="C32" s="44" t="str">
        <f>IFERROR(IF(OR(VLOOKUP(A32,#REF!, 4, FALSE)="", VLOOKUP(A32,#REF!, 4, FALSE)&lt;DATE(2024,1,1)), "RISCHEDULARE O SCADENZA MANCANTE", VLOOKUP(A32,#REF!, 4, FALSE)), "")</f>
        <v/>
      </c>
      <c r="G32" s="43" t="s">
        <v>324</v>
      </c>
      <c r="H32" s="11">
        <v>881.26</v>
      </c>
    </row>
    <row r="33" spans="1:8" ht="15" customHeight="1">
      <c r="A33" s="42" t="s">
        <v>2094</v>
      </c>
      <c r="B33" s="11">
        <v>70008</v>
      </c>
      <c r="C33" s="44" t="str">
        <f>IFERROR(IF(OR(VLOOKUP(A33,#REF!, 4, FALSE)="", VLOOKUP(A33,#REF!, 4, FALSE)&lt;DATE(2024,1,1)), "RISCHEDULARE O SCADENZA MANCANTE", VLOOKUP(A33,#REF!, 4, FALSE)), "")</f>
        <v/>
      </c>
      <c r="G33" s="42" t="s">
        <v>2104</v>
      </c>
      <c r="H33" s="11">
        <v>11.24</v>
      </c>
    </row>
    <row r="34" spans="1:8" ht="15" customHeight="1">
      <c r="A34" s="43" t="s">
        <v>314</v>
      </c>
      <c r="B34" s="11">
        <v>40008</v>
      </c>
      <c r="C34" s="44" t="str">
        <f>IFERROR(IF(OR(VLOOKUP(A34,#REF!, 4, FALSE)="", VLOOKUP(A34,#REF!, 4, FALSE)&lt;DATE(2024,1,1)), "RISCHEDULARE O SCADENZA MANCANTE", VLOOKUP(A34,#REF!, 4, FALSE)), "")</f>
        <v/>
      </c>
      <c r="G34" s="43" t="s">
        <v>368</v>
      </c>
      <c r="H34" s="11">
        <v>11.24</v>
      </c>
    </row>
    <row r="35" spans="1:8" ht="15" customHeight="1">
      <c r="A35" s="43" t="s">
        <v>317</v>
      </c>
      <c r="B35" s="11">
        <v>30000</v>
      </c>
      <c r="C35" s="44" t="str">
        <f>IFERROR(IF(OR(VLOOKUP(A35,#REF!, 4, FALSE)="", VLOOKUP(A35,#REF!, 4, FALSE)&lt;DATE(2024,1,1)), "RISCHEDULARE O SCADENZA MANCANTE", VLOOKUP(A35,#REF!, 4, FALSE)), "")</f>
        <v/>
      </c>
      <c r="G35" s="42" t="s">
        <v>2111</v>
      </c>
      <c r="H35" s="11">
        <v>3981.6</v>
      </c>
    </row>
    <row r="36" spans="1:8" ht="15" customHeight="1">
      <c r="A36" s="42" t="s">
        <v>2098</v>
      </c>
      <c r="B36" s="11">
        <v>1764.16</v>
      </c>
      <c r="C36" s="44" t="str">
        <f>IFERROR(IF(OR(VLOOKUP(A36,#REF!, 4, FALSE)="", VLOOKUP(A36,#REF!, 4, FALSE)&lt;DATE(2024,1,1)), "RISCHEDULARE O SCADENZA MANCANTE", VLOOKUP(A36,#REF!, 4, FALSE)), "")</f>
        <v/>
      </c>
      <c r="G36" s="43">
        <v>10</v>
      </c>
      <c r="H36" s="11">
        <v>3981.6</v>
      </c>
    </row>
    <row r="37" spans="1:8" ht="15" customHeight="1">
      <c r="A37" s="43" t="s">
        <v>324</v>
      </c>
      <c r="B37" s="11">
        <v>2179.62</v>
      </c>
      <c r="C37" s="44" t="str">
        <f>IFERROR(IF(OR(VLOOKUP(A37,#REF!, 4, FALSE)="", VLOOKUP(A37,#REF!, 4, FALSE)&lt;DATE(2024,1,1)), "RISCHEDULARE O SCADENZA MANCANTE", VLOOKUP(A37,#REF!, 4, FALSE)), "")</f>
        <v/>
      </c>
      <c r="G37" s="42" t="s">
        <v>2114</v>
      </c>
      <c r="H37" s="11">
        <v>406.94</v>
      </c>
    </row>
    <row r="38" spans="1:8" ht="15" customHeight="1">
      <c r="A38" s="43" t="s">
        <v>329</v>
      </c>
      <c r="B38" s="11">
        <v>-415.46</v>
      </c>
      <c r="C38" s="44" t="str">
        <f>IFERROR(IF(OR(VLOOKUP(A38,#REF!, 4, FALSE)="", VLOOKUP(A38,#REF!, 4, FALSE)&lt;DATE(2024,1,1)), "RISCHEDULARE O SCADENZA MANCANTE", VLOOKUP(A38,#REF!, 4, FALSE)), "")</f>
        <v/>
      </c>
      <c r="G38" s="43">
        <v>13532</v>
      </c>
      <c r="H38" s="11">
        <v>406.94</v>
      </c>
    </row>
    <row r="39" spans="1:8" ht="15" customHeight="1">
      <c r="A39" s="42" t="s">
        <v>2104</v>
      </c>
      <c r="B39" s="11">
        <v>11.24</v>
      </c>
      <c r="C39" s="44" t="str">
        <f>IFERROR(IF(OR(VLOOKUP(A39,#REF!, 4, FALSE)="", VLOOKUP(A39,#REF!, 4, FALSE)&lt;DATE(2024,1,1)), "RISCHEDULARE O SCADENZA MANCANTE", VLOOKUP(A39,#REF!, 4, FALSE)), "")</f>
        <v/>
      </c>
      <c r="G39" s="42" t="s">
        <v>2124</v>
      </c>
      <c r="H39" s="11">
        <v>1603.2</v>
      </c>
    </row>
    <row r="40" spans="1:8" ht="15" customHeight="1">
      <c r="A40" s="43" t="s">
        <v>368</v>
      </c>
      <c r="B40" s="11">
        <v>11.24</v>
      </c>
      <c r="C40" s="44" t="str">
        <f>IFERROR(IF(OR(VLOOKUP(A40,#REF!, 4, FALSE)="", VLOOKUP(A40,#REF!, 4, FALSE)&lt;DATE(2024,1,1)), "RISCHEDULARE O SCADENZA MANCANTE", VLOOKUP(A40,#REF!, 4, FALSE)), "")</f>
        <v/>
      </c>
      <c r="G40" s="43">
        <v>45</v>
      </c>
      <c r="H40" s="11">
        <v>1603.2</v>
      </c>
    </row>
    <row r="41" spans="1:8" ht="15" customHeight="1">
      <c r="A41" s="42" t="s">
        <v>2111</v>
      </c>
      <c r="B41" s="11">
        <v>3981.6</v>
      </c>
      <c r="C41" s="44" t="str">
        <f>IFERROR(IF(OR(VLOOKUP(A41,#REF!, 4, FALSE)="", VLOOKUP(A41,#REF!, 4, FALSE)&lt;DATE(2024,1,1)), "RISCHEDULARE O SCADENZA MANCANTE", VLOOKUP(A41,#REF!, 4, FALSE)), "")</f>
        <v/>
      </c>
      <c r="G41" s="42" t="s">
        <v>2126</v>
      </c>
      <c r="H41" s="11">
        <v>4200</v>
      </c>
    </row>
    <row r="42" spans="1:8" ht="15" customHeight="1">
      <c r="A42" s="43">
        <v>10</v>
      </c>
      <c r="B42" s="11">
        <v>3981.6</v>
      </c>
      <c r="C42" s="44" t="str">
        <f>IFERROR(IF(OR(VLOOKUP(A42,#REF!, 4, FALSE)="", VLOOKUP(A42,#REF!, 4, FALSE)&lt;DATE(2024,1,1)), "RISCHEDULARE O SCADENZA MANCANTE", VLOOKUP(A42,#REF!, 4, FALSE)), "")</f>
        <v/>
      </c>
      <c r="G42" s="43">
        <v>7</v>
      </c>
      <c r="H42" s="11">
        <v>3500</v>
      </c>
    </row>
    <row r="43" spans="1:8" ht="15" customHeight="1">
      <c r="A43" s="42" t="s">
        <v>2113</v>
      </c>
      <c r="B43" s="11">
        <v>3933.18</v>
      </c>
      <c r="C43" s="44" t="str">
        <f>IFERROR(IF(OR(VLOOKUP(A43,#REF!, 4, FALSE)="", VLOOKUP(A43,#REF!, 4, FALSE)&lt;DATE(2024,1,1)), "RISCHEDULARE O SCADENZA MANCANTE", VLOOKUP(A43,#REF!, 4, FALSE)), "")</f>
        <v/>
      </c>
      <c r="G43" s="43">
        <v>43</v>
      </c>
      <c r="H43" s="11">
        <v>700</v>
      </c>
    </row>
    <row r="44" spans="1:8" ht="15" customHeight="1">
      <c r="A44" s="43">
        <v>1002</v>
      </c>
      <c r="B44" s="11">
        <v>3933.18</v>
      </c>
      <c r="C44" s="44" t="str">
        <f>IFERROR(IF(OR(VLOOKUP(A44,#REF!, 4, FALSE)="", VLOOKUP(A44,#REF!, 4, FALSE)&lt;DATE(2024,1,1)), "RISCHEDULARE O SCADENZA MANCANTE", VLOOKUP(A44,#REF!, 4, FALSE)), "")</f>
        <v/>
      </c>
      <c r="G44" s="42" t="s">
        <v>2142</v>
      </c>
      <c r="H44" s="11">
        <v>573.77</v>
      </c>
    </row>
    <row r="45" spans="1:8" ht="15" customHeight="1">
      <c r="A45" s="42" t="s">
        <v>2412</v>
      </c>
      <c r="B45" s="11">
        <v>1098</v>
      </c>
      <c r="C45" s="44" t="str">
        <f>IFERROR(IF(OR(VLOOKUP(A45,#REF!, 4, FALSE)="", VLOOKUP(A45,#REF!, 4, FALSE)&lt;DATE(2024,1,1)), "RISCHEDULARE O SCADENZA MANCANTE", VLOOKUP(A45,#REF!, 4, FALSE)), "")</f>
        <v/>
      </c>
      <c r="G45" s="43">
        <v>173</v>
      </c>
      <c r="H45" s="11">
        <v>573.77</v>
      </c>
    </row>
    <row r="46" spans="1:8" ht="15" customHeight="1">
      <c r="A46" s="43">
        <v>346</v>
      </c>
      <c r="B46" s="11">
        <v>1098</v>
      </c>
      <c r="C46" s="44" t="str">
        <f>IFERROR(IF(OR(VLOOKUP(A46,#REF!, 4, FALSE)="", VLOOKUP(A46,#REF!, 4, FALSE)&lt;DATE(2024,1,1)), "RISCHEDULARE O SCADENZA MANCANTE", VLOOKUP(A46,#REF!, 4, FALSE)), "")</f>
        <v/>
      </c>
      <c r="G46" s="42" t="s">
        <v>2144</v>
      </c>
      <c r="H46" s="11">
        <v>5700</v>
      </c>
    </row>
    <row r="47" spans="1:8" ht="15" customHeight="1">
      <c r="A47" s="42" t="s">
        <v>2124</v>
      </c>
      <c r="B47" s="11">
        <v>2175.52</v>
      </c>
      <c r="C47" s="44" t="str">
        <f>IFERROR(IF(OR(VLOOKUP(A47,#REF!, 4, FALSE)="", VLOOKUP(A47,#REF!, 4, FALSE)&lt;DATE(2024,1,1)), "RISCHEDULARE O SCADENZA MANCANTE", VLOOKUP(A47,#REF!, 4, FALSE)), "")</f>
        <v/>
      </c>
      <c r="G47" s="43" t="s">
        <v>2408</v>
      </c>
      <c r="H47" s="11">
        <v>5700</v>
      </c>
    </row>
    <row r="48" spans="1:8" ht="15" customHeight="1">
      <c r="A48" s="43">
        <v>45</v>
      </c>
      <c r="B48" s="11">
        <v>1603.2</v>
      </c>
      <c r="C48" s="44" t="str">
        <f>IFERROR(IF(OR(VLOOKUP(A48,#REF!, 4, FALSE)="", VLOOKUP(A48,#REF!, 4, FALSE)&lt;DATE(2024,1,1)), "RISCHEDULARE O SCADENZA MANCANTE", VLOOKUP(A48,#REF!, 4, FALSE)), "")</f>
        <v/>
      </c>
      <c r="G48" s="42" t="s">
        <v>2152</v>
      </c>
      <c r="H48" s="11">
        <v>4132.58</v>
      </c>
    </row>
    <row r="49" spans="1:8" ht="15" customHeight="1">
      <c r="A49" s="43">
        <v>55</v>
      </c>
      <c r="B49" s="11">
        <v>572.32000000000005</v>
      </c>
      <c r="C49" s="44" t="str">
        <f>IFERROR(IF(OR(VLOOKUP(A49,#REF!, 4, FALSE)="", VLOOKUP(A49,#REF!, 4, FALSE)&lt;DATE(2024,1,1)), "RISCHEDULARE O SCADENZA MANCANTE", VLOOKUP(A49,#REF!, 4, FALSE)), "")</f>
        <v/>
      </c>
      <c r="G49" s="43" t="s">
        <v>686</v>
      </c>
      <c r="H49" s="11">
        <v>659.76</v>
      </c>
    </row>
    <row r="50" spans="1:8" ht="15" customHeight="1">
      <c r="A50" s="42" t="s">
        <v>2126</v>
      </c>
      <c r="B50" s="11">
        <v>4200</v>
      </c>
      <c r="C50" s="44" t="str">
        <f>IFERROR(IF(OR(VLOOKUP(A50,#REF!, 4, FALSE)="", VLOOKUP(A50,#REF!, 4, FALSE)&lt;DATE(2024,1,1)), "RISCHEDULARE O SCADENZA MANCANTE", VLOOKUP(A50,#REF!, 4, FALSE)), "")</f>
        <v/>
      </c>
      <c r="G50" s="43" t="s">
        <v>690</v>
      </c>
      <c r="H50" s="11">
        <v>42.55</v>
      </c>
    </row>
    <row r="51" spans="1:8" ht="15" customHeight="1">
      <c r="A51" s="43">
        <v>7</v>
      </c>
      <c r="B51" s="11">
        <v>3500</v>
      </c>
      <c r="C51" s="44" t="str">
        <f>IFERROR(IF(OR(VLOOKUP(A51,#REF!, 4, FALSE)="", VLOOKUP(A51,#REF!, 4, FALSE)&lt;DATE(2024,1,1)), "RISCHEDULARE O SCADENZA MANCANTE", VLOOKUP(A51,#REF!, 4, FALSE)), "")</f>
        <v/>
      </c>
      <c r="G51" s="43" t="s">
        <v>693</v>
      </c>
      <c r="H51" s="11">
        <v>137.69999999999999</v>
      </c>
    </row>
    <row r="52" spans="1:8" ht="15" customHeight="1">
      <c r="A52" s="43">
        <v>43</v>
      </c>
      <c r="B52" s="11">
        <v>700</v>
      </c>
      <c r="C52" s="44" t="str">
        <f>IFERROR(IF(OR(VLOOKUP(A52,#REF!, 4, FALSE)="", VLOOKUP(A52,#REF!, 4, FALSE)&lt;DATE(2024,1,1)), "RISCHEDULARE O SCADENZA MANCANTE", VLOOKUP(A52,#REF!, 4, FALSE)), "")</f>
        <v/>
      </c>
      <c r="G52" s="43" t="s">
        <v>698</v>
      </c>
      <c r="H52" s="11">
        <v>1888.18</v>
      </c>
    </row>
    <row r="53" spans="1:8" ht="15" customHeight="1">
      <c r="A53" s="42" t="s">
        <v>2130</v>
      </c>
      <c r="B53" s="11">
        <v>111.58</v>
      </c>
      <c r="G53" s="43" t="s">
        <v>695</v>
      </c>
      <c r="H53" s="11">
        <v>339.44</v>
      </c>
    </row>
    <row r="54" spans="1:8" ht="15" customHeight="1">
      <c r="A54" s="43">
        <v>6001448011</v>
      </c>
      <c r="B54" s="11">
        <v>111.58</v>
      </c>
      <c r="C54" s="44" t="str">
        <f>IFERROR(IF(OR(VLOOKUP(A54,#REF!, 4, FALSE)="", VLOOKUP(A54,#REF!, 4, FALSE)&lt;DATE(2024,1,1)), "RISCHEDULARE O SCADENZA MANCANTE", VLOOKUP(A54,#REF!, 4, FALSE)), "")</f>
        <v/>
      </c>
      <c r="G54" s="43" t="s">
        <v>700</v>
      </c>
      <c r="H54" s="11">
        <v>1064.95</v>
      </c>
    </row>
    <row r="55" spans="1:8" ht="15" customHeight="1">
      <c r="A55" s="42" t="s">
        <v>2142</v>
      </c>
      <c r="B55" s="11">
        <v>573.77</v>
      </c>
      <c r="C55" s="44" t="str">
        <f>IFERROR(IF(OR(VLOOKUP(A55,#REF!, 4, FALSE)="", VLOOKUP(A55,#REF!, 4, FALSE)&lt;DATE(2024,1,1)), "RISCHEDULARE O SCADENZA MANCANTE", VLOOKUP(A55,#REF!, 4, FALSE)), "")</f>
        <v/>
      </c>
      <c r="G55" s="42" t="s">
        <v>2156</v>
      </c>
      <c r="H55" s="11">
        <v>392.84</v>
      </c>
    </row>
    <row r="56" spans="1:8" ht="15" customHeight="1">
      <c r="A56" s="43">
        <v>173</v>
      </c>
      <c r="B56" s="11">
        <v>573.77</v>
      </c>
      <c r="C56" s="44" t="str">
        <f>IFERROR(IF(OR(VLOOKUP(A56,#REF!, 4, FALSE)="", VLOOKUP(A56,#REF!, 4, FALSE)&lt;DATE(2024,1,1)), "RISCHEDULARE O SCADENZA MANCANTE", VLOOKUP(A56,#REF!, 4, FALSE)), "")</f>
        <v/>
      </c>
      <c r="G56" s="43" t="s">
        <v>710</v>
      </c>
      <c r="H56" s="11">
        <v>392.84</v>
      </c>
    </row>
    <row r="57" spans="1:8" ht="15" customHeight="1">
      <c r="A57" s="42" t="s">
        <v>2144</v>
      </c>
      <c r="B57" s="11">
        <v>10352.65</v>
      </c>
      <c r="C57" s="44" t="str">
        <f>IFERROR(IF(OR(VLOOKUP(A57,#REF!, 4, FALSE)="", VLOOKUP(A57,#REF!, 4, FALSE)&lt;DATE(2024,1,1)), "RISCHEDULARE O SCADENZA MANCANTE", VLOOKUP(A57,#REF!, 4, FALSE)), "")</f>
        <v/>
      </c>
      <c r="G57" s="42" t="s">
        <v>2378</v>
      </c>
      <c r="H57" s="11">
        <v>10000</v>
      </c>
    </row>
    <row r="58" spans="1:8" ht="15" customHeight="1">
      <c r="A58" s="43" t="s">
        <v>2408</v>
      </c>
      <c r="B58" s="11">
        <v>10352.65</v>
      </c>
      <c r="C58" s="44" t="str">
        <f>IFERROR(IF(OR(VLOOKUP(A58,#REF!, 4, FALSE)="", VLOOKUP(A58,#REF!, 4, FALSE)&lt;DATE(2024,1,1)), "RISCHEDULARE O SCADENZA MANCANTE", VLOOKUP(A58,#REF!, 4, FALSE)), "")</f>
        <v/>
      </c>
      <c r="G58" s="43" t="s">
        <v>722</v>
      </c>
      <c r="H58" s="11">
        <v>10000</v>
      </c>
    </row>
    <row r="59" spans="1:8" ht="15" customHeight="1">
      <c r="A59" s="42" t="s">
        <v>2152</v>
      </c>
      <c r="B59" s="11">
        <v>4132.58</v>
      </c>
      <c r="C59" s="44" t="str">
        <f>IFERROR(IF(OR(VLOOKUP(A59,#REF!, 4, FALSE)="", VLOOKUP(A59,#REF!, 4, FALSE)&lt;DATE(2024,1,1)), "RISCHEDULARE O SCADENZA MANCANTE", VLOOKUP(A59,#REF!, 4, FALSE)), "")</f>
        <v/>
      </c>
      <c r="G59" s="42" t="s">
        <v>2160</v>
      </c>
      <c r="H59" s="11">
        <v>19487</v>
      </c>
    </row>
    <row r="60" spans="1:8" ht="15" customHeight="1">
      <c r="A60" s="43" t="s">
        <v>686</v>
      </c>
      <c r="B60" s="11">
        <v>659.76</v>
      </c>
      <c r="C60" s="44" t="str">
        <f>IFERROR(IF(OR(VLOOKUP(A60,#REF!, 4, FALSE)="", VLOOKUP(A60,#REF!, 4, FALSE)&lt;DATE(2024,1,1)), "RISCHEDULARE O SCADENZA MANCANTE", VLOOKUP(A60,#REF!, 4, FALSE)), "")</f>
        <v/>
      </c>
      <c r="G60" s="43" t="s">
        <v>735</v>
      </c>
      <c r="H60" s="11">
        <v>2540</v>
      </c>
    </row>
    <row r="61" spans="1:8" ht="15" customHeight="1">
      <c r="A61" s="43" t="s">
        <v>690</v>
      </c>
      <c r="B61" s="11">
        <v>42.55</v>
      </c>
      <c r="C61" s="44" t="str">
        <f>IFERROR(IF(OR(VLOOKUP(A61,#REF!, 4, FALSE)="", VLOOKUP(A61,#REF!, 4, FALSE)&lt;DATE(2024,1,1)), "RISCHEDULARE O SCADENZA MANCANTE", VLOOKUP(A61,#REF!, 4, FALSE)), "")</f>
        <v/>
      </c>
      <c r="G61" s="43" t="s">
        <v>736</v>
      </c>
      <c r="H61" s="11">
        <v>555</v>
      </c>
    </row>
    <row r="62" spans="1:8" ht="15" customHeight="1">
      <c r="A62" s="43" t="s">
        <v>693</v>
      </c>
      <c r="B62" s="11">
        <v>137.69999999999999</v>
      </c>
      <c r="C62" s="44" t="str">
        <f>IFERROR(IF(OR(VLOOKUP(A62,#REF!, 4, FALSE)="", VLOOKUP(A62,#REF!, 4, FALSE)&lt;DATE(2024,1,1)), "RISCHEDULARE O SCADENZA MANCANTE", VLOOKUP(A62,#REF!, 4, FALSE)), "")</f>
        <v/>
      </c>
      <c r="G62" s="43" t="s">
        <v>737</v>
      </c>
      <c r="H62" s="11">
        <v>3387</v>
      </c>
    </row>
    <row r="63" spans="1:8" ht="15" customHeight="1">
      <c r="A63" s="43" t="s">
        <v>698</v>
      </c>
      <c r="B63" s="11">
        <v>1888.18</v>
      </c>
      <c r="C63" s="44" t="str">
        <f>IFERROR(IF(OR(VLOOKUP(A63,#REF!, 4, FALSE)="", VLOOKUP(A63,#REF!, 4, FALSE)&lt;DATE(2024,1,1)), "RISCHEDULARE O SCADENZA MANCANTE", VLOOKUP(A63,#REF!, 4, FALSE)), "")</f>
        <v/>
      </c>
      <c r="G63" s="43" t="s">
        <v>738</v>
      </c>
      <c r="H63" s="11">
        <v>5740</v>
      </c>
    </row>
    <row r="64" spans="1:8" ht="15" customHeight="1">
      <c r="A64" s="43" t="s">
        <v>695</v>
      </c>
      <c r="B64" s="11">
        <v>339.44</v>
      </c>
      <c r="C64" s="44" t="str">
        <f>IFERROR(IF(OR(VLOOKUP(A64,#REF!, 4, FALSE)="", VLOOKUP(A64,#REF!, 4, FALSE)&lt;DATE(2024,1,1)), "RISCHEDULARE O SCADENZA MANCANTE", VLOOKUP(A64,#REF!, 4, FALSE)), "")</f>
        <v/>
      </c>
      <c r="G64" s="43" t="s">
        <v>739</v>
      </c>
      <c r="H64" s="11">
        <v>7265</v>
      </c>
    </row>
    <row r="65" spans="1:8" ht="15" customHeight="1">
      <c r="A65" s="43" t="s">
        <v>700</v>
      </c>
      <c r="B65" s="11">
        <v>1064.95</v>
      </c>
      <c r="C65" s="44" t="str">
        <f>IFERROR(IF(OR(VLOOKUP(A65,#REF!, 4, FALSE)="", VLOOKUP(A65,#REF!, 4, FALSE)&lt;DATE(2024,1,1)), "RISCHEDULARE O SCADENZA MANCANTE", VLOOKUP(A65,#REF!, 4, FALSE)), "")</f>
        <v/>
      </c>
      <c r="G65" s="42" t="s">
        <v>2164</v>
      </c>
      <c r="H65" s="11">
        <v>16000</v>
      </c>
    </row>
    <row r="66" spans="1:8" ht="15" customHeight="1">
      <c r="A66" s="42" t="s">
        <v>2378</v>
      </c>
      <c r="B66" s="11">
        <v>11000</v>
      </c>
      <c r="C66" s="44" t="str">
        <f>IFERROR(IF(OR(VLOOKUP(A66,#REF!, 4, FALSE)="", VLOOKUP(A66,#REF!, 4, FALSE)&lt;DATE(2024,1,1)), "RISCHEDULARE O SCADENZA MANCANTE", VLOOKUP(A66,#REF!, 4, FALSE)), "")</f>
        <v/>
      </c>
      <c r="G66" s="43">
        <v>857</v>
      </c>
      <c r="H66" s="11">
        <v>761.89</v>
      </c>
    </row>
    <row r="67" spans="1:8" ht="15" customHeight="1">
      <c r="A67" s="43" t="s">
        <v>719</v>
      </c>
      <c r="B67" s="11">
        <v>11000</v>
      </c>
      <c r="C67" s="44" t="str">
        <f>IFERROR(IF(OR(VLOOKUP(A67,#REF!, 4, FALSE)="", VLOOKUP(A67,#REF!, 4, FALSE)&lt;DATE(2024,1,1)), "RISCHEDULARE O SCADENZA MANCANTE", VLOOKUP(A67,#REF!, 4, FALSE)), "")</f>
        <v/>
      </c>
      <c r="G67" s="43" t="s">
        <v>764</v>
      </c>
      <c r="H67" s="11">
        <v>18596.830000000002</v>
      </c>
    </row>
    <row r="68" spans="1:8" ht="15" customHeight="1">
      <c r="A68" s="42" t="s">
        <v>2160</v>
      </c>
      <c r="B68" s="11">
        <v>19487</v>
      </c>
      <c r="C68" s="44" t="str">
        <f>IFERROR(IF(OR(VLOOKUP(A68,#REF!, 4, FALSE)="", VLOOKUP(A68,#REF!, 4, FALSE)&lt;DATE(2024,1,1)), "RISCHEDULARE O SCADENZA MANCANTE", VLOOKUP(A68,#REF!, 4, FALSE)), "")</f>
        <v/>
      </c>
      <c r="G68" s="43" t="s">
        <v>2166</v>
      </c>
      <c r="H68" s="11">
        <v>-3358.7200000000012</v>
      </c>
    </row>
    <row r="69" spans="1:8" ht="15" customHeight="1">
      <c r="A69" s="43" t="s">
        <v>735</v>
      </c>
      <c r="B69" s="11">
        <v>2540</v>
      </c>
      <c r="C69" s="44" t="str">
        <f>IFERROR(IF(OR(VLOOKUP(A69,#REF!, 4, FALSE)="", VLOOKUP(A69,#REF!, 4, FALSE)&lt;DATE(2024,1,1)), "RISCHEDULARE O SCADENZA MANCANTE", VLOOKUP(A69,#REF!, 4, FALSE)), "")</f>
        <v/>
      </c>
      <c r="G69" s="42" t="s">
        <v>2186</v>
      </c>
      <c r="H69" s="11">
        <v>3575</v>
      </c>
    </row>
    <row r="70" spans="1:8" ht="15" customHeight="1">
      <c r="A70" s="43" t="s">
        <v>736</v>
      </c>
      <c r="B70" s="11">
        <v>555</v>
      </c>
      <c r="C70" s="44" t="str">
        <f>IFERROR(IF(OR(VLOOKUP(A70,#REF!, 4, FALSE)="", VLOOKUP(A70,#REF!, 4, FALSE)&lt;DATE(2024,1,1)), "RISCHEDULARE O SCADENZA MANCANTE", VLOOKUP(A70,#REF!, 4, FALSE)), "")</f>
        <v/>
      </c>
      <c r="G70" s="43" t="s">
        <v>830</v>
      </c>
      <c r="H70" s="11">
        <v>3575</v>
      </c>
    </row>
    <row r="71" spans="1:8" ht="15" customHeight="1">
      <c r="A71" s="43" t="s">
        <v>737</v>
      </c>
      <c r="B71" s="11">
        <v>3387</v>
      </c>
      <c r="C71" s="44" t="str">
        <f>IFERROR(IF(OR(VLOOKUP(A71,#REF!, 4, FALSE)="", VLOOKUP(A71,#REF!, 4, FALSE)&lt;DATE(2024,1,1)), "RISCHEDULARE O SCADENZA MANCANTE", VLOOKUP(A71,#REF!, 4, FALSE)), "")</f>
        <v/>
      </c>
      <c r="G71" s="42" t="s">
        <v>2191</v>
      </c>
      <c r="H71" s="11">
        <v>36.72</v>
      </c>
    </row>
    <row r="72" spans="1:8" ht="15" customHeight="1">
      <c r="A72" s="43" t="s">
        <v>738</v>
      </c>
      <c r="B72" s="11">
        <v>5740</v>
      </c>
      <c r="C72" s="44" t="str">
        <f>IFERROR(IF(OR(VLOOKUP(A72,#REF!, 4, FALSE)="", VLOOKUP(A72,#REF!, 4, FALSE)&lt;DATE(2024,1,1)), "RISCHEDULARE O SCADENZA MANCANTE", VLOOKUP(A72,#REF!, 4, FALSE)), "")</f>
        <v/>
      </c>
      <c r="G72" s="43" t="s">
        <v>842</v>
      </c>
      <c r="H72" s="11">
        <v>36.72</v>
      </c>
    </row>
    <row r="73" spans="1:8" ht="15" customHeight="1">
      <c r="A73" s="43" t="s">
        <v>739</v>
      </c>
      <c r="B73" s="11">
        <v>7265</v>
      </c>
      <c r="C73" s="44" t="str">
        <f>IFERROR(IF(OR(VLOOKUP(A73,#REF!, 4, FALSE)="", VLOOKUP(A73,#REF!, 4, FALSE)&lt;DATE(2024,1,1)), "RISCHEDULARE O SCADENZA MANCANTE", VLOOKUP(A73,#REF!, 4, FALSE)), "")</f>
        <v/>
      </c>
      <c r="G73" s="42" t="s">
        <v>2388</v>
      </c>
      <c r="H73" s="11">
        <v>555.04</v>
      </c>
    </row>
    <row r="74" spans="1:8" ht="15" customHeight="1">
      <c r="A74" s="42" t="s">
        <v>2162</v>
      </c>
      <c r="B74" s="11">
        <v>88.72</v>
      </c>
      <c r="C74" s="44" t="str">
        <f>IFERROR(IF(OR(VLOOKUP(A74,#REF!, 4, FALSE)="", VLOOKUP(A74,#REF!, 4, FALSE)&lt;DATE(2024,1,1)), "RISCHEDULARE O SCADENZA MANCANTE", VLOOKUP(A74,#REF!, 4, FALSE)), "")</f>
        <v/>
      </c>
      <c r="G74" s="43">
        <v>9</v>
      </c>
      <c r="H74" s="11">
        <v>555.04</v>
      </c>
    </row>
    <row r="75" spans="1:8" ht="15" customHeight="1">
      <c r="A75" s="43">
        <v>3730</v>
      </c>
      <c r="B75" s="11">
        <v>88.72</v>
      </c>
      <c r="C75" s="44" t="str">
        <f>IFERROR(IF(OR(VLOOKUP(A75,#REF!, 4, FALSE)="", VLOOKUP(A75,#REF!, 4, FALSE)&lt;DATE(2024,1,1)), "RISCHEDULARE O SCADENZA MANCANTE", VLOOKUP(A75,#REF!, 4, FALSE)), "")</f>
        <v/>
      </c>
      <c r="G75" s="43" t="s">
        <v>2408</v>
      </c>
      <c r="H75" s="11"/>
    </row>
    <row r="76" spans="1:8" ht="15" customHeight="1">
      <c r="A76" s="42" t="s">
        <v>2380</v>
      </c>
      <c r="B76" s="11">
        <v>2787</v>
      </c>
      <c r="C76" s="44" t="str">
        <f>IFERROR(IF(OR(VLOOKUP(A76,#REF!, 4, FALSE)="", VLOOKUP(A76,#REF!, 4, FALSE)&lt;DATE(2024,1,1)), "RISCHEDULARE O SCADENZA MANCANTE", VLOOKUP(A76,#REF!, 4, FALSE)), "")</f>
        <v/>
      </c>
      <c r="G76" s="42" t="s">
        <v>2205</v>
      </c>
      <c r="H76" s="11">
        <v>7000</v>
      </c>
    </row>
    <row r="77" spans="1:8" ht="15" customHeight="1">
      <c r="A77" s="43" t="s">
        <v>756</v>
      </c>
      <c r="B77" s="11">
        <v>2787</v>
      </c>
      <c r="C77" s="44" t="str">
        <f>IFERROR(IF(OR(VLOOKUP(A77,#REF!, 4, FALSE)="", VLOOKUP(A77,#REF!, 4, FALSE)&lt;DATE(2024,1,1)), "RISCHEDULARE O SCADENZA MANCANTE", VLOOKUP(A77,#REF!, 4, FALSE)), "")</f>
        <v/>
      </c>
      <c r="G77" s="43" t="s">
        <v>902</v>
      </c>
      <c r="H77" s="11">
        <v>7000</v>
      </c>
    </row>
    <row r="78" spans="1:8" ht="15" customHeight="1">
      <c r="A78" s="42" t="s">
        <v>2175</v>
      </c>
      <c r="B78" s="11">
        <v>138</v>
      </c>
      <c r="C78" s="44" t="str">
        <f>IFERROR(IF(OR(VLOOKUP(A78,#REF!, 4, FALSE)="", VLOOKUP(A78,#REF!, 4, FALSE)&lt;DATE(2024,1,1)), "RISCHEDULARE O SCADENZA MANCANTE", VLOOKUP(A78,#REF!, 4, FALSE)), "")</f>
        <v/>
      </c>
      <c r="G78" s="42" t="s">
        <v>2210</v>
      </c>
      <c r="H78" s="11">
        <v>758.4</v>
      </c>
    </row>
    <row r="79" spans="1:8" ht="15" customHeight="1">
      <c r="A79" s="43" t="s">
        <v>796</v>
      </c>
      <c r="B79" s="11">
        <v>138</v>
      </c>
      <c r="C79" s="44" t="str">
        <f>IFERROR(IF(OR(VLOOKUP(A79,#REF!, 4, FALSE)="", VLOOKUP(A79,#REF!, 4, FALSE)&lt;DATE(2024,1,1)), "RISCHEDULARE O SCADENZA MANCANTE", VLOOKUP(A79,#REF!, 4, FALSE)), "")</f>
        <v/>
      </c>
      <c r="G79" s="43" t="s">
        <v>987</v>
      </c>
      <c r="H79" s="11">
        <v>758.4</v>
      </c>
    </row>
    <row r="80" spans="1:8" ht="15" customHeight="1">
      <c r="A80" s="42" t="s">
        <v>2178</v>
      </c>
      <c r="B80" s="11">
        <v>30000</v>
      </c>
      <c r="C80" s="44" t="str">
        <f>IFERROR(IF(OR(VLOOKUP(A80,#REF!, 4, FALSE)="", VLOOKUP(A80,#REF!, 4, FALSE)&lt;DATE(2024,1,1)), "RISCHEDULARE O SCADENZA MANCANTE", VLOOKUP(A80,#REF!, 4, FALSE)), "")</f>
        <v/>
      </c>
      <c r="G80" s="42" t="s">
        <v>2214</v>
      </c>
      <c r="H80" s="11">
        <v>7478.6</v>
      </c>
    </row>
    <row r="81" spans="1:8" ht="15" customHeight="1">
      <c r="A81" s="43" t="s">
        <v>820</v>
      </c>
      <c r="B81" s="11">
        <v>30000</v>
      </c>
      <c r="C81" s="44" t="str">
        <f>IFERROR(IF(OR(VLOOKUP(A81,#REF!, 4, FALSE)="", VLOOKUP(A81,#REF!, 4, FALSE)&lt;DATE(2024,1,1)), "RISCHEDULARE O SCADENZA MANCANTE", VLOOKUP(A81,#REF!, 4, FALSE)), "")</f>
        <v/>
      </c>
      <c r="G81" s="43" t="s">
        <v>1028</v>
      </c>
      <c r="H81" s="11">
        <v>2745</v>
      </c>
    </row>
    <row r="82" spans="1:8" ht="15" customHeight="1">
      <c r="A82" s="42" t="s">
        <v>2413</v>
      </c>
      <c r="B82" s="11">
        <v>9000</v>
      </c>
      <c r="C82" s="44" t="str">
        <f>IFERROR(IF(OR(VLOOKUP(A82,#REF!, 4, FALSE)="", VLOOKUP(A82,#REF!, 4, FALSE)&lt;DATE(2024,1,1)), "RISCHEDULARE O SCADENZA MANCANTE", VLOOKUP(A82,#REF!, 4, FALSE)), "")</f>
        <v/>
      </c>
      <c r="G82" s="43" t="s">
        <v>1031</v>
      </c>
      <c r="H82" s="11">
        <v>427</v>
      </c>
    </row>
    <row r="83" spans="1:8" ht="15" customHeight="1">
      <c r="A83" s="43">
        <v>2</v>
      </c>
      <c r="B83" s="11">
        <v>9000</v>
      </c>
      <c r="C83" s="44" t="str">
        <f>IFERROR(IF(OR(VLOOKUP(A83,#REF!, 4, FALSE)="", VLOOKUP(A83,#REF!, 4, FALSE)&lt;DATE(2024,1,1)), "RISCHEDULARE O SCADENZA MANCANTE", VLOOKUP(A83,#REF!, 4, FALSE)), "")</f>
        <v/>
      </c>
      <c r="G83" s="43" t="s">
        <v>1037</v>
      </c>
      <c r="H83" s="11">
        <v>854</v>
      </c>
    </row>
    <row r="84" spans="1:8" ht="15" customHeight="1">
      <c r="A84" s="42" t="s">
        <v>2186</v>
      </c>
      <c r="B84" s="11">
        <v>3575</v>
      </c>
      <c r="C84" s="44" t="str">
        <f>IFERROR(IF(OR(VLOOKUP(A84,#REF!, 4, FALSE)="", VLOOKUP(A84,#REF!, 4, FALSE)&lt;DATE(2024,1,1)), "RISCHEDULARE O SCADENZA MANCANTE", VLOOKUP(A84,#REF!, 4, FALSE)), "")</f>
        <v/>
      </c>
      <c r="G84" s="43" t="s">
        <v>1039</v>
      </c>
      <c r="H84" s="11">
        <v>2598.6</v>
      </c>
    </row>
    <row r="85" spans="1:8" ht="15" customHeight="1">
      <c r="A85" s="43" t="s">
        <v>830</v>
      </c>
      <c r="B85" s="11">
        <v>3575</v>
      </c>
      <c r="C85" s="44" t="str">
        <f>IFERROR(IF(OR(VLOOKUP(A85,#REF!, 4, FALSE)="", VLOOKUP(A85,#REF!, 4, FALSE)&lt;DATE(2024,1,1)), "RISCHEDULARE O SCADENZA MANCANTE", VLOOKUP(A85,#REF!, 4, FALSE)), "")</f>
        <v/>
      </c>
      <c r="G85" s="43" t="s">
        <v>1042</v>
      </c>
      <c r="H85" s="11">
        <v>854</v>
      </c>
    </row>
    <row r="86" spans="1:8" ht="15" customHeight="1">
      <c r="A86" s="42" t="s">
        <v>2191</v>
      </c>
      <c r="B86" s="11">
        <v>36.72</v>
      </c>
      <c r="C86" s="44" t="str">
        <f>IFERROR(IF(OR(VLOOKUP(A86,#REF!, 4, FALSE)="", VLOOKUP(A86,#REF!, 4, FALSE)&lt;DATE(2024,1,1)), "RISCHEDULARE O SCADENZA MANCANTE", VLOOKUP(A86,#REF!, 4, FALSE)), "")</f>
        <v/>
      </c>
      <c r="G86" s="42" t="s">
        <v>2219</v>
      </c>
      <c r="H86" s="11">
        <v>2731.58</v>
      </c>
    </row>
    <row r="87" spans="1:8" ht="15" customHeight="1">
      <c r="A87" s="43" t="s">
        <v>842</v>
      </c>
      <c r="B87" s="11">
        <v>36.72</v>
      </c>
      <c r="C87" s="44" t="str">
        <f>IFERROR(IF(OR(VLOOKUP(A87,#REF!, 4, FALSE)="", VLOOKUP(A87,#REF!, 4, FALSE)&lt;DATE(2024,1,1)), "RISCHEDULARE O SCADENZA MANCANTE", VLOOKUP(A87,#REF!, 4, FALSE)), "")</f>
        <v/>
      </c>
      <c r="G87" s="43" t="s">
        <v>995</v>
      </c>
      <c r="H87" s="11">
        <v>1660.42</v>
      </c>
    </row>
    <row r="88" spans="1:8" ht="15" customHeight="1">
      <c r="A88" s="42" t="s">
        <v>2388</v>
      </c>
      <c r="B88" s="11">
        <v>1152.6300000000001</v>
      </c>
      <c r="C88" s="44" t="str">
        <f>IFERROR(IF(OR(VLOOKUP(A88,#REF!, 4, FALSE)="", VLOOKUP(A88,#REF!, 4, FALSE)&lt;DATE(2024,1,1)), "RISCHEDULARE O SCADENZA MANCANTE", VLOOKUP(A88,#REF!, 4, FALSE)), "")</f>
        <v/>
      </c>
      <c r="G88" s="43" t="s">
        <v>997</v>
      </c>
      <c r="H88" s="11">
        <v>180.56</v>
      </c>
    </row>
    <row r="89" spans="1:8" ht="15" customHeight="1">
      <c r="A89" s="43">
        <v>9</v>
      </c>
      <c r="B89" s="11">
        <v>555.04</v>
      </c>
      <c r="C89" s="44" t="str">
        <f>IFERROR(IF(OR(VLOOKUP(A89,#REF!, 4, FALSE)="", VLOOKUP(A89,#REF!, 4, FALSE)&lt;DATE(2024,1,1)), "RISCHEDULARE O SCADENZA MANCANTE", VLOOKUP(A89,#REF!, 4, FALSE)), "")</f>
        <v/>
      </c>
      <c r="G89" s="43" t="s">
        <v>999</v>
      </c>
      <c r="H89" s="11">
        <v>890.6</v>
      </c>
    </row>
    <row r="90" spans="1:8" ht="15" customHeight="1">
      <c r="A90" s="43" t="s">
        <v>2408</v>
      </c>
      <c r="B90" s="11"/>
      <c r="C90" s="44" t="str">
        <f>IFERROR(IF(OR(VLOOKUP(A90,#REF!, 4, FALSE)="", VLOOKUP(A90,#REF!, 4, FALSE)&lt;DATE(2024,1,1)), "RISCHEDULARE O SCADENZA MANCANTE", VLOOKUP(A90,#REF!, 4, FALSE)), "")</f>
        <v/>
      </c>
      <c r="G90" s="42" t="s">
        <v>2390</v>
      </c>
      <c r="H90" s="11">
        <v>8430</v>
      </c>
    </row>
    <row r="91" spans="1:8" ht="15" customHeight="1">
      <c r="A91" s="43">
        <v>23</v>
      </c>
      <c r="B91" s="11">
        <v>597.59</v>
      </c>
      <c r="C91" s="44" t="str">
        <f>IFERROR(IF(OR(VLOOKUP(A91,#REF!, 4, FALSE)="", VLOOKUP(A91,#REF!, 4, FALSE)&lt;DATE(2024,1,1)), "RISCHEDULARE O SCADENZA MANCANTE", VLOOKUP(A91,#REF!, 4, FALSE)), "")</f>
        <v/>
      </c>
      <c r="G91" s="43" t="s">
        <v>1048</v>
      </c>
      <c r="H91" s="11">
        <v>3669.14</v>
      </c>
    </row>
    <row r="92" spans="1:8" ht="15" customHeight="1">
      <c r="A92" s="42" t="s">
        <v>2205</v>
      </c>
      <c r="B92" s="11">
        <v>7000</v>
      </c>
      <c r="C92" s="44" t="str">
        <f>IFERROR(IF(OR(VLOOKUP(A92,#REF!, 4, FALSE)="", VLOOKUP(A92,#REF!, 4, FALSE)&lt;DATE(2024,1,1)), "RISCHEDULARE O SCADENZA MANCANTE", VLOOKUP(A92,#REF!, 4, FALSE)), "")</f>
        <v/>
      </c>
      <c r="G92" s="43" t="s">
        <v>1051</v>
      </c>
      <c r="H92" s="11">
        <v>4760.8599999999997</v>
      </c>
    </row>
    <row r="93" spans="1:8" ht="15" customHeight="1">
      <c r="A93" s="43" t="s">
        <v>902</v>
      </c>
      <c r="B93" s="11">
        <v>7000</v>
      </c>
      <c r="C93" s="44" t="str">
        <f>IFERROR(IF(OR(VLOOKUP(A93,#REF!, 4, FALSE)="", VLOOKUP(A93,#REF!, 4, FALSE)&lt;DATE(2024,1,1)), "RISCHEDULARE O SCADENZA MANCANTE", VLOOKUP(A93,#REF!, 4, FALSE)), "")</f>
        <v/>
      </c>
      <c r="G93" s="43" t="s">
        <v>2392</v>
      </c>
      <c r="H93" s="11">
        <v>0</v>
      </c>
    </row>
    <row r="94" spans="1:8" ht="15" customHeight="1">
      <c r="A94" s="42" t="s">
        <v>2206</v>
      </c>
      <c r="B94" s="11">
        <v>54.9</v>
      </c>
      <c r="C94" s="44" t="str">
        <f>IFERROR(IF(OR(VLOOKUP(A94,#REF!, 4, FALSE)="", VLOOKUP(A94,#REF!, 4, FALSE)&lt;DATE(2024,1,1)), "RISCHEDULARE O SCADENZA MANCANTE", VLOOKUP(A94,#REF!, 4, FALSE)), "")</f>
        <v/>
      </c>
      <c r="G94" s="42" t="s">
        <v>2229</v>
      </c>
      <c r="H94" s="11">
        <v>679.81999999999994</v>
      </c>
    </row>
    <row r="95" spans="1:8" ht="15" customHeight="1">
      <c r="A95" s="43" t="s">
        <v>910</v>
      </c>
      <c r="B95" s="11">
        <v>54.9</v>
      </c>
      <c r="C95" s="44" t="str">
        <f>IFERROR(IF(OR(VLOOKUP(A95,#REF!, 4, FALSE)="", VLOOKUP(A95,#REF!, 4, FALSE)&lt;DATE(2024,1,1)), "RISCHEDULARE O SCADENZA MANCANTE", VLOOKUP(A95,#REF!, 4, FALSE)), "")</f>
        <v/>
      </c>
      <c r="G95" s="43">
        <v>1659</v>
      </c>
      <c r="H95" s="11">
        <v>679.81999999999994</v>
      </c>
    </row>
    <row r="96" spans="1:8" ht="15" customHeight="1">
      <c r="A96" s="42" t="s">
        <v>2214</v>
      </c>
      <c r="B96" s="11">
        <v>7478.6</v>
      </c>
      <c r="C96" s="44" t="str">
        <f>IFERROR(IF(OR(VLOOKUP(A96,#REF!, 4, FALSE)="", VLOOKUP(A96,#REF!, 4, FALSE)&lt;DATE(2024,1,1)), "RISCHEDULARE O SCADENZA MANCANTE", VLOOKUP(A96,#REF!, 4, FALSE)), "")</f>
        <v/>
      </c>
      <c r="G96" s="42" t="s">
        <v>2236</v>
      </c>
      <c r="H96" s="11">
        <v>187.31</v>
      </c>
    </row>
    <row r="97" spans="1:8" ht="15" customHeight="1">
      <c r="A97" s="43" t="s">
        <v>1028</v>
      </c>
      <c r="B97" s="11">
        <v>2745</v>
      </c>
      <c r="C97" s="44" t="str">
        <f>IFERROR(IF(OR(VLOOKUP(A97,#REF!, 4, FALSE)="", VLOOKUP(A97,#REF!, 4, FALSE)&lt;DATE(2024,1,1)), "RISCHEDULARE O SCADENZA MANCANTE", VLOOKUP(A97,#REF!, 4, FALSE)), "")</f>
        <v/>
      </c>
      <c r="G97" s="43" t="s">
        <v>1146</v>
      </c>
      <c r="H97" s="11">
        <v>187.31</v>
      </c>
    </row>
    <row r="98" spans="1:8" ht="15" customHeight="1">
      <c r="A98" s="43" t="s">
        <v>1031</v>
      </c>
      <c r="B98" s="11">
        <v>427</v>
      </c>
      <c r="C98" s="44" t="str">
        <f>IFERROR(IF(OR(VLOOKUP(A98,#REF!, 4, FALSE)="", VLOOKUP(A98,#REF!, 4, FALSE)&lt;DATE(2024,1,1)), "RISCHEDULARE O SCADENZA MANCANTE", VLOOKUP(A98,#REF!, 4, FALSE)), "")</f>
        <v/>
      </c>
      <c r="G98" s="42" t="s">
        <v>2241</v>
      </c>
      <c r="H98" s="11">
        <v>1163.22</v>
      </c>
    </row>
    <row r="99" spans="1:8" ht="15" customHeight="1">
      <c r="A99" s="43" t="s">
        <v>1037</v>
      </c>
      <c r="B99" s="11">
        <v>854</v>
      </c>
      <c r="C99" s="44" t="str">
        <f>IFERROR(IF(OR(VLOOKUP(A99,#REF!, 4, FALSE)="", VLOOKUP(A99,#REF!, 4, FALSE)&lt;DATE(2024,1,1)), "RISCHEDULARE O SCADENZA MANCANTE", VLOOKUP(A99,#REF!, 4, FALSE)), "")</f>
        <v/>
      </c>
      <c r="G99" s="43" t="s">
        <v>2242</v>
      </c>
      <c r="H99" s="11">
        <v>1163.22</v>
      </c>
    </row>
    <row r="100" spans="1:8" ht="15" customHeight="1">
      <c r="A100" s="43" t="s">
        <v>1039</v>
      </c>
      <c r="B100" s="11">
        <v>2598.6</v>
      </c>
      <c r="C100" s="44" t="str">
        <f>IFERROR(IF(OR(VLOOKUP(A100,#REF!, 4, FALSE)="", VLOOKUP(A100,#REF!, 4, FALSE)&lt;DATE(2024,1,1)), "RISCHEDULARE O SCADENZA MANCANTE", VLOOKUP(A100,#REF!, 4, FALSE)), "")</f>
        <v/>
      </c>
      <c r="G100" s="42" t="s">
        <v>2258</v>
      </c>
      <c r="H100" s="11">
        <v>1067.5</v>
      </c>
    </row>
    <row r="101" spans="1:8" ht="15" customHeight="1">
      <c r="A101" s="43" t="s">
        <v>1042</v>
      </c>
      <c r="B101" s="11">
        <v>854</v>
      </c>
      <c r="C101" s="44" t="str">
        <f>IFERROR(IF(OR(VLOOKUP(A101,#REF!, 4, FALSE)="", VLOOKUP(A101,#REF!, 4, FALSE)&lt;DATE(2024,1,1)), "RISCHEDULARE O SCADENZA MANCANTE", VLOOKUP(A101,#REF!, 4, FALSE)), "")</f>
        <v/>
      </c>
      <c r="G101" s="43" t="s">
        <v>1233</v>
      </c>
      <c r="H101" s="11">
        <v>1067.5</v>
      </c>
    </row>
    <row r="102" spans="1:8" ht="15" customHeight="1">
      <c r="A102" s="42" t="s">
        <v>2219</v>
      </c>
      <c r="B102" s="11">
        <v>2731.58</v>
      </c>
      <c r="C102" s="44" t="str">
        <f>IFERROR(IF(OR(VLOOKUP(A102,#REF!, 4, FALSE)="", VLOOKUP(A102,#REF!, 4, FALSE)&lt;DATE(2024,1,1)), "RISCHEDULARE O SCADENZA MANCANTE", VLOOKUP(A102,#REF!, 4, FALSE)), "")</f>
        <v/>
      </c>
      <c r="G102" s="42" t="s">
        <v>2263</v>
      </c>
      <c r="H102" s="11">
        <v>112.07</v>
      </c>
    </row>
    <row r="103" spans="1:8" ht="15" customHeight="1">
      <c r="A103" s="43" t="s">
        <v>995</v>
      </c>
      <c r="B103" s="11">
        <v>1660.42</v>
      </c>
      <c r="C103" s="44" t="str">
        <f>IFERROR(IF(OR(VLOOKUP(A103,#REF!, 4, FALSE)="", VLOOKUP(A103,#REF!, 4, FALSE)&lt;DATE(2024,1,1)), "RISCHEDULARE O SCADENZA MANCANTE", VLOOKUP(A103,#REF!, 4, FALSE)), "")</f>
        <v/>
      </c>
      <c r="G103" s="43" t="s">
        <v>1334</v>
      </c>
      <c r="H103" s="11">
        <v>112.07</v>
      </c>
    </row>
    <row r="104" spans="1:8" ht="15" customHeight="1">
      <c r="A104" s="43" t="s">
        <v>997</v>
      </c>
      <c r="B104" s="11">
        <v>180.56</v>
      </c>
      <c r="C104" s="44" t="str">
        <f>IFERROR(IF(OR(VLOOKUP(A104,#REF!, 4, FALSE)="", VLOOKUP(A104,#REF!, 4, FALSE)&lt;DATE(2024,1,1)), "RISCHEDULARE O SCADENZA MANCANTE", VLOOKUP(A104,#REF!, 4, FALSE)), "")</f>
        <v/>
      </c>
      <c r="G104" s="42" t="s">
        <v>2270</v>
      </c>
      <c r="H104" s="11">
        <v>80180</v>
      </c>
    </row>
    <row r="105" spans="1:8" ht="15" customHeight="1">
      <c r="A105" s="43" t="s">
        <v>999</v>
      </c>
      <c r="B105" s="11">
        <v>890.6</v>
      </c>
      <c r="C105" s="44" t="str">
        <f>IFERROR(IF(OR(VLOOKUP(A105,#REF!, 4, FALSE)="", VLOOKUP(A105,#REF!, 4, FALSE)&lt;DATE(2024,1,1)), "RISCHEDULARE O SCADENZA MANCANTE", VLOOKUP(A105,#REF!, 4, FALSE)), "")</f>
        <v/>
      </c>
      <c r="G105" s="43" t="s">
        <v>1339</v>
      </c>
      <c r="H105" s="11">
        <v>80180</v>
      </c>
    </row>
    <row r="106" spans="1:8" ht="15" customHeight="1">
      <c r="A106" s="42" t="s">
        <v>2390</v>
      </c>
      <c r="B106" s="11">
        <v>8430</v>
      </c>
      <c r="C106" s="44" t="str">
        <f>IFERROR(IF(OR(VLOOKUP(A106,#REF!, 4, FALSE)="", VLOOKUP(A106,#REF!, 4, FALSE)&lt;DATE(2024,1,1)), "RISCHEDULARE O SCADENZA MANCANTE", VLOOKUP(A106,#REF!, 4, FALSE)), "")</f>
        <v/>
      </c>
      <c r="G106" s="42" t="s">
        <v>2281</v>
      </c>
      <c r="H106" s="11">
        <v>250</v>
      </c>
    </row>
    <row r="107" spans="1:8" ht="15" customHeight="1">
      <c r="A107" s="43" t="s">
        <v>1048</v>
      </c>
      <c r="B107" s="11">
        <v>5756.63</v>
      </c>
      <c r="C107" s="44" t="str">
        <f>IFERROR(IF(OR(VLOOKUP(A107,#REF!, 4, FALSE)="", VLOOKUP(A107,#REF!, 4, FALSE)&lt;DATE(2024,1,1)), "RISCHEDULARE O SCADENZA MANCANTE", VLOOKUP(A107,#REF!, 4, FALSE)), "")</f>
        <v/>
      </c>
      <c r="G107" s="43" t="s">
        <v>1370</v>
      </c>
      <c r="H107" s="11">
        <v>250</v>
      </c>
    </row>
    <row r="108" spans="1:8" ht="15" customHeight="1">
      <c r="A108" s="43" t="s">
        <v>1051</v>
      </c>
      <c r="B108" s="11">
        <v>260.85999999999967</v>
      </c>
      <c r="C108" s="44" t="str">
        <f>IFERROR(IF(OR(VLOOKUP(A108,#REF!, 4, FALSE)="", VLOOKUP(A108,#REF!, 4, FALSE)&lt;DATE(2024,1,1)), "RISCHEDULARE O SCADENZA MANCANTE", VLOOKUP(A108,#REF!, 4, FALSE)), "")</f>
        <v/>
      </c>
      <c r="G108" s="42" t="s">
        <v>2285</v>
      </c>
      <c r="H108" s="11">
        <v>219.6</v>
      </c>
    </row>
    <row r="109" spans="1:8" ht="15" customHeight="1">
      <c r="A109" s="43" t="s">
        <v>2392</v>
      </c>
      <c r="B109" s="11">
        <v>0</v>
      </c>
      <c r="C109" s="44" t="str">
        <f>IFERROR(IF(OR(VLOOKUP(A109,#REF!, 4, FALSE)="", VLOOKUP(A109,#REF!, 4, FALSE)&lt;DATE(2024,1,1)), "RISCHEDULARE O SCADENZA MANCANTE", VLOOKUP(A109,#REF!, 4, FALSE)), "")</f>
        <v/>
      </c>
      <c r="G109" s="43">
        <v>11223</v>
      </c>
      <c r="H109" s="11">
        <v>219.6</v>
      </c>
    </row>
    <row r="110" spans="1:8" ht="15" customHeight="1">
      <c r="A110" s="43" t="s">
        <v>2391</v>
      </c>
      <c r="B110" s="11">
        <v>2412.5100000000002</v>
      </c>
      <c r="C110" s="44" t="str">
        <f>IFERROR(IF(OR(VLOOKUP(A110,#REF!, 4, FALSE)="", VLOOKUP(A110,#REF!, 4, FALSE)&lt;DATE(2024,1,1)), "RISCHEDULARE O SCADENZA MANCANTE", VLOOKUP(A110,#REF!, 4, FALSE)), "")</f>
        <v/>
      </c>
      <c r="G110" s="42" t="s">
        <v>2289</v>
      </c>
      <c r="H110" s="11">
        <v>31193.11</v>
      </c>
    </row>
    <row r="111" spans="1:8" ht="15" customHeight="1">
      <c r="A111" s="42" t="s">
        <v>2226</v>
      </c>
      <c r="B111" s="11">
        <v>114.68</v>
      </c>
      <c r="C111" s="44" t="str">
        <f>IFERROR(IF(OR(VLOOKUP(A111,#REF!, 4, FALSE)="", VLOOKUP(A111,#REF!, 4, FALSE)&lt;DATE(2024,1,1)), "RISCHEDULARE O SCADENZA MANCANTE", VLOOKUP(A111,#REF!, 4, FALSE)), "")</f>
        <v/>
      </c>
      <c r="G111" s="43" t="s">
        <v>1405</v>
      </c>
      <c r="H111" s="11">
        <v>23128.5</v>
      </c>
    </row>
    <row r="112" spans="1:8" ht="15" customHeight="1">
      <c r="A112" s="43" t="s">
        <v>1094</v>
      </c>
      <c r="B112" s="11">
        <v>114.68</v>
      </c>
      <c r="C112" s="44" t="str">
        <f>IFERROR(IF(OR(VLOOKUP(A112,#REF!, 4, FALSE)="", VLOOKUP(A112,#REF!, 4, FALSE)&lt;DATE(2024,1,1)), "RISCHEDULARE O SCADENZA MANCANTE", VLOOKUP(A112,#REF!, 4, FALSE)), "")</f>
        <v/>
      </c>
      <c r="G112" s="43" t="s">
        <v>641</v>
      </c>
      <c r="H112" s="11">
        <v>3159.26</v>
      </c>
    </row>
    <row r="113" spans="1:8" ht="15" customHeight="1">
      <c r="A113" s="42" t="s">
        <v>2229</v>
      </c>
      <c r="B113" s="11">
        <v>679.81999999999994</v>
      </c>
      <c r="C113" s="44" t="str">
        <f>IFERROR(IF(OR(VLOOKUP(A113,#REF!, 4, FALSE)="", VLOOKUP(A113,#REF!, 4, FALSE)&lt;DATE(2024,1,1)), "RISCHEDULARE O SCADENZA MANCANTE", VLOOKUP(A113,#REF!, 4, FALSE)), "")</f>
        <v/>
      </c>
      <c r="G113" s="43" t="s">
        <v>1426</v>
      </c>
      <c r="H113" s="11">
        <v>4452.29</v>
      </c>
    </row>
    <row r="114" spans="1:8" ht="15" customHeight="1">
      <c r="A114" s="43">
        <v>1659</v>
      </c>
      <c r="B114" s="11">
        <v>679.81999999999994</v>
      </c>
      <c r="C114" s="44" t="str">
        <f>IFERROR(IF(OR(VLOOKUP(A114,#REF!, 4, FALSE)="", VLOOKUP(A114,#REF!, 4, FALSE)&lt;DATE(2024,1,1)), "RISCHEDULARE O SCADENZA MANCANTE", VLOOKUP(A114,#REF!, 4, FALSE)), "")</f>
        <v/>
      </c>
      <c r="G114" s="43" t="s">
        <v>1428</v>
      </c>
      <c r="H114" s="11">
        <v>51.92</v>
      </c>
    </row>
    <row r="115" spans="1:8" ht="15" customHeight="1">
      <c r="A115" s="42" t="s">
        <v>2241</v>
      </c>
      <c r="B115" s="11">
        <v>1163.22</v>
      </c>
      <c r="C115" s="44" t="str">
        <f>IFERROR(IF(OR(VLOOKUP(A115,#REF!, 4, FALSE)="", VLOOKUP(A115,#REF!, 4, FALSE)&lt;DATE(2024,1,1)), "RISCHEDULARE O SCADENZA MANCANTE", VLOOKUP(A115,#REF!, 4, FALSE)), "")</f>
        <v/>
      </c>
      <c r="G115" s="43" t="s">
        <v>1433</v>
      </c>
      <c r="H115" s="11">
        <v>36.6</v>
      </c>
    </row>
    <row r="116" spans="1:8" ht="15" customHeight="1">
      <c r="A116" s="43" t="s">
        <v>2242</v>
      </c>
      <c r="B116" s="11">
        <v>1163.22</v>
      </c>
      <c r="C116" s="44" t="str">
        <f>IFERROR(IF(OR(VLOOKUP(A116,#REF!, 4, FALSE)="", VLOOKUP(A116,#REF!, 4, FALSE)&lt;DATE(2024,1,1)), "RISCHEDULARE O SCADENZA MANCANTE", VLOOKUP(A116,#REF!, 4, FALSE)), "")</f>
        <v/>
      </c>
      <c r="G116" s="43" t="s">
        <v>1430</v>
      </c>
      <c r="H116" s="11">
        <v>364.54</v>
      </c>
    </row>
    <row r="117" spans="1:8" ht="15" customHeight="1">
      <c r="A117" s="42" t="s">
        <v>2258</v>
      </c>
      <c r="B117" s="11">
        <v>1067.5</v>
      </c>
      <c r="C117" s="44" t="str">
        <f>IFERROR(IF(OR(VLOOKUP(A117,#REF!, 4, FALSE)="", VLOOKUP(A117,#REF!, 4, FALSE)&lt;DATE(2024,1,1)), "RISCHEDULARE O SCADENZA MANCANTE", VLOOKUP(A117,#REF!, 4, FALSE)), "")</f>
        <v/>
      </c>
      <c r="G117" s="42" t="s">
        <v>2303</v>
      </c>
      <c r="H117" s="11">
        <v>52000</v>
      </c>
    </row>
    <row r="118" spans="1:8" ht="15" customHeight="1">
      <c r="A118" s="43" t="s">
        <v>1233</v>
      </c>
      <c r="B118" s="11">
        <v>1067.5</v>
      </c>
      <c r="C118" s="44" t="str">
        <f>IFERROR(IF(OR(VLOOKUP(A118,#REF!, 4, FALSE)="", VLOOKUP(A118,#REF!, 4, FALSE)&lt;DATE(2024,1,1)), "RISCHEDULARE O SCADENZA MANCANTE", VLOOKUP(A118,#REF!, 4, FALSE)), "")</f>
        <v/>
      </c>
      <c r="G118" s="43" t="s">
        <v>1508</v>
      </c>
      <c r="H118" s="11">
        <v>45000</v>
      </c>
    </row>
    <row r="119" spans="1:8" ht="15" customHeight="1">
      <c r="A119" s="42" t="s">
        <v>2259</v>
      </c>
      <c r="B119" s="11">
        <v>377.55</v>
      </c>
      <c r="C119" s="44" t="str">
        <f>IFERROR(IF(OR(VLOOKUP(A119,#REF!, 4, FALSE)="", VLOOKUP(A119,#REF!, 4, FALSE)&lt;DATE(2024,1,1)), "RISCHEDULARE O SCADENZA MANCANTE", VLOOKUP(A119,#REF!, 4, FALSE)), "")</f>
        <v/>
      </c>
      <c r="G119" s="43" t="s">
        <v>1505</v>
      </c>
      <c r="H119" s="11">
        <v>7000</v>
      </c>
    </row>
    <row r="120" spans="1:8" ht="15" customHeight="1">
      <c r="A120" s="43" t="s">
        <v>1272</v>
      </c>
      <c r="B120" s="11">
        <v>62.11</v>
      </c>
      <c r="C120" s="44" t="str">
        <f>IFERROR(IF(OR(VLOOKUP(A120,#REF!, 4, FALSE)="", VLOOKUP(A120,#REF!, 4, FALSE)&lt;DATE(2024,1,1)), "RISCHEDULARE O SCADENZA MANCANTE", VLOOKUP(A120,#REF!, 4, FALSE)), "")</f>
        <v/>
      </c>
      <c r="G120" s="42" t="s">
        <v>2318</v>
      </c>
      <c r="H120" s="11">
        <v>10262.459999999999</v>
      </c>
    </row>
    <row r="121" spans="1:8" ht="15" customHeight="1">
      <c r="A121" s="43" t="s">
        <v>1274</v>
      </c>
      <c r="B121" s="11">
        <v>315.44</v>
      </c>
      <c r="C121" s="44" t="str">
        <f>IFERROR(IF(OR(VLOOKUP(A121,#REF!, 4, FALSE)="", VLOOKUP(A121,#REF!, 4, FALSE)&lt;DATE(2024,1,1)), "RISCHEDULARE O SCADENZA MANCANTE", VLOOKUP(A121,#REF!, 4, FALSE)), "")</f>
        <v/>
      </c>
      <c r="G121" s="43" t="s">
        <v>265</v>
      </c>
      <c r="H121" s="11">
        <v>1282.19</v>
      </c>
    </row>
    <row r="122" spans="1:8" ht="15" customHeight="1">
      <c r="A122" s="42" t="s">
        <v>2263</v>
      </c>
      <c r="B122" s="11">
        <v>112.07</v>
      </c>
      <c r="C122" s="44" t="str">
        <f>IFERROR(IF(OR(VLOOKUP(A122,#REF!, 4, FALSE)="", VLOOKUP(A122,#REF!, 4, FALSE)&lt;DATE(2024,1,1)), "RISCHEDULARE O SCADENZA MANCANTE", VLOOKUP(A122,#REF!, 4, FALSE)), "")</f>
        <v/>
      </c>
      <c r="G122" s="43" t="s">
        <v>255</v>
      </c>
      <c r="H122" s="11">
        <v>299.59000000000009</v>
      </c>
    </row>
    <row r="123" spans="1:8" ht="15" customHeight="1">
      <c r="A123" s="43" t="s">
        <v>1334</v>
      </c>
      <c r="B123" s="11">
        <v>112.07</v>
      </c>
      <c r="C123" s="44" t="str">
        <f>IFERROR(IF(OR(VLOOKUP(A123,#REF!, 4, FALSE)="", VLOOKUP(A123,#REF!, 4, FALSE)&lt;DATE(2024,1,1)), "RISCHEDULARE O SCADENZA MANCANTE", VLOOKUP(A123,#REF!, 4, FALSE)), "")</f>
        <v/>
      </c>
      <c r="G123" s="43" t="s">
        <v>258</v>
      </c>
      <c r="H123" s="11">
        <v>1723.02</v>
      </c>
    </row>
    <row r="124" spans="1:8" ht="15" customHeight="1">
      <c r="A124" s="42" t="s">
        <v>2270</v>
      </c>
      <c r="B124" s="11">
        <v>106180</v>
      </c>
      <c r="C124" s="44" t="str">
        <f>IFERROR(IF(OR(VLOOKUP(A124,#REF!, 4, FALSE)="", VLOOKUP(A124,#REF!, 4, FALSE)&lt;DATE(2024,1,1)), "RISCHEDULARE O SCADENZA MANCANTE", VLOOKUP(A124,#REF!, 4, FALSE)), "")</f>
        <v/>
      </c>
      <c r="G124" s="43" t="s">
        <v>260</v>
      </c>
      <c r="H124" s="11">
        <v>1519.91</v>
      </c>
    </row>
    <row r="125" spans="1:8" ht="15" customHeight="1">
      <c r="A125" s="43" t="s">
        <v>1339</v>
      </c>
      <c r="B125" s="11">
        <v>106180</v>
      </c>
      <c r="C125" s="44" t="str">
        <f>IFERROR(IF(OR(VLOOKUP(A125,#REF!, 4, FALSE)="", VLOOKUP(A125,#REF!, 4, FALSE)&lt;DATE(2024,1,1)), "RISCHEDULARE O SCADENZA MANCANTE", VLOOKUP(A125,#REF!, 4, FALSE)), "")</f>
        <v/>
      </c>
      <c r="G125" s="43" t="s">
        <v>262</v>
      </c>
      <c r="H125" s="11">
        <v>1822.6</v>
      </c>
    </row>
    <row r="126" spans="1:8" ht="15" customHeight="1">
      <c r="A126" s="42" t="s">
        <v>2399</v>
      </c>
      <c r="B126" s="11">
        <v>10000</v>
      </c>
      <c r="C126" s="44" t="str">
        <f>IFERROR(IF(OR(VLOOKUP(A126,#REF!, 4, FALSE)="", VLOOKUP(A126,#REF!, 4, FALSE)&lt;DATE(2024,1,1)), "RISCHEDULARE O SCADENZA MANCANTE", VLOOKUP(A126,#REF!, 4, FALSE)), "")</f>
        <v/>
      </c>
      <c r="G126" s="43" t="s">
        <v>1599</v>
      </c>
      <c r="H126" s="11">
        <v>3615.15</v>
      </c>
    </row>
    <row r="127" spans="1:8" ht="15" customHeight="1">
      <c r="A127" s="43" t="s">
        <v>723</v>
      </c>
      <c r="B127" s="11">
        <v>10000</v>
      </c>
      <c r="C127" s="44" t="str">
        <f>IFERROR(IF(OR(VLOOKUP(A127,#REF!, 4, FALSE)="", VLOOKUP(A127,#REF!, 4, FALSE)&lt;DATE(2024,1,1)), "RISCHEDULARE O SCADENZA MANCANTE", VLOOKUP(A127,#REF!, 4, FALSE)), "")</f>
        <v/>
      </c>
      <c r="G127" s="42" t="s">
        <v>2320</v>
      </c>
      <c r="H127" s="11">
        <v>1185.22</v>
      </c>
    </row>
    <row r="128" spans="1:8" ht="15" customHeight="1">
      <c r="A128" s="42" t="s">
        <v>2281</v>
      </c>
      <c r="B128" s="11">
        <v>250</v>
      </c>
      <c r="C128" s="44" t="str">
        <f>IFERROR(IF(OR(VLOOKUP(A128,#REF!, 4, FALSE)="", VLOOKUP(A128,#REF!, 4, FALSE)&lt;DATE(2024,1,1)), "RISCHEDULARE O SCADENZA MANCANTE", VLOOKUP(A128,#REF!, 4, FALSE)), "")</f>
        <v/>
      </c>
      <c r="G128" s="43" t="s">
        <v>1615</v>
      </c>
      <c r="H128" s="11">
        <v>71.260000000000005</v>
      </c>
    </row>
    <row r="129" spans="1:8" ht="15" customHeight="1">
      <c r="A129" s="43" t="s">
        <v>1370</v>
      </c>
      <c r="B129" s="11">
        <v>250</v>
      </c>
      <c r="C129" s="44" t="str">
        <f>IFERROR(IF(OR(VLOOKUP(A129,#REF!, 4, FALSE)="", VLOOKUP(A129,#REF!, 4, FALSE)&lt;DATE(2024,1,1)), "RISCHEDULARE O SCADENZA MANCANTE", VLOOKUP(A129,#REF!, 4, FALSE)), "")</f>
        <v/>
      </c>
      <c r="G129" s="43" t="s">
        <v>1613</v>
      </c>
      <c r="H129" s="11">
        <v>509.8</v>
      </c>
    </row>
    <row r="130" spans="1:8" ht="15" customHeight="1">
      <c r="A130" s="42" t="s">
        <v>2285</v>
      </c>
      <c r="B130" s="11">
        <v>219.6</v>
      </c>
      <c r="C130" s="44" t="str">
        <f>IFERROR(IF(OR(VLOOKUP(A130,#REF!, 4, FALSE)="", VLOOKUP(A130,#REF!, 4, FALSE)&lt;DATE(2024,1,1)), "RISCHEDULARE O SCADENZA MANCANTE", VLOOKUP(A130,#REF!, 4, FALSE)), "")</f>
        <v/>
      </c>
      <c r="G130" s="43" t="s">
        <v>1611</v>
      </c>
      <c r="H130" s="11">
        <v>320.89999999999998</v>
      </c>
    </row>
    <row r="131" spans="1:8" ht="15" customHeight="1">
      <c r="A131" s="43">
        <v>11223</v>
      </c>
      <c r="B131" s="11">
        <v>219.6</v>
      </c>
      <c r="C131" s="44" t="str">
        <f>IFERROR(IF(OR(VLOOKUP(A131,#REF!, 4, FALSE)="", VLOOKUP(A131,#REF!, 4, FALSE)&lt;DATE(2024,1,1)), "RISCHEDULARE O SCADENZA MANCANTE", VLOOKUP(A131,#REF!, 4, FALSE)), "")</f>
        <v/>
      </c>
      <c r="G131" s="43" t="s">
        <v>1608</v>
      </c>
      <c r="H131" s="11">
        <v>283.26</v>
      </c>
    </row>
    <row r="132" spans="1:8" ht="15" customHeight="1">
      <c r="A132" s="42" t="s">
        <v>2289</v>
      </c>
      <c r="B132" s="11">
        <v>17993.11</v>
      </c>
      <c r="C132" s="44" t="str">
        <f>IFERROR(IF(OR(VLOOKUP(A132,#REF!, 4, FALSE)="", VLOOKUP(A132,#REF!, 4, FALSE)&lt;DATE(2024,1,1)), "RISCHEDULARE O SCADENZA MANCANTE", VLOOKUP(A132,#REF!, 4, FALSE)), "")</f>
        <v/>
      </c>
      <c r="G132" s="42" t="s">
        <v>2321</v>
      </c>
      <c r="H132" s="11">
        <v>1816.09</v>
      </c>
    </row>
    <row r="133" spans="1:8" ht="15" customHeight="1">
      <c r="A133" s="43" t="s">
        <v>1405</v>
      </c>
      <c r="B133" s="11">
        <v>9928.5</v>
      </c>
      <c r="C133" s="44" t="str">
        <f>IFERROR(IF(OR(VLOOKUP(A133,#REF!, 4, FALSE)="", VLOOKUP(A133,#REF!, 4, FALSE)&lt;DATE(2024,1,1)), "RISCHEDULARE O SCADENZA MANCANTE", VLOOKUP(A133,#REF!, 4, FALSE)), "")</f>
        <v/>
      </c>
      <c r="G133" s="43">
        <v>137</v>
      </c>
      <c r="H133" s="11">
        <v>323.58</v>
      </c>
    </row>
    <row r="134" spans="1:8" ht="15" customHeight="1">
      <c r="A134" s="43" t="s">
        <v>641</v>
      </c>
      <c r="B134" s="11">
        <v>3159.26</v>
      </c>
      <c r="C134" s="44" t="str">
        <f>IFERROR(IF(OR(VLOOKUP(A134,#REF!, 4, FALSE)="", VLOOKUP(A134,#REF!, 4, FALSE)&lt;DATE(2024,1,1)), "RISCHEDULARE O SCADENZA MANCANTE", VLOOKUP(A134,#REF!, 4, FALSE)), "")</f>
        <v/>
      </c>
      <c r="G134" s="43" t="s">
        <v>1627</v>
      </c>
      <c r="H134" s="11">
        <v>295.62</v>
      </c>
    </row>
    <row r="135" spans="1:8" ht="15" customHeight="1">
      <c r="A135" s="43" t="s">
        <v>1426</v>
      </c>
      <c r="B135" s="11">
        <v>4452.29</v>
      </c>
      <c r="C135" s="44" t="str">
        <f>IFERROR(IF(OR(VLOOKUP(A135,#REF!, 4, FALSE)="", VLOOKUP(A135,#REF!, 4, FALSE)&lt;DATE(2024,1,1)), "RISCHEDULARE O SCADENZA MANCANTE", VLOOKUP(A135,#REF!, 4, FALSE)), "")</f>
        <v/>
      </c>
      <c r="G135" s="43" t="s">
        <v>1621</v>
      </c>
      <c r="H135" s="11">
        <v>192.13</v>
      </c>
    </row>
    <row r="136" spans="1:8" ht="15" customHeight="1">
      <c r="A136" s="43" t="s">
        <v>1428</v>
      </c>
      <c r="B136" s="11">
        <v>51.92</v>
      </c>
      <c r="C136" s="44" t="str">
        <f>IFERROR(IF(OR(VLOOKUP(A136,#REF!, 4, FALSE)="", VLOOKUP(A136,#REF!, 4, FALSE)&lt;DATE(2024,1,1)), "RISCHEDULARE O SCADENZA MANCANTE", VLOOKUP(A136,#REF!, 4, FALSE)), "")</f>
        <v/>
      </c>
      <c r="G136" s="43" t="s">
        <v>1629</v>
      </c>
      <c r="H136" s="11">
        <v>408.19</v>
      </c>
    </row>
    <row r="137" spans="1:8" ht="15" customHeight="1">
      <c r="A137" s="43" t="s">
        <v>1433</v>
      </c>
      <c r="B137" s="11">
        <v>36.6</v>
      </c>
      <c r="C137" s="44" t="str">
        <f>IFERROR(IF(OR(VLOOKUP(A137,#REF!, 4, FALSE)="", VLOOKUP(A137,#REF!, 4, FALSE)&lt;DATE(2024,1,1)), "RISCHEDULARE O SCADENZA MANCANTE", VLOOKUP(A137,#REF!, 4, FALSE)), "")</f>
        <v/>
      </c>
      <c r="G137" s="43" t="s">
        <v>1624</v>
      </c>
      <c r="H137" s="11">
        <v>596.57000000000005</v>
      </c>
    </row>
    <row r="138" spans="1:8" ht="15" customHeight="1">
      <c r="A138" s="43" t="s">
        <v>1430</v>
      </c>
      <c r="B138" s="11">
        <v>364.54</v>
      </c>
      <c r="C138" s="44" t="str">
        <f>IFERROR(IF(OR(VLOOKUP(A138,#REF!, 4, FALSE)="", VLOOKUP(A138,#REF!, 4, FALSE)&lt;DATE(2024,1,1)), "RISCHEDULARE O SCADENZA MANCANTE", VLOOKUP(A138,#REF!, 4, FALSE)), "")</f>
        <v/>
      </c>
      <c r="G138" s="42" t="s">
        <v>2323</v>
      </c>
      <c r="H138" s="11">
        <v>6090</v>
      </c>
    </row>
    <row r="139" spans="1:8" ht="15" customHeight="1">
      <c r="A139" s="42" t="s">
        <v>2295</v>
      </c>
      <c r="B139" s="11">
        <v>5000</v>
      </c>
      <c r="C139" s="44" t="str">
        <f>IFERROR(IF(OR(VLOOKUP(A139,#REF!, 4, FALSE)="", VLOOKUP(A139,#REF!, 4, FALSE)&lt;DATE(2024,1,1)), "RISCHEDULARE O SCADENZA MANCANTE", VLOOKUP(A139,#REF!, 4, FALSE)), "")</f>
        <v/>
      </c>
      <c r="G139" s="43">
        <v>52</v>
      </c>
      <c r="H139" s="11">
        <v>6090</v>
      </c>
    </row>
    <row r="140" spans="1:8" ht="15" customHeight="1">
      <c r="A140" s="43" t="s">
        <v>2408</v>
      </c>
      <c r="B140" s="11">
        <v>5000</v>
      </c>
      <c r="C140" s="44" t="str">
        <f>IFERROR(IF(OR(VLOOKUP(A140,#REF!, 4, FALSE)="", VLOOKUP(A140,#REF!, 4, FALSE)&lt;DATE(2024,1,1)), "RISCHEDULARE O SCADENZA MANCANTE", VLOOKUP(A140,#REF!, 4, FALSE)), "")</f>
        <v/>
      </c>
      <c r="G140" s="42" t="s">
        <v>2331</v>
      </c>
      <c r="H140" s="11">
        <v>65000</v>
      </c>
    </row>
    <row r="141" spans="1:8" ht="15" customHeight="1">
      <c r="A141" s="42" t="s">
        <v>2303</v>
      </c>
      <c r="B141" s="11">
        <v>190000</v>
      </c>
      <c r="C141" s="44" t="str">
        <f>IFERROR(IF(OR(VLOOKUP(A141,#REF!, 4, FALSE)="", VLOOKUP(A141,#REF!, 4, FALSE)&lt;DATE(2024,1,1)), "RISCHEDULARE O SCADENZA MANCANTE", VLOOKUP(A141,#REF!, 4, FALSE)), "")</f>
        <v/>
      </c>
      <c r="G141" s="43">
        <v>1</v>
      </c>
      <c r="H141" s="11">
        <v>-7000</v>
      </c>
    </row>
    <row r="142" spans="1:8" ht="15" customHeight="1">
      <c r="A142" s="43" t="s">
        <v>1508</v>
      </c>
      <c r="B142" s="11">
        <v>45000</v>
      </c>
      <c r="C142" s="44" t="str">
        <f>IFERROR(IF(OR(VLOOKUP(A142,#REF!, 4, FALSE)="", VLOOKUP(A142,#REF!, 4, FALSE)&lt;DATE(2024,1,1)), "RISCHEDULARE O SCADENZA MANCANTE", VLOOKUP(A142,#REF!, 4, FALSE)), "")</f>
        <v/>
      </c>
      <c r="G142" s="43">
        <v>2</v>
      </c>
      <c r="H142" s="11">
        <v>-8800</v>
      </c>
    </row>
    <row r="143" spans="1:8" ht="15" customHeight="1">
      <c r="A143" s="43" t="s">
        <v>1505</v>
      </c>
      <c r="B143" s="11">
        <v>80000</v>
      </c>
      <c r="C143" s="44" t="str">
        <f>IFERROR(IF(OR(VLOOKUP(A143,#REF!, 4, FALSE)="", VLOOKUP(A143,#REF!, 4, FALSE)&lt;DATE(2024,1,1)), "RISCHEDULARE O SCADENZA MANCANTE", VLOOKUP(A143,#REF!, 4, FALSE)), "")</f>
        <v/>
      </c>
      <c r="G143" s="43">
        <v>6</v>
      </c>
      <c r="H143" s="11">
        <v>-1465</v>
      </c>
    </row>
    <row r="144" spans="1:8" ht="15" customHeight="1">
      <c r="A144" s="43" t="s">
        <v>2408</v>
      </c>
      <c r="B144" s="11">
        <v>65000</v>
      </c>
      <c r="C144" s="44" t="str">
        <f>IFERROR(IF(OR(VLOOKUP(A144,#REF!, 4, FALSE)="", VLOOKUP(A144,#REF!, 4, FALSE)&lt;DATE(2024,1,1)), "RISCHEDULARE O SCADENZA MANCANTE", VLOOKUP(A144,#REF!, 4, FALSE)), "")</f>
        <v/>
      </c>
      <c r="G144" s="43">
        <v>9</v>
      </c>
      <c r="H144" s="11">
        <v>8123.5</v>
      </c>
    </row>
    <row r="145" spans="1:8" ht="15" customHeight="1">
      <c r="A145" s="42" t="s">
        <v>2310</v>
      </c>
      <c r="B145" s="11">
        <v>355.05</v>
      </c>
      <c r="C145" s="44" t="str">
        <f>IFERROR(IF(OR(VLOOKUP(A145,#REF!, 4, FALSE)="", VLOOKUP(A145,#REF!, 4, FALSE)&lt;DATE(2024,1,1)), "RISCHEDULARE O SCADENZA MANCANTE", VLOOKUP(A145,#REF!, 4, FALSE)), "")</f>
        <v/>
      </c>
      <c r="G145" s="43">
        <v>90</v>
      </c>
      <c r="H145" s="11">
        <v>2000</v>
      </c>
    </row>
    <row r="146" spans="1:8" ht="15" customHeight="1">
      <c r="A146" s="43" t="s">
        <v>1564</v>
      </c>
      <c r="B146" s="11">
        <v>355.05</v>
      </c>
      <c r="C146" s="44" t="str">
        <f>IFERROR(IF(OR(VLOOKUP(A146,#REF!, 4, FALSE)="", VLOOKUP(A146,#REF!, 4, FALSE)&lt;DATE(2024,1,1)), "RISCHEDULARE O SCADENZA MANCANTE", VLOOKUP(A146,#REF!, 4, FALSE)), "")</f>
        <v/>
      </c>
      <c r="G146" s="43">
        <v>95</v>
      </c>
      <c r="H146" s="11">
        <v>1465</v>
      </c>
    </row>
    <row r="147" spans="1:8" ht="15" customHeight="1">
      <c r="A147" s="42" t="s">
        <v>2318</v>
      </c>
      <c r="B147" s="11">
        <v>8980.27</v>
      </c>
      <c r="C147" s="44" t="str">
        <f>IFERROR(IF(OR(VLOOKUP(A147,#REF!, 4, FALSE)="", VLOOKUP(A147,#REF!, 4, FALSE)&lt;DATE(2024,1,1)), "RISCHEDULARE O SCADENZA MANCANTE", VLOOKUP(A147,#REF!, 4, FALSE)), "")</f>
        <v/>
      </c>
      <c r="G147" s="43">
        <v>109</v>
      </c>
      <c r="H147" s="11">
        <v>1465</v>
      </c>
    </row>
    <row r="148" spans="1:8" ht="15" customHeight="1">
      <c r="A148" s="43" t="s">
        <v>255</v>
      </c>
      <c r="B148" s="11">
        <v>299.59000000000009</v>
      </c>
      <c r="C148" s="44" t="str">
        <f>IFERROR(IF(OR(VLOOKUP(A148,#REF!, 4, FALSE)="", VLOOKUP(A148,#REF!, 4, FALSE)&lt;DATE(2024,1,1)), "RISCHEDULARE O SCADENZA MANCANTE", VLOOKUP(A148,#REF!, 4, FALSE)), "")</f>
        <v/>
      </c>
      <c r="G148" s="43" t="s">
        <v>1703</v>
      </c>
      <c r="H148" s="11">
        <v>40000</v>
      </c>
    </row>
    <row r="149" spans="1:8" ht="15" customHeight="1">
      <c r="A149" s="43" t="s">
        <v>258</v>
      </c>
      <c r="B149" s="11">
        <v>1723.02</v>
      </c>
      <c r="C149" s="44" t="str">
        <f>IFERROR(IF(OR(VLOOKUP(A149,#REF!, 4, FALSE)="", VLOOKUP(A149,#REF!, 4, FALSE)&lt;DATE(2024,1,1)), "RISCHEDULARE O SCADENZA MANCANTE", VLOOKUP(A149,#REF!, 4, FALSE)), "")</f>
        <v/>
      </c>
      <c r="G149" s="43" t="s">
        <v>1708</v>
      </c>
      <c r="H149" s="11">
        <v>10027</v>
      </c>
    </row>
    <row r="150" spans="1:8" ht="15" customHeight="1">
      <c r="A150" s="43" t="s">
        <v>260</v>
      </c>
      <c r="B150" s="11">
        <v>1519.91</v>
      </c>
      <c r="C150" s="44" t="str">
        <f>IFERROR(IF(OR(VLOOKUP(A150,#REF!, 4, FALSE)="", VLOOKUP(A150,#REF!, 4, FALSE)&lt;DATE(2024,1,1)), "RISCHEDULARE O SCADENZA MANCANTE", VLOOKUP(A150,#REF!, 4, FALSE)), "")</f>
        <v/>
      </c>
      <c r="G150" s="43" t="s">
        <v>2332</v>
      </c>
      <c r="H150" s="11">
        <v>19184.5</v>
      </c>
    </row>
    <row r="151" spans="1:8" ht="15" customHeight="1">
      <c r="A151" s="43" t="s">
        <v>262</v>
      </c>
      <c r="B151" s="11">
        <v>1822.6</v>
      </c>
      <c r="C151" s="44" t="str">
        <f>IFERROR(IF(OR(VLOOKUP(A151,#REF!, 4, FALSE)="", VLOOKUP(A151,#REF!, 4, FALSE)&lt;DATE(2024,1,1)), "RISCHEDULARE O SCADENZA MANCANTE", VLOOKUP(A151,#REF!, 4, FALSE)), "")</f>
        <v/>
      </c>
      <c r="G151" s="42" t="s">
        <v>2339</v>
      </c>
      <c r="H151" s="11">
        <v>100000</v>
      </c>
    </row>
    <row r="152" spans="1:8" ht="15" customHeight="1">
      <c r="A152" s="43" t="s">
        <v>1599</v>
      </c>
      <c r="B152" s="11">
        <v>3615.15</v>
      </c>
      <c r="C152" s="44" t="str">
        <f>IFERROR(IF(OR(VLOOKUP(A152,#REF!, 4, FALSE)="", VLOOKUP(A152,#REF!, 4, FALSE)&lt;DATE(2024,1,1)), "RISCHEDULARE O SCADENZA MANCANTE", VLOOKUP(A152,#REF!, 4, FALSE)), "")</f>
        <v/>
      </c>
      <c r="G152" s="43">
        <v>150</v>
      </c>
      <c r="H152" s="11">
        <v>70000</v>
      </c>
    </row>
    <row r="153" spans="1:8" ht="15" customHeight="1">
      <c r="A153" s="42" t="s">
        <v>2320</v>
      </c>
      <c r="B153" s="11">
        <v>1185.22</v>
      </c>
      <c r="C153" s="44" t="str">
        <f>IFERROR(IF(OR(VLOOKUP(A153,#REF!, 4, FALSE)="", VLOOKUP(A153,#REF!, 4, FALSE)&lt;DATE(2024,1,1)), "RISCHEDULARE O SCADENZA MANCANTE", VLOOKUP(A153,#REF!, 4, FALSE)), "")</f>
        <v/>
      </c>
      <c r="G153" s="43">
        <v>151</v>
      </c>
      <c r="H153" s="11">
        <v>30000</v>
      </c>
    </row>
    <row r="154" spans="1:8" ht="15" customHeight="1">
      <c r="A154" s="43" t="s">
        <v>1615</v>
      </c>
      <c r="B154" s="11">
        <v>71.260000000000005</v>
      </c>
      <c r="C154" s="44" t="str">
        <f>IFERROR(IF(OR(VLOOKUP(A154,#REF!, 4, FALSE)="", VLOOKUP(A154,#REF!, 4, FALSE)&lt;DATE(2024,1,1)), "RISCHEDULARE O SCADENZA MANCANTE", VLOOKUP(A154,#REF!, 4, FALSE)), "")</f>
        <v/>
      </c>
      <c r="G154" s="42" t="s">
        <v>2347</v>
      </c>
      <c r="H154" s="11">
        <v>1118.6400000000001</v>
      </c>
    </row>
    <row r="155" spans="1:8" ht="15" customHeight="1">
      <c r="A155" s="43" t="s">
        <v>1613</v>
      </c>
      <c r="B155" s="11">
        <v>509.8</v>
      </c>
      <c r="C155" s="44" t="str">
        <f>IFERROR(IF(OR(VLOOKUP(A155,#REF!, 4, FALSE)="", VLOOKUP(A155,#REF!, 4, FALSE)&lt;DATE(2024,1,1)), "RISCHEDULARE O SCADENZA MANCANTE", VLOOKUP(A155,#REF!, 4, FALSE)), "")</f>
        <v/>
      </c>
      <c r="G155" s="43">
        <v>202510492636</v>
      </c>
      <c r="H155" s="11">
        <v>335.87</v>
      </c>
    </row>
    <row r="156" spans="1:8" ht="15" customHeight="1">
      <c r="A156" s="43" t="s">
        <v>1611</v>
      </c>
      <c r="B156" s="11">
        <v>320.89999999999998</v>
      </c>
      <c r="C156" s="44" t="str">
        <f>IFERROR(IF(OR(VLOOKUP(A156,#REF!, 4, FALSE)="", VLOOKUP(A156,#REF!, 4, FALSE)&lt;DATE(2024,1,1)), "RISCHEDULARE O SCADENZA MANCANTE", VLOOKUP(A156,#REF!, 4, FALSE)), "")</f>
        <v/>
      </c>
      <c r="G156" s="43">
        <v>202510743674</v>
      </c>
      <c r="H156" s="11">
        <v>30.19</v>
      </c>
    </row>
    <row r="157" spans="1:8" ht="15" customHeight="1">
      <c r="A157" s="43" t="s">
        <v>1608</v>
      </c>
      <c r="B157" s="11">
        <v>283.26</v>
      </c>
      <c r="C157" s="44" t="str">
        <f>IFERROR(IF(OR(VLOOKUP(A157,#REF!, 4, FALSE)="", VLOOKUP(A157,#REF!, 4, FALSE)&lt;DATE(2024,1,1)), "RISCHEDULARE O SCADENZA MANCANTE", VLOOKUP(A157,#REF!, 4, FALSE)), "")</f>
        <v/>
      </c>
      <c r="G157" s="43">
        <v>202510892147</v>
      </c>
      <c r="H157" s="11">
        <v>752.58</v>
      </c>
    </row>
    <row r="158" spans="1:8" ht="15" customHeight="1">
      <c r="A158" s="42" t="s">
        <v>2321</v>
      </c>
      <c r="B158" s="11">
        <v>2368.8200000000002</v>
      </c>
      <c r="C158" s="44" t="str">
        <f>IFERROR(IF(OR(VLOOKUP(A158,#REF!, 4, FALSE)="", VLOOKUP(A158,#REF!, 4, FALSE)&lt;DATE(2024,1,1)), "RISCHEDULARE O SCADENZA MANCANTE", VLOOKUP(A158,#REF!, 4, FALSE)), "")</f>
        <v/>
      </c>
      <c r="G158" s="42" t="s">
        <v>2355</v>
      </c>
      <c r="H158" s="11">
        <v>65.08</v>
      </c>
    </row>
    <row r="159" spans="1:8" ht="15" customHeight="1">
      <c r="A159" s="43">
        <v>137</v>
      </c>
      <c r="B159" s="11">
        <v>323.58</v>
      </c>
      <c r="C159" s="44" t="str">
        <f>IFERROR(IF(OR(VLOOKUP(A159,#REF!, 4, FALSE)="", VLOOKUP(A159,#REF!, 4, FALSE)&lt;DATE(2024,1,1)), "RISCHEDULARE O SCADENZA MANCANTE", VLOOKUP(A159,#REF!, 4, FALSE)), "")</f>
        <v/>
      </c>
      <c r="G159" s="43">
        <v>7425</v>
      </c>
      <c r="H159" s="11">
        <v>65.08</v>
      </c>
    </row>
    <row r="160" spans="1:8" ht="15" customHeight="1">
      <c r="A160" s="43" t="s">
        <v>1627</v>
      </c>
      <c r="B160" s="11">
        <v>295.62</v>
      </c>
      <c r="C160" s="44" t="str">
        <f>IFERROR(IF(OR(VLOOKUP(A160,#REF!, 4, FALSE)="", VLOOKUP(A160,#REF!, 4, FALSE)&lt;DATE(2024,1,1)), "RISCHEDULARE O SCADENZA MANCANTE", VLOOKUP(A160,#REF!, 4, FALSE)), "")</f>
        <v/>
      </c>
      <c r="G160" s="42" t="s">
        <v>2408</v>
      </c>
      <c r="H160" s="11"/>
    </row>
    <row r="161" spans="1:8" ht="15" customHeight="1">
      <c r="A161" s="43" t="s">
        <v>1621</v>
      </c>
      <c r="B161" s="11">
        <v>192.13</v>
      </c>
      <c r="C161" s="44" t="str">
        <f>IFERROR(IF(OR(VLOOKUP(A161,#REF!, 4, FALSE)="", VLOOKUP(A161,#REF!, 4, FALSE)&lt;DATE(2024,1,1)), "RISCHEDULARE O SCADENZA MANCANTE", VLOOKUP(A161,#REF!, 4, FALSE)), "")</f>
        <v/>
      </c>
      <c r="G161" s="43" t="s">
        <v>2408</v>
      </c>
      <c r="H161" s="11"/>
    </row>
    <row r="162" spans="1:8" ht="15" customHeight="1">
      <c r="A162" s="43" t="s">
        <v>1629</v>
      </c>
      <c r="B162" s="11">
        <v>408.19</v>
      </c>
      <c r="C162" s="44" t="str">
        <f>IFERROR(IF(OR(VLOOKUP(A162,#REF!, 4, FALSE)="", VLOOKUP(A162,#REF!, 4, FALSE)&lt;DATE(2024,1,1)), "RISCHEDULARE O SCADENZA MANCANTE", VLOOKUP(A162,#REF!, 4, FALSE)), "")</f>
        <v/>
      </c>
      <c r="G162" s="42" t="s">
        <v>2414</v>
      </c>
      <c r="H162" s="11">
        <v>480193.43000000023</v>
      </c>
    </row>
    <row r="163" spans="1:8" ht="15" customHeight="1">
      <c r="A163" s="43" t="s">
        <v>1624</v>
      </c>
      <c r="B163" s="11">
        <v>596.57000000000005</v>
      </c>
      <c r="C163" s="44" t="str">
        <f>IFERROR(IF(OR(VLOOKUP(A163,#REF!, 4, FALSE)="", VLOOKUP(A163,#REF!, 4, FALSE)&lt;DATE(2024,1,1)), "RISCHEDULARE O SCADENZA MANCANTE", VLOOKUP(A163,#REF!, 4, FALSE)), "")</f>
        <v/>
      </c>
    </row>
    <row r="164" spans="1:8" ht="15" customHeight="1">
      <c r="A164" s="43" t="s">
        <v>1632</v>
      </c>
      <c r="B164" s="11">
        <v>344.93</v>
      </c>
      <c r="C164" s="44" t="str">
        <f>IFERROR(IF(OR(VLOOKUP(A164,#REF!, 4, FALSE)="", VLOOKUP(A164,#REF!, 4, FALSE)&lt;DATE(2024,1,1)), "RISCHEDULARE O SCADENZA MANCANTE", VLOOKUP(A164,#REF!, 4, FALSE)), "")</f>
        <v/>
      </c>
    </row>
    <row r="165" spans="1:8" ht="15" customHeight="1">
      <c r="A165" s="43" t="s">
        <v>1633</v>
      </c>
      <c r="B165" s="11">
        <v>207.8</v>
      </c>
      <c r="C165" s="44" t="str">
        <f>IFERROR(IF(OR(VLOOKUP(A165,#REF!, 4, FALSE)="", VLOOKUP(A165,#REF!, 4, FALSE)&lt;DATE(2024,1,1)), "RISCHEDULARE O SCADENZA MANCANTE", VLOOKUP(A165,#REF!, 4, FALSE)), "")</f>
        <v/>
      </c>
    </row>
    <row r="166" spans="1:8" ht="15" customHeight="1">
      <c r="A166" s="42" t="s">
        <v>2323</v>
      </c>
      <c r="B166" s="11">
        <v>12180</v>
      </c>
      <c r="C166" s="44" t="str">
        <f>IFERROR(IF(OR(VLOOKUP(A166,#REF!, 4, FALSE)="", VLOOKUP(A166,#REF!, 4, FALSE)&lt;DATE(2024,1,1)), "RISCHEDULARE O SCADENZA MANCANTE", VLOOKUP(A166,#REF!, 4, FALSE)), "")</f>
        <v/>
      </c>
    </row>
    <row r="167" spans="1:8" ht="15" customHeight="1">
      <c r="A167" s="43">
        <v>52</v>
      </c>
      <c r="B167" s="11">
        <v>12180</v>
      </c>
      <c r="C167" s="44" t="str">
        <f>IFERROR(IF(OR(VLOOKUP(A167,#REF!, 4, FALSE)="", VLOOKUP(A167,#REF!, 4, FALSE)&lt;DATE(2024,1,1)), "RISCHEDULARE O SCADENZA MANCANTE", VLOOKUP(A167,#REF!, 4, FALSE)), "")</f>
        <v/>
      </c>
    </row>
    <row r="168" spans="1:8" ht="15" customHeight="1">
      <c r="A168" s="42" t="s">
        <v>2331</v>
      </c>
      <c r="B168" s="11">
        <v>117000</v>
      </c>
      <c r="C168" s="44" t="str">
        <f>IFERROR(IF(OR(VLOOKUP(A168,#REF!, 4, FALSE)="", VLOOKUP(A168,#REF!, 4, FALSE)&lt;DATE(2024,1,1)), "RISCHEDULARE O SCADENZA MANCANTE", VLOOKUP(A168,#REF!, 4, FALSE)), "")</f>
        <v/>
      </c>
    </row>
    <row r="169" spans="1:8" ht="15" customHeight="1">
      <c r="A169" s="43" t="s">
        <v>2408</v>
      </c>
      <c r="B169" s="11">
        <v>117000</v>
      </c>
      <c r="C169" s="44" t="str">
        <f>IFERROR(IF(OR(VLOOKUP(A169,#REF!, 4, FALSE)="", VLOOKUP(A169,#REF!, 4, FALSE)&lt;DATE(2024,1,1)), "RISCHEDULARE O SCADENZA MANCANTE", VLOOKUP(A169,#REF!, 4, FALSE)), "")</f>
        <v/>
      </c>
    </row>
    <row r="170" spans="1:8" ht="15" customHeight="1">
      <c r="A170" s="42" t="s">
        <v>2335</v>
      </c>
      <c r="B170" s="11">
        <v>163.22</v>
      </c>
      <c r="C170" s="44" t="str">
        <f>IFERROR(IF(OR(VLOOKUP(A170,#REF!, 4, FALSE)="", VLOOKUP(A170,#REF!, 4, FALSE)&lt;DATE(2024,1,1)), "RISCHEDULARE O SCADENZA MANCANTE", VLOOKUP(A170,#REF!, 4, FALSE)), "")</f>
        <v/>
      </c>
    </row>
    <row r="171" spans="1:8" ht="15" customHeight="1">
      <c r="A171" s="43" t="s">
        <v>1736</v>
      </c>
      <c r="B171" s="11">
        <v>27.94</v>
      </c>
      <c r="C171" s="44" t="str">
        <f>IFERROR(IF(OR(VLOOKUP(A171,#REF!, 4, FALSE)="", VLOOKUP(A171,#REF!, 4, FALSE)&lt;DATE(2024,1,1)), "RISCHEDULARE O SCADENZA MANCANTE", VLOOKUP(A171,#REF!, 4, FALSE)), "")</f>
        <v/>
      </c>
    </row>
    <row r="172" spans="1:8" ht="15" customHeight="1">
      <c r="A172" s="43" t="s">
        <v>1748</v>
      </c>
      <c r="B172" s="11">
        <v>27.94</v>
      </c>
      <c r="C172" s="44" t="str">
        <f>IFERROR(IF(OR(VLOOKUP(A172,#REF!, 4, FALSE)="", VLOOKUP(A172,#REF!, 4, FALSE)&lt;DATE(2024,1,1)), "RISCHEDULARE O SCADENZA MANCANTE", VLOOKUP(A172,#REF!, 4, FALSE)), "")</f>
        <v/>
      </c>
    </row>
    <row r="173" spans="1:8" ht="15" customHeight="1">
      <c r="A173" s="43" t="s">
        <v>1751</v>
      </c>
      <c r="B173" s="11">
        <v>28.51</v>
      </c>
      <c r="C173" s="44" t="str">
        <f>IFERROR(IF(OR(VLOOKUP(A173,#REF!, 4, FALSE)="", VLOOKUP(A173,#REF!, 4, FALSE)&lt;DATE(2024,1,1)), "RISCHEDULARE O SCADENZA MANCANTE", VLOOKUP(A173,#REF!, 4, FALSE)), "")</f>
        <v/>
      </c>
    </row>
    <row r="174" spans="1:8" ht="15" customHeight="1">
      <c r="A174" s="43" t="s">
        <v>1753</v>
      </c>
      <c r="B174" s="11">
        <v>27.94</v>
      </c>
      <c r="C174" s="44" t="str">
        <f>IFERROR(IF(OR(VLOOKUP(A174,#REF!, 4, FALSE)="", VLOOKUP(A174,#REF!, 4, FALSE)&lt;DATE(2024,1,1)), "RISCHEDULARE O SCADENZA MANCANTE", VLOOKUP(A174,#REF!, 4, FALSE)), "")</f>
        <v/>
      </c>
    </row>
    <row r="175" spans="1:8" ht="15" customHeight="1">
      <c r="A175" s="43" t="s">
        <v>1755</v>
      </c>
      <c r="B175" s="11">
        <v>22.95</v>
      </c>
      <c r="C175" s="44" t="str">
        <f>IFERROR(IF(OR(VLOOKUP(A175,#REF!, 4, FALSE)="", VLOOKUP(A175,#REF!, 4, FALSE)&lt;DATE(2024,1,1)), "RISCHEDULARE O SCADENZA MANCANTE", VLOOKUP(A175,#REF!, 4, FALSE)), "")</f>
        <v/>
      </c>
    </row>
    <row r="176" spans="1:8" ht="15" customHeight="1">
      <c r="A176" s="43" t="s">
        <v>1758</v>
      </c>
      <c r="B176" s="11">
        <v>27.94</v>
      </c>
      <c r="C176" s="44" t="str">
        <f>IFERROR(IF(OR(VLOOKUP(A176,#REF!, 4, FALSE)="", VLOOKUP(A176,#REF!, 4, FALSE)&lt;DATE(2024,1,1)), "RISCHEDULARE O SCADENZA MANCANTE", VLOOKUP(A176,#REF!, 4, FALSE)), "")</f>
        <v/>
      </c>
    </row>
    <row r="177" spans="1:3" ht="15" customHeight="1">
      <c r="A177" s="42" t="s">
        <v>2339</v>
      </c>
      <c r="B177" s="11">
        <v>100000</v>
      </c>
      <c r="C177" s="44" t="str">
        <f>IFERROR(IF(OR(VLOOKUP(A177,#REF!, 4, FALSE)="", VLOOKUP(A177,#REF!, 4, FALSE)&lt;DATE(2024,1,1)), "RISCHEDULARE O SCADENZA MANCANTE", VLOOKUP(A177,#REF!, 4, FALSE)), "")</f>
        <v/>
      </c>
    </row>
    <row r="178" spans="1:3" ht="15" customHeight="1">
      <c r="A178" s="43">
        <v>150</v>
      </c>
      <c r="B178" s="11">
        <v>70000</v>
      </c>
      <c r="C178" s="44" t="str">
        <f>IFERROR(IF(OR(VLOOKUP(A178,#REF!, 4, FALSE)="", VLOOKUP(A178,#REF!, 4, FALSE)&lt;DATE(2024,1,1)), "RISCHEDULARE O SCADENZA MANCANTE", VLOOKUP(A178,#REF!, 4, FALSE)), "")</f>
        <v/>
      </c>
    </row>
    <row r="179" spans="1:3" ht="15" customHeight="1">
      <c r="A179" s="43">
        <v>151</v>
      </c>
      <c r="B179" s="11">
        <v>30000</v>
      </c>
      <c r="C179" s="44" t="str">
        <f>IFERROR(IF(OR(VLOOKUP(A179,#REF!, 4, FALSE)="", VLOOKUP(A179,#REF!, 4, FALSE)&lt;DATE(2024,1,1)), "RISCHEDULARE O SCADENZA MANCANTE", VLOOKUP(A179,#REF!, 4, FALSE)), "")</f>
        <v/>
      </c>
    </row>
    <row r="180" spans="1:3" ht="15" customHeight="1">
      <c r="A180" s="42" t="s">
        <v>2347</v>
      </c>
      <c r="B180" s="11">
        <v>1099.51</v>
      </c>
      <c r="C180" s="44" t="str">
        <f>IFERROR(IF(OR(VLOOKUP(A180,#REF!, 4, FALSE)="", VLOOKUP(A180,#REF!, 4, FALSE)&lt;DATE(2024,1,1)), "RISCHEDULARE O SCADENZA MANCANTE", VLOOKUP(A180,#REF!, 4, FALSE)), "")</f>
        <v/>
      </c>
    </row>
    <row r="181" spans="1:3" ht="15" customHeight="1">
      <c r="A181" s="43">
        <v>202510492636</v>
      </c>
      <c r="B181" s="11">
        <v>335.87</v>
      </c>
      <c r="C181" s="44" t="str">
        <f>IFERROR(IF(OR(VLOOKUP(A181,#REF!, 4, FALSE)="", VLOOKUP(A181,#REF!, 4, FALSE)&lt;DATE(2024,1,1)), "RISCHEDULARE O SCADENZA MANCANTE", VLOOKUP(A181,#REF!, 4, FALSE)), "")</f>
        <v/>
      </c>
    </row>
    <row r="182" spans="1:3" ht="15" customHeight="1">
      <c r="A182" s="43">
        <v>202510892147</v>
      </c>
      <c r="B182" s="11">
        <v>752.58</v>
      </c>
      <c r="C182" s="44" t="str">
        <f>IFERROR(IF(OR(VLOOKUP(A182,#REF!, 4, FALSE)="", VLOOKUP(A182,#REF!, 4, FALSE)&lt;DATE(2024,1,1)), "RISCHEDULARE O SCADENZA MANCANTE", VLOOKUP(A182,#REF!, 4, FALSE)), "")</f>
        <v/>
      </c>
    </row>
    <row r="183" spans="1:3" ht="15" customHeight="1">
      <c r="A183" s="43">
        <v>202511124576</v>
      </c>
      <c r="B183" s="11">
        <v>11.06</v>
      </c>
      <c r="C183" s="44" t="str">
        <f>IFERROR(IF(OR(VLOOKUP(A183,#REF!, 4, FALSE)="", VLOOKUP(A183,#REF!, 4, FALSE)&lt;DATE(2024,1,1)), "RISCHEDULARE O SCADENZA MANCANTE", VLOOKUP(A183,#REF!, 4, FALSE)), "")</f>
        <v/>
      </c>
    </row>
    <row r="184" spans="1:3" ht="15" customHeight="1">
      <c r="A184" s="42" t="s">
        <v>2355</v>
      </c>
      <c r="B184" s="11">
        <v>65.08</v>
      </c>
      <c r="C184" s="44" t="str">
        <f>IFERROR(IF(OR(VLOOKUP(A184,#REF!, 4, FALSE)="", VLOOKUP(A184,#REF!, 4, FALSE)&lt;DATE(2024,1,1)), "RISCHEDULARE O SCADENZA MANCANTE", VLOOKUP(A184,#REF!, 4, FALSE)), "")</f>
        <v/>
      </c>
    </row>
    <row r="185" spans="1:3" ht="15" customHeight="1">
      <c r="A185" s="43">
        <v>7425</v>
      </c>
      <c r="B185" s="11">
        <v>65.08</v>
      </c>
      <c r="C185" s="44" t="str">
        <f>IFERROR(IF(OR(VLOOKUP(A185,#REF!, 4, FALSE)="", VLOOKUP(A185,#REF!, 4, FALSE)&lt;DATE(2024,1,1)), "RISCHEDULARE O SCADENZA MANCANTE", VLOOKUP(A185,#REF!, 4, FALSE)), "")</f>
        <v/>
      </c>
    </row>
    <row r="186" spans="1:3" ht="15" customHeight="1">
      <c r="A186" s="42" t="s">
        <v>2408</v>
      </c>
      <c r="B186" s="11"/>
      <c r="C186" s="44" t="str">
        <f>IFERROR(IF(OR(VLOOKUP(A186,#REF!, 4, FALSE)="", VLOOKUP(A186,#REF!, 4, FALSE)&lt;DATE(2024,1,1)), "RISCHEDULARE O SCADENZA MANCANTE", VLOOKUP(A186,#REF!, 4, FALSE)), "")</f>
        <v/>
      </c>
    </row>
    <row r="187" spans="1:3" ht="15" customHeight="1">
      <c r="A187" s="43" t="s">
        <v>2408</v>
      </c>
      <c r="B187" s="11"/>
      <c r="C187" s="44" t="str">
        <f>IFERROR(IF(OR(VLOOKUP(A187,#REF!, 4, FALSE)="", VLOOKUP(A187,#REF!, 4, FALSE)&lt;DATE(2024,1,1)), "RISCHEDULARE O SCADENZA MANCANTE", VLOOKUP(A187,#REF!, 4, FALSE)), "")</f>
        <v/>
      </c>
    </row>
    <row r="188" spans="1:3" ht="15" customHeight="1">
      <c r="A188" s="42" t="s">
        <v>2414</v>
      </c>
      <c r="B188" s="11">
        <v>795588.02999999968</v>
      </c>
      <c r="C188" s="44" t="str">
        <f>IFERROR(IF(OR(VLOOKUP(A188,#REF!, 4, FALSE)="", VLOOKUP(A188,#REF!, 4, FALSE)&lt;DATE(2024,1,1)), "RISCHEDULARE O SCADENZA MANCANTE", VLOOKUP(A188,#REF!, 4, FALSE)), "")</f>
        <v/>
      </c>
    </row>
    <row r="189" spans="1:3" ht="15" customHeight="1">
      <c r="C189" s="44" t="str">
        <f>IFERROR(IF(OR(VLOOKUP(A189,#REF!, 4, FALSE)="", VLOOKUP(A189,#REF!, 4, FALSE)&lt;DATE(2024,1,1)), "RISCHEDULARE O SCADENZA MANCANTE", VLOOKUP(A189,#REF!, 4, FALSE)), "")</f>
        <v/>
      </c>
    </row>
    <row r="190" spans="1:3" ht="15" customHeight="1">
      <c r="C190" s="44" t="str">
        <f>IFERROR(IF(OR(VLOOKUP(A190,#REF!, 4, FALSE)="", VLOOKUP(A190,#REF!, 4, FALSE)&lt;DATE(2024,1,1)), "RISCHEDULARE O SCADENZA MANCANTE", VLOOKUP(A190,#REF!, 4, FALSE)), "")</f>
        <v/>
      </c>
    </row>
    <row r="191" spans="1:3" ht="15" customHeight="1">
      <c r="C191" s="44" t="str">
        <f>IFERROR(IF(OR(VLOOKUP(A191,#REF!, 4, FALSE)="", VLOOKUP(A191,#REF!, 4, FALSE)&lt;DATE(2024,1,1)), "RISCHEDULARE O SCADENZA MANCANTE", VLOOKUP(A191,#REF!, 4, FALSE)), "")</f>
        <v/>
      </c>
    </row>
    <row r="192" spans="1:3" ht="15" customHeight="1">
      <c r="C192" s="44" t="str">
        <f>IFERROR(IF(OR(VLOOKUP(A192,#REF!, 4, FALSE)="", VLOOKUP(A192,#REF!, 4, FALSE)&lt;DATE(2024,1,1)), "RISCHEDULARE O SCADENZA MANCANTE", VLOOKUP(A192,#REF!, 4, FALSE)), "")</f>
        <v/>
      </c>
    </row>
    <row r="193" spans="3:3" ht="15" customHeight="1">
      <c r="C193" s="44" t="str">
        <f>IFERROR(IF(OR(VLOOKUP(A193,#REF!, 4, FALSE)="", VLOOKUP(A193,#REF!, 4, FALSE)&lt;DATE(2024,1,1)), "RISCHEDULARE O SCADENZA MANCANTE", VLOOKUP(A193,#REF!, 4, FALSE)), "")</f>
        <v/>
      </c>
    </row>
    <row r="194" spans="3:3" ht="15" customHeight="1">
      <c r="C194" s="44" t="str">
        <f>IFERROR(IF(OR(VLOOKUP(A194,#REF!, 4, FALSE)="", VLOOKUP(A194,#REF!, 4, FALSE)&lt;DATE(2024,1,1)), "RISCHEDULARE O SCADENZA MANCANTE", VLOOKUP(A194,#REF!, 4, FALSE)), "")</f>
        <v/>
      </c>
    </row>
    <row r="195" spans="3:3" ht="15" customHeight="1">
      <c r="C195" s="44" t="str">
        <f>IFERROR(IF(OR(VLOOKUP(A195,#REF!, 4, FALSE)="", VLOOKUP(A195,#REF!, 4, FALSE)&lt;DATE(2024,1,1)), "RISCHEDULARE O SCADENZA MANCANTE", VLOOKUP(A195,#REF!, 4, FALSE)), "")</f>
        <v/>
      </c>
    </row>
    <row r="196" spans="3:3" ht="15" customHeight="1">
      <c r="C196" s="44" t="str">
        <f>IFERROR(IF(OR(VLOOKUP(A196,#REF!, 4, FALSE)="", VLOOKUP(A196,#REF!, 4, FALSE)&lt;DATE(2024,1,1)), "RISCHEDULARE O SCADENZA MANCANTE", VLOOKUP(A196,#REF!, 4, FALSE)), "")</f>
        <v/>
      </c>
    </row>
    <row r="197" spans="3:3" ht="15" customHeight="1">
      <c r="C197" s="44" t="str">
        <f>IFERROR(IF(OR(VLOOKUP(A197,#REF!, 4, FALSE)="", VLOOKUP(A197,#REF!, 4, FALSE)&lt;DATE(2024,1,1)), "RISCHEDULARE O SCADENZA MANCANTE", VLOOKUP(A197,#REF!, 4, FALSE)), "")</f>
        <v/>
      </c>
    </row>
    <row r="198" spans="3:3" ht="15" customHeight="1">
      <c r="C198" s="44" t="str">
        <f>IFERROR(IF(OR(VLOOKUP(A198,#REF!, 4, FALSE)="", VLOOKUP(A198,#REF!, 4, FALSE)&lt;DATE(2024,1,1)), "RISCHEDULARE O SCADENZA MANCANTE", VLOOKUP(A198,#REF!, 4, FALSE)), "")</f>
        <v/>
      </c>
    </row>
    <row r="199" spans="3:3" ht="15" customHeight="1">
      <c r="C199" s="44" t="str">
        <f>IFERROR(IF(OR(VLOOKUP(A199,#REF!, 4, FALSE)="", VLOOKUP(A199,#REF!, 4, FALSE)&lt;DATE(2024,1,1)), "RISCHEDULARE O SCADENZA MANCANTE", VLOOKUP(A199,#REF!, 4, FALSE)), "")</f>
        <v/>
      </c>
    </row>
    <row r="200" spans="3:3" ht="15" customHeight="1">
      <c r="C200" s="44" t="str">
        <f>IFERROR(IF(OR(VLOOKUP(A200,#REF!, 4, FALSE)="", VLOOKUP(A200,#REF!, 4, FALSE)&lt;DATE(2024,1,1)), "RISCHEDULARE O SCADENZA MANCANTE", VLOOKUP(A200,#REF!, 4, FALSE)), "")</f>
        <v/>
      </c>
    </row>
    <row r="201" spans="3:3" ht="15" customHeight="1">
      <c r="C201" s="44" t="str">
        <f>IFERROR(IF(OR(VLOOKUP(A201,#REF!, 4, FALSE)="", VLOOKUP(A201,#REF!, 4, FALSE)&lt;DATE(2024,1,1)), "RISCHEDULARE O SCADENZA MANCANTE", VLOOKUP(A201,#REF!, 4, FALSE)), "")</f>
        <v/>
      </c>
    </row>
    <row r="202" spans="3:3" ht="15" customHeight="1">
      <c r="C202" s="44" t="str">
        <f>IFERROR(IF(OR(VLOOKUP(A202,#REF!, 4, FALSE)="", VLOOKUP(A202,#REF!, 4, FALSE)&lt;DATE(2024,1,1)), "RISCHEDULARE O SCADENZA MANCANTE", VLOOKUP(A202,#REF!, 4, FALSE)), "")</f>
        <v/>
      </c>
    </row>
    <row r="203" spans="3:3" ht="15" customHeight="1">
      <c r="C203" s="44" t="str">
        <f>IFERROR(IF(OR(VLOOKUP(A203,#REF!, 4, FALSE)="", VLOOKUP(A203,#REF!, 4, FALSE)&lt;DATE(2024,1,1)), "RISCHEDULARE O SCADENZA MANCANTE", VLOOKUP(A203,#REF!, 4, FALSE)), "")</f>
        <v/>
      </c>
    </row>
    <row r="204" spans="3:3" ht="15" customHeight="1">
      <c r="C204" s="44" t="str">
        <f>IFERROR(IF(OR(VLOOKUP(A204,#REF!, 4, FALSE)="", VLOOKUP(A204,#REF!, 4, FALSE)&lt;DATE(2024,1,1)), "RISCHEDULARE O SCADENZA MANCANTE", VLOOKUP(A204,#REF!, 4, FALSE)), "")</f>
        <v/>
      </c>
    </row>
    <row r="205" spans="3:3" ht="15" customHeight="1">
      <c r="C205" s="44" t="str">
        <f>IFERROR(IF(OR(VLOOKUP(A205,#REF!, 4, FALSE)="", VLOOKUP(A205,#REF!, 4, FALSE)&lt;DATE(2024,1,1)), "RISCHEDULARE O SCADENZA MANCANTE", VLOOKUP(A205,#REF!, 4, FALSE)), "")</f>
        <v/>
      </c>
    </row>
    <row r="206" spans="3:3" ht="15" customHeight="1">
      <c r="C206" s="44" t="str">
        <f>IFERROR(IF(OR(VLOOKUP(A206,#REF!, 4, FALSE)="", VLOOKUP(A206,#REF!, 4, FALSE)&lt;DATE(2024,1,1)), "RISCHEDULARE O SCADENZA MANCANTE", VLOOKUP(A206,#REF!, 4, FALSE)), "")</f>
        <v/>
      </c>
    </row>
    <row r="207" spans="3:3" ht="15" customHeight="1">
      <c r="C207" s="44" t="str">
        <f>IFERROR(IF(OR(VLOOKUP(A207,#REF!, 4, FALSE)="", VLOOKUP(A207,#REF!, 4, FALSE)&lt;DATE(2024,1,1)), "RISCHEDULARE O SCADENZA MANCANTE", VLOOKUP(A207,#REF!, 4, FALSE)), "")</f>
        <v/>
      </c>
    </row>
    <row r="208" spans="3:3" ht="15" customHeight="1">
      <c r="C208" s="44" t="str">
        <f>IFERROR(IF(OR(VLOOKUP(A208,#REF!, 4, FALSE)="", VLOOKUP(A208,#REF!, 4, FALSE)&lt;DATE(2024,1,1)), "RISCHEDULARE O SCADENZA MANCANTE", VLOOKUP(A208,#REF!, 4, FALSE)), "")</f>
        <v/>
      </c>
    </row>
    <row r="209" spans="3:3" ht="15" customHeight="1">
      <c r="C209" s="44" t="str">
        <f>IFERROR(IF(OR(VLOOKUP(A209,#REF!, 4, FALSE)="", VLOOKUP(A209,#REF!, 4, FALSE)&lt;DATE(2024,1,1)), "RISCHEDULARE O SCADENZA MANCANTE", VLOOKUP(A209,#REF!, 4, FALSE)), "")</f>
        <v/>
      </c>
    </row>
    <row r="210" spans="3:3" ht="15" customHeight="1">
      <c r="C210" s="44" t="str">
        <f>IFERROR(IF(OR(VLOOKUP(A210,#REF!, 4, FALSE)="", VLOOKUP(A210,#REF!, 4, FALSE)&lt;DATE(2024,1,1)), "RISCHEDULARE O SCADENZA MANCANTE", VLOOKUP(A210,#REF!, 4, FALSE)), "")</f>
        <v/>
      </c>
    </row>
    <row r="211" spans="3:3" ht="15" customHeight="1">
      <c r="C211" s="44" t="str">
        <f>IFERROR(IF(OR(VLOOKUP(A211,#REF!, 4, FALSE)="", VLOOKUP(A211,#REF!, 4, FALSE)&lt;DATE(2024,1,1)), "RISCHEDULARE O SCADENZA MANCANTE", VLOOKUP(A211,#REF!, 4, FALSE)), "")</f>
        <v/>
      </c>
    </row>
    <row r="212" spans="3:3" ht="15" customHeight="1">
      <c r="C212" s="44" t="str">
        <f>IFERROR(IF(OR(VLOOKUP(A212,#REF!, 4, FALSE)="", VLOOKUP(A212,#REF!, 4, FALSE)&lt;DATE(2024,1,1)), "RISCHEDULARE O SCADENZA MANCANTE", VLOOKUP(A212,#REF!, 4, FALSE)), "")</f>
        <v/>
      </c>
    </row>
    <row r="213" spans="3:3" ht="15" customHeight="1">
      <c r="C213" s="44" t="str">
        <f>IFERROR(IF(OR(VLOOKUP(A213,#REF!, 4, FALSE)="", VLOOKUP(A213,#REF!, 4, FALSE)&lt;DATE(2024,1,1)), "RISCHEDULARE O SCADENZA MANCANTE", VLOOKUP(A213,#REF!, 4, FALSE)), "")</f>
        <v/>
      </c>
    </row>
    <row r="214" spans="3:3" ht="15" customHeight="1">
      <c r="C214" s="44" t="str">
        <f>IFERROR(IF(OR(VLOOKUP(A214,#REF!, 4, FALSE)="", VLOOKUP(A214,#REF!, 4, FALSE)&lt;DATE(2024,1,1)), "RISCHEDULARE O SCADENZA MANCANTE", VLOOKUP(A214,#REF!, 4, FALSE)), "")</f>
        <v/>
      </c>
    </row>
    <row r="215" spans="3:3" ht="15" customHeight="1">
      <c r="C215" s="44" t="str">
        <f>IFERROR(IF(OR(VLOOKUP(A215,#REF!, 4, FALSE)="", VLOOKUP(A215,#REF!, 4, FALSE)&lt;DATE(2024,1,1)), "RISCHEDULARE O SCADENZA MANCANTE", VLOOKUP(A215,#REF!, 4, FALSE)), "")</f>
        <v/>
      </c>
    </row>
    <row r="216" spans="3:3" ht="15" customHeight="1">
      <c r="C216" s="44" t="str">
        <f>IFERROR(IF(OR(VLOOKUP(A216,#REF!, 4, FALSE)="", VLOOKUP(A216,#REF!, 4, FALSE)&lt;DATE(2024,1,1)), "RISCHEDULARE O SCADENZA MANCANTE", VLOOKUP(A216,#REF!, 4, FALSE)), "")</f>
        <v/>
      </c>
    </row>
    <row r="217" spans="3:3" ht="15" customHeight="1">
      <c r="C217" s="44" t="str">
        <f>IFERROR(IF(OR(VLOOKUP(A217,#REF!, 4, FALSE)="", VLOOKUP(A217,#REF!, 4, FALSE)&lt;DATE(2024,1,1)), "RISCHEDULARE O SCADENZA MANCANTE", VLOOKUP(A217,#REF!, 4, FALSE)), "")</f>
        <v/>
      </c>
    </row>
    <row r="218" spans="3:3" ht="15" customHeight="1">
      <c r="C218" s="44" t="str">
        <f>IFERROR(IF(OR(VLOOKUP(A218,#REF!, 4, FALSE)="", VLOOKUP(A218,#REF!, 4, FALSE)&lt;DATE(2024,1,1)), "RISCHEDULARE O SCADENZA MANCANTE", VLOOKUP(A218,#REF!, 4, FALSE)), "")</f>
        <v/>
      </c>
    </row>
    <row r="219" spans="3:3" ht="15" customHeight="1">
      <c r="C219" s="44" t="str">
        <f>IFERROR(IF(OR(VLOOKUP(A219,#REF!, 4, FALSE)="", VLOOKUP(A219,#REF!, 4, FALSE)&lt;DATE(2024,1,1)), "RISCHEDULARE O SCADENZA MANCANTE", VLOOKUP(A219,#REF!, 4, FALSE)), "")</f>
        <v/>
      </c>
    </row>
    <row r="220" spans="3:3" ht="15" customHeight="1"/>
    <row r="221" spans="3:3" ht="15" customHeight="1"/>
    <row r="222" spans="3:3" ht="15" customHeight="1"/>
    <row r="223" spans="3:3" ht="15" customHeight="1"/>
    <row r="224" spans="3:3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spans="2:2" ht="15" customHeight="1"/>
    <row r="450" spans="2:2" ht="15" customHeight="1"/>
    <row r="451" spans="2:2" ht="15" customHeight="1"/>
    <row r="452" spans="2:2" ht="15" customHeight="1"/>
    <row r="453" spans="2:2" ht="15" customHeight="1"/>
    <row r="454" spans="2:2" ht="15" customHeight="1"/>
    <row r="455" spans="2:2" ht="15" customHeight="1"/>
    <row r="456" spans="2:2" ht="15" customHeight="1"/>
    <row r="457" spans="2:2" ht="15" customHeight="1"/>
    <row r="458" spans="2:2" ht="15" customHeight="1"/>
    <row r="459" spans="2:2" ht="15" customHeight="1"/>
    <row r="460" spans="2:2" ht="15" customHeight="1">
      <c r="B460" s="11"/>
    </row>
    <row r="461" spans="2:2" ht="15" customHeight="1">
      <c r="B461" s="11"/>
    </row>
    <row r="462" spans="2:2" ht="15" customHeight="1">
      <c r="B462" s="11"/>
    </row>
    <row r="463" spans="2:2" ht="15" customHeight="1">
      <c r="B463" s="11"/>
    </row>
    <row r="464" spans="2:2" ht="15" customHeight="1">
      <c r="B464" s="11"/>
    </row>
    <row r="465" spans="2:2" ht="15" customHeight="1">
      <c r="B465" s="11"/>
    </row>
    <row r="466" spans="2:2" ht="15" customHeight="1">
      <c r="B466" s="11"/>
    </row>
    <row r="467" spans="2:2" ht="15" customHeight="1">
      <c r="B467" s="11"/>
    </row>
    <row r="468" spans="2:2" ht="15" customHeight="1">
      <c r="B468" s="11"/>
    </row>
    <row r="469" spans="2:2" ht="15" customHeight="1">
      <c r="B469" s="11"/>
    </row>
    <row r="470" spans="2:2" ht="15" customHeight="1">
      <c r="B470" s="11"/>
    </row>
    <row r="471" spans="2:2" ht="15" customHeight="1">
      <c r="B471" s="11"/>
    </row>
    <row r="472" spans="2:2" ht="15" customHeight="1">
      <c r="B472" s="11"/>
    </row>
    <row r="473" spans="2:2" ht="15" customHeight="1">
      <c r="B473" s="11"/>
    </row>
    <row r="474" spans="2:2" ht="15" customHeight="1">
      <c r="B474" s="11"/>
    </row>
    <row r="475" spans="2:2" ht="15" customHeight="1">
      <c r="B475" s="11"/>
    </row>
    <row r="476" spans="2:2" ht="15" customHeight="1">
      <c r="B476" s="11"/>
    </row>
    <row r="477" spans="2:2" ht="15" customHeight="1">
      <c r="B477" s="11"/>
    </row>
    <row r="478" spans="2:2" ht="15" customHeight="1">
      <c r="B478" s="11"/>
    </row>
    <row r="479" spans="2:2" ht="15" customHeight="1">
      <c r="B479" s="11"/>
    </row>
    <row r="480" spans="2:2" ht="15" customHeight="1">
      <c r="B480" s="11"/>
    </row>
    <row r="481" spans="2:2" ht="15" customHeight="1">
      <c r="B481" s="11"/>
    </row>
    <row r="482" spans="2:2" ht="15" customHeight="1">
      <c r="B482" s="11"/>
    </row>
    <row r="483" spans="2:2" ht="15" customHeight="1">
      <c r="B483" s="11"/>
    </row>
    <row r="484" spans="2:2" ht="15" customHeight="1">
      <c r="B484" s="11"/>
    </row>
    <row r="485" spans="2:2" ht="15" customHeight="1">
      <c r="B485" s="11"/>
    </row>
    <row r="486" spans="2:2" ht="15" customHeight="1">
      <c r="B486" s="11"/>
    </row>
    <row r="487" spans="2:2" ht="15" customHeight="1">
      <c r="B487" s="11"/>
    </row>
    <row r="488" spans="2:2" ht="15" customHeight="1">
      <c r="B488" s="11"/>
    </row>
    <row r="489" spans="2:2" ht="15" customHeight="1">
      <c r="B489" s="11"/>
    </row>
    <row r="490" spans="2:2" ht="15" customHeight="1">
      <c r="B490" s="11"/>
    </row>
    <row r="491" spans="2:2" ht="15" customHeight="1">
      <c r="B491" s="11"/>
    </row>
    <row r="492" spans="2:2" ht="15" customHeight="1">
      <c r="B492" s="11"/>
    </row>
    <row r="493" spans="2:2" ht="15" customHeight="1">
      <c r="B493" s="11"/>
    </row>
    <row r="494" spans="2:2" ht="15" customHeight="1">
      <c r="B494" s="11"/>
    </row>
    <row r="495" spans="2:2" ht="15" customHeight="1">
      <c r="B495" s="11"/>
    </row>
    <row r="496" spans="2:2" ht="15" customHeight="1">
      <c r="B496" s="11"/>
    </row>
    <row r="497" spans="2:2" ht="15" customHeight="1">
      <c r="B497" s="11"/>
    </row>
    <row r="498" spans="2:2" ht="15" customHeight="1">
      <c r="B498" s="11"/>
    </row>
    <row r="499" spans="2:2" ht="15" customHeight="1">
      <c r="B499" s="11"/>
    </row>
    <row r="500" spans="2:2" ht="15" customHeight="1">
      <c r="B500" s="11"/>
    </row>
    <row r="501" spans="2:2" ht="15" customHeight="1">
      <c r="B501" s="11"/>
    </row>
    <row r="502" spans="2:2" ht="15" customHeight="1">
      <c r="B502" s="11"/>
    </row>
    <row r="503" spans="2:2" ht="15" customHeight="1">
      <c r="B503" s="11"/>
    </row>
    <row r="504" spans="2:2" ht="15" customHeight="1">
      <c r="B504" s="11"/>
    </row>
    <row r="505" spans="2:2" ht="15" customHeight="1">
      <c r="B505" s="11"/>
    </row>
    <row r="506" spans="2:2" ht="15" customHeight="1">
      <c r="B506" s="11"/>
    </row>
    <row r="507" spans="2:2" ht="15" customHeight="1">
      <c r="B507" s="11"/>
    </row>
    <row r="508" spans="2:2" ht="15" customHeight="1">
      <c r="B508" s="11"/>
    </row>
    <row r="509" spans="2:2" ht="15" customHeight="1">
      <c r="B509" s="11"/>
    </row>
    <row r="510" spans="2:2" ht="15" customHeight="1">
      <c r="B510" s="11"/>
    </row>
    <row r="511" spans="2:2" ht="15" customHeight="1">
      <c r="B511" s="11"/>
    </row>
    <row r="512" spans="2:2" ht="15" customHeight="1">
      <c r="B512" s="11"/>
    </row>
    <row r="513" spans="2:2" ht="15" customHeight="1">
      <c r="B513" s="11"/>
    </row>
    <row r="514" spans="2:2" ht="15" customHeight="1">
      <c r="B514" s="11"/>
    </row>
    <row r="515" spans="2:2" ht="15" customHeight="1">
      <c r="B515" s="11"/>
    </row>
    <row r="516" spans="2:2" ht="15" customHeight="1">
      <c r="B516" s="11"/>
    </row>
    <row r="517" spans="2:2" ht="15" customHeight="1">
      <c r="B517" s="11"/>
    </row>
    <row r="518" spans="2:2" ht="15" customHeight="1">
      <c r="B518" s="11"/>
    </row>
    <row r="519" spans="2:2" ht="15" customHeight="1">
      <c r="B519" s="11"/>
    </row>
    <row r="520" spans="2:2" ht="15" customHeight="1">
      <c r="B520" s="11"/>
    </row>
    <row r="521" spans="2:2" ht="15" customHeight="1">
      <c r="B521" s="11"/>
    </row>
    <row r="522" spans="2:2" ht="15" customHeight="1">
      <c r="B522" s="11"/>
    </row>
    <row r="523" spans="2:2" ht="15" customHeight="1">
      <c r="B523" s="11"/>
    </row>
    <row r="524" spans="2:2" ht="15" customHeight="1">
      <c r="B524" s="11"/>
    </row>
    <row r="525" spans="2:2" ht="15" customHeight="1">
      <c r="B525" s="11"/>
    </row>
    <row r="526" spans="2:2" ht="15" customHeight="1">
      <c r="B526" s="11"/>
    </row>
    <row r="527" spans="2:2" ht="15" customHeight="1">
      <c r="B527" s="11"/>
    </row>
    <row r="528" spans="2:2" ht="15" customHeight="1">
      <c r="B528" s="11"/>
    </row>
    <row r="529" spans="2:2" ht="15" customHeight="1">
      <c r="B529" s="11"/>
    </row>
    <row r="530" spans="2:2" ht="15" customHeight="1">
      <c r="B530" s="11"/>
    </row>
    <row r="531" spans="2:2" ht="15" customHeight="1">
      <c r="B531" s="11"/>
    </row>
    <row r="532" spans="2:2" ht="15" customHeight="1">
      <c r="B532" s="11"/>
    </row>
    <row r="533" spans="2:2" ht="15" customHeight="1">
      <c r="B533" s="11"/>
    </row>
    <row r="534" spans="2:2" ht="15" customHeight="1">
      <c r="B534" s="11"/>
    </row>
    <row r="535" spans="2:2" ht="15" customHeight="1">
      <c r="B535" s="11"/>
    </row>
    <row r="536" spans="2:2" ht="15" customHeight="1">
      <c r="B536" s="11"/>
    </row>
    <row r="537" spans="2:2" ht="15" customHeight="1">
      <c r="B537" s="11"/>
    </row>
    <row r="538" spans="2:2" ht="15" customHeight="1">
      <c r="B538" s="11"/>
    </row>
    <row r="539" spans="2:2" ht="15" customHeight="1">
      <c r="B539" s="11"/>
    </row>
    <row r="540" spans="2:2" ht="15" customHeight="1">
      <c r="B540" s="11"/>
    </row>
    <row r="541" spans="2:2" ht="15" customHeight="1">
      <c r="B541" s="11"/>
    </row>
    <row r="542" spans="2:2" ht="15" customHeight="1">
      <c r="B542" s="11"/>
    </row>
    <row r="543" spans="2:2" ht="15" customHeight="1">
      <c r="B543" s="11"/>
    </row>
    <row r="544" spans="2:2" ht="15" customHeight="1">
      <c r="B544" s="11"/>
    </row>
    <row r="545" spans="2:2" ht="15" customHeight="1">
      <c r="B545" s="11"/>
    </row>
    <row r="546" spans="2:2" ht="15" customHeight="1">
      <c r="B546" s="11"/>
    </row>
    <row r="547" spans="2:2" ht="15" customHeight="1">
      <c r="B547" s="11"/>
    </row>
    <row r="548" spans="2:2" ht="15" customHeight="1">
      <c r="B548" s="11"/>
    </row>
    <row r="549" spans="2:2" ht="15" customHeight="1">
      <c r="B549" s="11"/>
    </row>
    <row r="550" spans="2:2" ht="15" customHeight="1">
      <c r="B550" s="11"/>
    </row>
    <row r="551" spans="2:2" ht="15" customHeight="1">
      <c r="B551" s="11"/>
    </row>
    <row r="552" spans="2:2" ht="15" customHeight="1">
      <c r="B552" s="11"/>
    </row>
    <row r="553" spans="2:2" ht="15" customHeight="1">
      <c r="B553" s="11"/>
    </row>
    <row r="554" spans="2:2" ht="15" customHeight="1">
      <c r="B554" s="11"/>
    </row>
    <row r="555" spans="2:2" ht="15" customHeight="1">
      <c r="B555" s="11"/>
    </row>
    <row r="556" spans="2:2" ht="15" customHeight="1">
      <c r="B556" s="11"/>
    </row>
    <row r="557" spans="2:2" ht="15" customHeight="1">
      <c r="B557" s="11"/>
    </row>
    <row r="558" spans="2:2" ht="15" customHeight="1">
      <c r="B558" s="11"/>
    </row>
    <row r="559" spans="2:2" ht="15" customHeight="1">
      <c r="B559" s="11"/>
    </row>
    <row r="560" spans="2:2" ht="15" customHeight="1">
      <c r="B560" s="11"/>
    </row>
    <row r="561" spans="2:2" ht="15" customHeight="1">
      <c r="B561" s="11"/>
    </row>
    <row r="562" spans="2:2" ht="15" customHeight="1">
      <c r="B562" s="11"/>
    </row>
    <row r="563" spans="2:2" ht="15" customHeight="1">
      <c r="B563" s="11"/>
    </row>
    <row r="564" spans="2:2" ht="15" customHeight="1">
      <c r="B564" s="11"/>
    </row>
    <row r="565" spans="2:2" ht="15" customHeight="1">
      <c r="B565" s="11"/>
    </row>
    <row r="566" spans="2:2" ht="15" customHeight="1">
      <c r="B566" s="11"/>
    </row>
    <row r="567" spans="2:2" ht="15" customHeight="1">
      <c r="B567" s="11"/>
    </row>
    <row r="568" spans="2:2" ht="15" customHeight="1">
      <c r="B568" s="11"/>
    </row>
    <row r="569" spans="2:2" ht="15" customHeight="1">
      <c r="B569" s="11"/>
    </row>
    <row r="570" spans="2:2" ht="15" customHeight="1">
      <c r="B570" s="11"/>
    </row>
    <row r="571" spans="2:2" ht="15" customHeight="1">
      <c r="B571" s="11"/>
    </row>
    <row r="572" spans="2:2" ht="15" customHeight="1">
      <c r="B572" s="11"/>
    </row>
    <row r="573" spans="2:2" ht="15" customHeight="1">
      <c r="B573" s="11"/>
    </row>
    <row r="574" spans="2:2" ht="15" customHeight="1">
      <c r="B574" s="11"/>
    </row>
    <row r="575" spans="2:2" ht="15" customHeight="1">
      <c r="B575" s="11"/>
    </row>
    <row r="576" spans="2:2" ht="15" customHeight="1">
      <c r="B576" s="11"/>
    </row>
    <row r="577" spans="2:2" ht="15" customHeight="1">
      <c r="B577" s="11"/>
    </row>
    <row r="578" spans="2:2" ht="15" customHeight="1">
      <c r="B578" s="11"/>
    </row>
    <row r="579" spans="2:2" ht="15" customHeight="1">
      <c r="B579" s="11"/>
    </row>
    <row r="580" spans="2:2" ht="15" customHeight="1">
      <c r="B580" s="11"/>
    </row>
    <row r="581" spans="2:2" ht="15" customHeight="1">
      <c r="B581" s="11"/>
    </row>
    <row r="582" spans="2:2" ht="15" customHeight="1">
      <c r="B582" s="11"/>
    </row>
    <row r="583" spans="2:2" ht="15" customHeight="1">
      <c r="B583" s="11"/>
    </row>
    <row r="584" spans="2:2" ht="15" customHeight="1">
      <c r="B584" s="11"/>
    </row>
    <row r="585" spans="2:2" ht="15" customHeight="1">
      <c r="B585" s="11"/>
    </row>
    <row r="586" spans="2:2" ht="15" customHeight="1">
      <c r="B586" s="11"/>
    </row>
    <row r="587" spans="2:2" ht="15" customHeight="1">
      <c r="B587" s="11"/>
    </row>
    <row r="588" spans="2:2" ht="15" customHeight="1">
      <c r="B588" s="11"/>
    </row>
    <row r="589" spans="2:2" ht="15" customHeight="1">
      <c r="B589" s="11"/>
    </row>
  </sheetData>
  <autoFilter ref="C3:C226" xr:uid="{00000000-0009-0000-0000-000005000000}"/>
  <conditionalFormatting sqref="C1:C1048576">
    <cfRule type="containsText" dxfId="112" priority="1" operator="containsText" text="RISCHEDULARE O SCADENZA MANCANTE">
      <formula>NOT(ISERROR(SEARCH("RISCHEDULARE O SCADENZA MANCANTE",C1)))</formula>
    </cfRule>
  </conditionalFormatting>
  <pageMargins left="0.7" right="0.7" top="0.75" bottom="0.75" header="0.3" footer="0.3"/>
  <pageSetup paperSize="8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2">
    <pageSetUpPr fitToPage="1"/>
  </sheetPr>
  <dimension ref="A1:L921"/>
  <sheetViews>
    <sheetView topLeftCell="A36" zoomScale="85" zoomScaleNormal="85" workbookViewId="0">
      <selection activeCell="G20" sqref="G20"/>
    </sheetView>
  </sheetViews>
  <sheetFormatPr defaultRowHeight="18.75"/>
  <cols>
    <col min="1" max="1" width="58.85546875" style="39" bestFit="1" customWidth="1"/>
    <col min="2" max="2" width="19" style="40" bestFit="1" customWidth="1"/>
    <col min="3" max="3" width="25.85546875" style="11" customWidth="1"/>
    <col min="4" max="4" width="46.7109375" style="11" bestFit="1" customWidth="1"/>
    <col min="5" max="5" width="24.85546875" style="11" bestFit="1" customWidth="1"/>
    <col min="6" max="6" width="9" bestFit="1" customWidth="1"/>
    <col min="7" max="7" width="34.5703125" bestFit="1" customWidth="1"/>
    <col min="8" max="8" width="15.42578125" bestFit="1" customWidth="1"/>
    <col min="9" max="9" width="14" bestFit="1" customWidth="1"/>
    <col min="10" max="12" width="12" bestFit="1" customWidth="1"/>
    <col min="13" max="13" width="19" bestFit="1" customWidth="1"/>
  </cols>
  <sheetData>
    <row r="1" spans="1:12" ht="15" customHeight="1">
      <c r="A1" s="41" t="s">
        <v>6</v>
      </c>
      <c r="B1" t="s">
        <v>2409</v>
      </c>
      <c r="F1" s="153" t="s">
        <v>2415</v>
      </c>
    </row>
    <row r="2" spans="1:12" ht="15" customHeight="1">
      <c r="A2" s="41" t="s">
        <v>5</v>
      </c>
      <c r="B2" t="s">
        <v>2408</v>
      </c>
      <c r="F2" s="154" t="s">
        <v>2416</v>
      </c>
    </row>
    <row r="3" spans="1:12" ht="15" customHeight="1">
      <c r="A3" s="41" t="s">
        <v>9</v>
      </c>
      <c r="B3" t="s">
        <v>2409</v>
      </c>
      <c r="F3" s="155" t="s">
        <v>2417</v>
      </c>
    </row>
    <row r="4" spans="1:12" ht="15" customHeight="1"/>
    <row r="5" spans="1:12" ht="15" customHeight="1">
      <c r="A5" s="41" t="s">
        <v>2410</v>
      </c>
      <c r="B5" s="11" t="s">
        <v>2411</v>
      </c>
      <c r="C5" s="156" t="s">
        <v>2418</v>
      </c>
      <c r="D5" s="156" t="s">
        <v>2419</v>
      </c>
      <c r="E5" s="156" t="s">
        <v>2420</v>
      </c>
      <c r="F5" s="157" t="s">
        <v>2421</v>
      </c>
      <c r="H5" s="42" t="s">
        <v>2422</v>
      </c>
      <c r="I5" s="11">
        <v>3420</v>
      </c>
      <c r="J5" s="11"/>
      <c r="K5" s="11"/>
      <c r="L5" t="str">
        <f>IF(K5&gt;0, "⚠️ DA SCHEDULARE", IF(K5&lt;-1, "ℹ️ ECCEDENZA/ACCONTI", "✅ OK"))</f>
        <v>✅ OK</v>
      </c>
    </row>
    <row r="6" spans="1:12" ht="15" customHeight="1">
      <c r="A6" s="42" t="s">
        <v>2048</v>
      </c>
      <c r="B6" s="11">
        <v>1390.8</v>
      </c>
      <c r="C6" s="11">
        <f>SUMIFS(Tbl_Cashflow[Importo €], Tbl_Cashflow[Beneficiario], A6, Tbl_Cashflow[E/U], "U") - SUMIFS(Tbl_Cashflow[Importo €], Tbl_Cashflow[Beneficiario], A6, Tbl_Cashflow[E/U], "E")</f>
        <v>1390.8</v>
      </c>
      <c r="D6" s="11">
        <f>SUMIFS(Tbl_Cashflow[Importo €], Tbl_Cashflow[Beneficiario], A6, Tbl_Cashflow[E/U], "U", Tbl_Cashflow[CONFERMATO?], "X")</f>
        <v>0</v>
      </c>
      <c r="E6" s="11">
        <f t="shared" ref="E6:E69" si="0">(B6-C6)+D6</f>
        <v>0</v>
      </c>
      <c r="F6" t="str">
        <f t="shared" ref="F6:F69" si="1">IF(E6&gt;0, $F$3, IF(E6&lt;0, $F$1, $F$2))</f>
        <v xml:space="preserve">✅ </v>
      </c>
      <c r="H6" s="42" t="s">
        <v>2423</v>
      </c>
      <c r="I6" s="11">
        <v>30000</v>
      </c>
      <c r="J6" s="11"/>
      <c r="K6" s="11"/>
      <c r="L6" t="str">
        <f>IF(K6&gt;0, "⚠️ DA SCHEDULARE", IF(K6&lt;-1, "ℹ️ ECCEDENZA/ACCONTI", "✅ OK"))</f>
        <v>✅ OK</v>
      </c>
    </row>
    <row r="7" spans="1:12" ht="15" customHeight="1">
      <c r="A7" s="42" t="s">
        <v>2065</v>
      </c>
      <c r="B7" s="11">
        <v>991</v>
      </c>
      <c r="C7" s="11">
        <f>SUMIFS(Tbl_Cashflow[Importo €], Tbl_Cashflow[Beneficiario], A7, Tbl_Cashflow[E/U], "U") - SUMIFS(Tbl_Cashflow[Importo €], Tbl_Cashflow[Beneficiario], A7, Tbl_Cashflow[E/U], "E")</f>
        <v>0</v>
      </c>
      <c r="D7" s="11">
        <f>SUMIFS(Tbl_Cashflow[Importo €], Tbl_Cashflow[Beneficiario], A7, Tbl_Cashflow[E/U], "U", Tbl_Cashflow[CONFERMATO?], "X")</f>
        <v>0</v>
      </c>
      <c r="E7" s="11">
        <f t="shared" si="0"/>
        <v>991</v>
      </c>
      <c r="F7" t="str">
        <f t="shared" si="1"/>
        <v xml:space="preserve">ℹ️ </v>
      </c>
      <c r="H7" s="42" t="s">
        <v>2424</v>
      </c>
      <c r="I7" s="11">
        <f>15000-2500</f>
        <v>12500</v>
      </c>
      <c r="J7" s="11"/>
      <c r="K7" s="11"/>
      <c r="L7" t="str">
        <f>IF(K7&gt;0, "⚠️ DA SCHEDULARE", IF(K7&lt;-1, "ℹ️ ECCEDENZA/ACCONTI", "✅ OK"))</f>
        <v>✅ OK</v>
      </c>
    </row>
    <row r="8" spans="1:12" ht="15" customHeight="1">
      <c r="A8" s="42" t="s">
        <v>220</v>
      </c>
      <c r="B8" s="11">
        <v>0.61</v>
      </c>
      <c r="C8" s="11">
        <f>SUMIFS(Tbl_Cashflow[Importo €], Tbl_Cashflow[Beneficiario], A8, Tbl_Cashflow[E/U], "U") - SUMIFS(Tbl_Cashflow[Importo €], Tbl_Cashflow[Beneficiario], A8, Tbl_Cashflow[E/U], "E")</f>
        <v>0</v>
      </c>
      <c r="D8" s="11">
        <f>SUMIFS(Tbl_Cashflow[Importo €], Tbl_Cashflow[Beneficiario], A8, Tbl_Cashflow[E/U], "U", Tbl_Cashflow[CONFERMATO?], "X")</f>
        <v>0</v>
      </c>
      <c r="E8" s="11">
        <f t="shared" si="0"/>
        <v>0.61</v>
      </c>
      <c r="F8" t="str">
        <f t="shared" si="1"/>
        <v xml:space="preserve">ℹ️ </v>
      </c>
      <c r="H8" s="42" t="s">
        <v>2425</v>
      </c>
      <c r="I8" s="11">
        <f>8000</f>
        <v>8000</v>
      </c>
      <c r="J8" s="11"/>
      <c r="K8" s="11"/>
      <c r="L8" t="str">
        <f>IF(K8&gt;0, "⚠️ DA SCHEDULARE", IF(K8&lt;-1, "ℹ️ ECCEDENZA/ACCONTI", "✅ OK"))</f>
        <v>✅ OK</v>
      </c>
    </row>
    <row r="9" spans="1:12" ht="15" customHeight="1">
      <c r="A9" s="42" t="s">
        <v>2074</v>
      </c>
      <c r="B9" s="11">
        <v>2613.9</v>
      </c>
      <c r="C9" s="11">
        <f>SUMIFS(Tbl_Cashflow[Importo €], Tbl_Cashflow[Beneficiario], A9, Tbl_Cashflow[E/U], "U") - SUMIFS(Tbl_Cashflow[Importo €], Tbl_Cashflow[Beneficiario], A9, Tbl_Cashflow[E/U], "E")</f>
        <v>6470.29</v>
      </c>
      <c r="D9" s="11">
        <f>SUMIFS(Tbl_Cashflow[Importo €], Tbl_Cashflow[Beneficiario], A9, Tbl_Cashflow[E/U], "U", Tbl_Cashflow[CONFERMATO?], "X")</f>
        <v>4000</v>
      </c>
      <c r="E9" s="11">
        <f t="shared" si="0"/>
        <v>143.61000000000013</v>
      </c>
      <c r="F9" t="str">
        <f t="shared" si="1"/>
        <v xml:space="preserve">ℹ️ </v>
      </c>
    </row>
    <row r="10" spans="1:12" ht="15" customHeight="1">
      <c r="A10" s="42" t="s">
        <v>2079</v>
      </c>
      <c r="B10" s="11">
        <v>44044.950000000004</v>
      </c>
      <c r="C10" s="11">
        <f>SUMIFS(Tbl_Cashflow[Importo €], Tbl_Cashflow[Beneficiario], A10, Tbl_Cashflow[E/U], "U") - SUMIFS(Tbl_Cashflow[Importo €], Tbl_Cashflow[Beneficiario], A10, Tbl_Cashflow[E/U], "E")</f>
        <v>55955.05</v>
      </c>
      <c r="D10" s="11">
        <f>SUMIFS(Tbl_Cashflow[Importo €], Tbl_Cashflow[Beneficiario], A10, Tbl_Cashflow[E/U], "U", Tbl_Cashflow[CONFERMATO?], "X")</f>
        <v>5955.05</v>
      </c>
      <c r="E10" s="11">
        <f t="shared" si="0"/>
        <v>-5955.0499999999984</v>
      </c>
      <c r="F10" t="str">
        <f t="shared" si="1"/>
        <v>⚠️</v>
      </c>
    </row>
    <row r="11" spans="1:12" ht="15" customHeight="1">
      <c r="A11" s="42" t="s">
        <v>2084</v>
      </c>
      <c r="B11" s="11">
        <v>2024.4099999999999</v>
      </c>
      <c r="C11" s="11">
        <f>SUMIFS(Tbl_Cashflow[Importo €], Tbl_Cashflow[Beneficiario], A11, Tbl_Cashflow[E/U], "U") - SUMIFS(Tbl_Cashflow[Importo €], Tbl_Cashflow[Beneficiario], A11, Tbl_Cashflow[E/U], "E")</f>
        <v>2024.41</v>
      </c>
      <c r="D11" s="11">
        <f>SUMIFS(Tbl_Cashflow[Importo €], Tbl_Cashflow[Beneficiario], A11, Tbl_Cashflow[E/U], "U", Tbl_Cashflow[CONFERMATO?], "X")</f>
        <v>0</v>
      </c>
      <c r="E11" s="11">
        <f t="shared" si="0"/>
        <v>-2.2737367544323206E-13</v>
      </c>
      <c r="F11" t="str">
        <f t="shared" si="1"/>
        <v>⚠️</v>
      </c>
    </row>
    <row r="12" spans="1:12" ht="15" customHeight="1">
      <c r="A12" s="42" t="s">
        <v>2090</v>
      </c>
      <c r="B12" s="11">
        <v>-126.88</v>
      </c>
      <c r="C12" s="11">
        <f>SUMIFS(Tbl_Cashflow[Importo €], Tbl_Cashflow[Beneficiario], A12, Tbl_Cashflow[E/U], "U") - SUMIFS(Tbl_Cashflow[Importo €], Tbl_Cashflow[Beneficiario], A12, Tbl_Cashflow[E/U], "E")</f>
        <v>811.3</v>
      </c>
      <c r="D12" s="11">
        <f>SUMIFS(Tbl_Cashflow[Importo €], Tbl_Cashflow[Beneficiario], A12, Tbl_Cashflow[E/U], "U", Tbl_Cashflow[CONFERMATO?], "X")</f>
        <v>811.3</v>
      </c>
      <c r="E12" s="11">
        <f t="shared" si="0"/>
        <v>-126.88</v>
      </c>
      <c r="F12" t="str">
        <f t="shared" si="1"/>
        <v>⚠️</v>
      </c>
    </row>
    <row r="13" spans="1:12" ht="15" customHeight="1">
      <c r="A13" s="42" t="s">
        <v>2111</v>
      </c>
      <c r="B13" s="11">
        <v>3981.6000000000004</v>
      </c>
      <c r="C13" s="11">
        <f>SUMIFS(Tbl_Cashflow[Importo €], Tbl_Cashflow[Beneficiario], A13, Tbl_Cashflow[E/U], "U") - SUMIFS(Tbl_Cashflow[Importo €], Tbl_Cashflow[Beneficiario], A13, Tbl_Cashflow[E/U], "E")</f>
        <v>0</v>
      </c>
      <c r="D13" s="11">
        <f>SUMIFS(Tbl_Cashflow[Importo €], Tbl_Cashflow[Beneficiario], A13, Tbl_Cashflow[E/U], "U", Tbl_Cashflow[CONFERMATO?], "X")</f>
        <v>0</v>
      </c>
      <c r="E13" s="11">
        <f t="shared" si="0"/>
        <v>3981.6000000000004</v>
      </c>
      <c r="F13" t="str">
        <f t="shared" si="1"/>
        <v xml:space="preserve">ℹ️ </v>
      </c>
      <c r="I13" s="11"/>
    </row>
    <row r="14" spans="1:12" ht="15" customHeight="1">
      <c r="A14" s="42" t="s">
        <v>2121</v>
      </c>
      <c r="B14" s="11">
        <v>1098</v>
      </c>
      <c r="C14" s="11">
        <f>SUMIFS(Tbl_Cashflow[Importo €], Tbl_Cashflow[Beneficiario], A14, Tbl_Cashflow[E/U], "U") - SUMIFS(Tbl_Cashflow[Importo €], Tbl_Cashflow[Beneficiario], A14, Tbl_Cashflow[E/U], "E")</f>
        <v>0</v>
      </c>
      <c r="D14" s="11">
        <f>SUMIFS(Tbl_Cashflow[Importo €], Tbl_Cashflow[Beneficiario], A14, Tbl_Cashflow[E/U], "U", Tbl_Cashflow[CONFERMATO?], "X")</f>
        <v>0</v>
      </c>
      <c r="E14" s="11">
        <f t="shared" si="0"/>
        <v>1098</v>
      </c>
      <c r="F14" t="str">
        <f t="shared" si="1"/>
        <v xml:space="preserve">ℹ️ </v>
      </c>
      <c r="I14" s="11"/>
    </row>
    <row r="15" spans="1:12" ht="15" customHeight="1">
      <c r="A15" s="42" t="s">
        <v>2124</v>
      </c>
      <c r="B15" s="11">
        <v>8588.32</v>
      </c>
      <c r="C15" s="11">
        <f>SUMIFS(Tbl_Cashflow[Importo €], Tbl_Cashflow[Beneficiario], A15, Tbl_Cashflow[E/U], "U") - SUMIFS(Tbl_Cashflow[Importo €], Tbl_Cashflow[Beneficiario], A15, Tbl_Cashflow[E/U], "E")</f>
        <v>10175.52</v>
      </c>
      <c r="D15" s="11">
        <f>SUMIFS(Tbl_Cashflow[Importo €], Tbl_Cashflow[Beneficiario], A15, Tbl_Cashflow[E/U], "U", Tbl_Cashflow[CONFERMATO?], "X")</f>
        <v>3206.4</v>
      </c>
      <c r="E15" s="11">
        <f t="shared" si="0"/>
        <v>1619.1999999999994</v>
      </c>
      <c r="F15" t="str">
        <f t="shared" si="1"/>
        <v xml:space="preserve">ℹ️ </v>
      </c>
    </row>
    <row r="16" spans="1:12" ht="15" customHeight="1">
      <c r="A16" s="42" t="s">
        <v>2126</v>
      </c>
      <c r="B16" s="11">
        <v>4100</v>
      </c>
      <c r="C16" s="11">
        <f>SUMIFS(Tbl_Cashflow[Importo €], Tbl_Cashflow[Beneficiario], A16, Tbl_Cashflow[E/U], "U") - SUMIFS(Tbl_Cashflow[Importo €], Tbl_Cashflow[Beneficiario], A16, Tbl_Cashflow[E/U], "E")</f>
        <v>8200</v>
      </c>
      <c r="D16" s="11">
        <f>SUMIFS(Tbl_Cashflow[Importo €], Tbl_Cashflow[Beneficiario], A16, Tbl_Cashflow[E/U], "U", Tbl_Cashflow[CONFERMATO?], "X")</f>
        <v>4100</v>
      </c>
      <c r="E16" s="11">
        <f t="shared" si="0"/>
        <v>0</v>
      </c>
      <c r="F16" t="str">
        <f t="shared" si="1"/>
        <v xml:space="preserve">✅ </v>
      </c>
    </row>
    <row r="17" spans="1:7" ht="15" customHeight="1">
      <c r="A17" s="42" t="s">
        <v>2129</v>
      </c>
      <c r="B17" s="11">
        <v>1600</v>
      </c>
      <c r="C17" s="11">
        <f>SUMIFS(Tbl_Cashflow[Importo €], Tbl_Cashflow[Beneficiario], A17, Tbl_Cashflow[E/U], "U") - SUMIFS(Tbl_Cashflow[Importo €], Tbl_Cashflow[Beneficiario], A17, Tbl_Cashflow[E/U], "E")</f>
        <v>0</v>
      </c>
      <c r="D17" s="11">
        <f>SUMIFS(Tbl_Cashflow[Importo €], Tbl_Cashflow[Beneficiario], A17, Tbl_Cashflow[E/U], "U", Tbl_Cashflow[CONFERMATO?], "X")</f>
        <v>0</v>
      </c>
      <c r="E17" s="11">
        <f t="shared" si="0"/>
        <v>1600</v>
      </c>
      <c r="F17" t="str">
        <f t="shared" si="1"/>
        <v xml:space="preserve">ℹ️ </v>
      </c>
      <c r="G17" t="s">
        <v>4170</v>
      </c>
    </row>
    <row r="18" spans="1:7" ht="15" customHeight="1">
      <c r="A18" s="42" t="s">
        <v>2133</v>
      </c>
      <c r="B18" s="11">
        <v>13109.849999999999</v>
      </c>
      <c r="C18" s="11">
        <f>SUMIFS(Tbl_Cashflow[Importo €], Tbl_Cashflow[Beneficiario], A18, Tbl_Cashflow[E/U], "U") - SUMIFS(Tbl_Cashflow[Importo €], Tbl_Cashflow[Beneficiario], A18, Tbl_Cashflow[E/U], "E")</f>
        <v>16950.539999999997</v>
      </c>
      <c r="D18" s="11">
        <f>SUMIFS(Tbl_Cashflow[Importo €], Tbl_Cashflow[Beneficiario], A18, Tbl_Cashflow[E/U], "U", Tbl_Cashflow[CONFERMATO?], "X")</f>
        <v>4000</v>
      </c>
      <c r="E18" s="11">
        <f t="shared" si="0"/>
        <v>159.31000000000131</v>
      </c>
      <c r="F18" t="str">
        <f t="shared" si="1"/>
        <v xml:space="preserve">ℹ️ </v>
      </c>
    </row>
    <row r="19" spans="1:7" ht="15" customHeight="1">
      <c r="A19" s="42" t="s">
        <v>2142</v>
      </c>
      <c r="B19" s="11">
        <v>573.77</v>
      </c>
      <c r="C19" s="11">
        <f>SUMIFS(Tbl_Cashflow[Importo €], Tbl_Cashflow[Beneficiario], A19, Tbl_Cashflow[E/U], "U") - SUMIFS(Tbl_Cashflow[Importo €], Tbl_Cashflow[Beneficiario], A19, Tbl_Cashflow[E/U], "E")</f>
        <v>2639.48</v>
      </c>
      <c r="D19" s="11">
        <f>SUMIFS(Tbl_Cashflow[Importo €], Tbl_Cashflow[Beneficiario], A19, Tbl_Cashflow[E/U], "U", Tbl_Cashflow[CONFERMATO?], "X")</f>
        <v>2065.71</v>
      </c>
      <c r="E19" s="11">
        <f t="shared" si="0"/>
        <v>0</v>
      </c>
      <c r="F19" t="str">
        <f t="shared" si="1"/>
        <v xml:space="preserve">✅ </v>
      </c>
    </row>
    <row r="20" spans="1:7" ht="15" customHeight="1">
      <c r="A20" s="42" t="s">
        <v>2144</v>
      </c>
      <c r="B20" s="11">
        <v>1140</v>
      </c>
      <c r="C20" s="11">
        <f>SUMIFS(Tbl_Cashflow[Importo €], Tbl_Cashflow[Beneficiario], A20, Tbl_Cashflow[E/U], "U") - SUMIFS(Tbl_Cashflow[Importo €], Tbl_Cashflow[Beneficiario], A20, Tbl_Cashflow[E/U], "E")</f>
        <v>13498.11</v>
      </c>
      <c r="D20" s="11">
        <f>SUMIFS(Tbl_Cashflow[Importo €], Tbl_Cashflow[Beneficiario], A20, Tbl_Cashflow[E/U], "U", Tbl_Cashflow[CONFERMATO?], "X")</f>
        <v>11218.11</v>
      </c>
      <c r="E20" s="11">
        <f t="shared" si="0"/>
        <v>-1140</v>
      </c>
      <c r="F20" t="str">
        <f t="shared" si="1"/>
        <v>⚠️</v>
      </c>
    </row>
    <row r="21" spans="1:7" ht="15" customHeight="1">
      <c r="A21" s="42" t="s">
        <v>2152</v>
      </c>
      <c r="B21" s="11">
        <v>4207.13</v>
      </c>
      <c r="C21" s="11">
        <f>SUMIFS(Tbl_Cashflow[Importo €], Tbl_Cashflow[Beneficiario], A21, Tbl_Cashflow[E/U], "U") - SUMIFS(Tbl_Cashflow[Importo €], Tbl_Cashflow[Beneficiario], A21, Tbl_Cashflow[E/U], "E")</f>
        <v>18996.010000000002</v>
      </c>
      <c r="D21" s="11">
        <f>SUMIFS(Tbl_Cashflow[Importo €], Tbl_Cashflow[Beneficiario], A21, Tbl_Cashflow[E/U], "U", Tbl_Cashflow[CONFERMATO?], "X")</f>
        <v>16126.59</v>
      </c>
      <c r="E21" s="11">
        <f t="shared" si="0"/>
        <v>1337.7099999999991</v>
      </c>
      <c r="F21" t="str">
        <f t="shared" si="1"/>
        <v xml:space="preserve">ℹ️ </v>
      </c>
    </row>
    <row r="22" spans="1:7" ht="15" customHeight="1">
      <c r="A22" s="42" t="s">
        <v>2156</v>
      </c>
      <c r="B22" s="11">
        <v>392.84</v>
      </c>
      <c r="C22" s="11">
        <f>SUMIFS(Tbl_Cashflow[Importo €], Tbl_Cashflow[Beneficiario], A22, Tbl_Cashflow[E/U], "U") - SUMIFS(Tbl_Cashflow[Importo €], Tbl_Cashflow[Beneficiario], A22, Tbl_Cashflow[E/U], "E")</f>
        <v>392.84</v>
      </c>
      <c r="D22" s="11">
        <f>SUMIFS(Tbl_Cashflow[Importo €], Tbl_Cashflow[Beneficiario], A22, Tbl_Cashflow[E/U], "U", Tbl_Cashflow[CONFERMATO?], "X")</f>
        <v>0</v>
      </c>
      <c r="E22" s="11">
        <f t="shared" si="0"/>
        <v>0</v>
      </c>
      <c r="F22" t="str">
        <f t="shared" si="1"/>
        <v xml:space="preserve">✅ </v>
      </c>
    </row>
    <row r="23" spans="1:7" ht="15" customHeight="1">
      <c r="A23" s="42" t="s">
        <v>712</v>
      </c>
      <c r="B23" s="11">
        <v>10000</v>
      </c>
      <c r="C23" s="11">
        <f>SUMIFS(Tbl_Cashflow[Importo €], Tbl_Cashflow[Beneficiario], A23, Tbl_Cashflow[E/U], "U") - SUMIFS(Tbl_Cashflow[Importo €], Tbl_Cashflow[Beneficiario], A23, Tbl_Cashflow[E/U], "E")</f>
        <v>28000</v>
      </c>
      <c r="D23" s="11">
        <f>SUMIFS(Tbl_Cashflow[Importo €], Tbl_Cashflow[Beneficiario], A23, Tbl_Cashflow[E/U], "U", Tbl_Cashflow[CONFERMATO?], "X")</f>
        <v>18000</v>
      </c>
      <c r="E23" s="11">
        <f t="shared" si="0"/>
        <v>0</v>
      </c>
      <c r="F23" t="str">
        <f t="shared" si="1"/>
        <v xml:space="preserve">✅ </v>
      </c>
    </row>
    <row r="24" spans="1:7" ht="15" customHeight="1">
      <c r="A24" s="42" t="s">
        <v>2164</v>
      </c>
      <c r="B24" s="11">
        <v>10055.85</v>
      </c>
      <c r="C24" s="11">
        <f>SUMIFS(Tbl_Cashflow[Importo €], Tbl_Cashflow[Beneficiario], A24, Tbl_Cashflow[E/U], "U") - SUMIFS(Tbl_Cashflow[Importo €], Tbl_Cashflow[Beneficiario], A24, Tbl_Cashflow[E/U], "E")</f>
        <v>10055.86</v>
      </c>
      <c r="D24" s="11">
        <f>SUMIFS(Tbl_Cashflow[Importo €], Tbl_Cashflow[Beneficiario], A24, Tbl_Cashflow[E/U], "U", Tbl_Cashflow[CONFERMATO?], "X")</f>
        <v>0</v>
      </c>
      <c r="E24" s="11">
        <f t="shared" si="0"/>
        <v>-1.0000000000218279E-2</v>
      </c>
      <c r="F24" t="str">
        <f t="shared" si="1"/>
        <v>⚠️</v>
      </c>
    </row>
    <row r="25" spans="1:7" ht="15" customHeight="1">
      <c r="A25" s="42" t="s">
        <v>2172</v>
      </c>
      <c r="B25" s="11">
        <v>139.08000000000001</v>
      </c>
      <c r="C25" s="11">
        <f>SUMIFS(Tbl_Cashflow[Importo €], Tbl_Cashflow[Beneficiario], A25, Tbl_Cashflow[E/U], "U") - SUMIFS(Tbl_Cashflow[Importo €], Tbl_Cashflow[Beneficiario], A25, Tbl_Cashflow[E/U], "E")</f>
        <v>139.08000000000001</v>
      </c>
      <c r="D25" s="11">
        <f>SUMIFS(Tbl_Cashflow[Importo €], Tbl_Cashflow[Beneficiario], A25, Tbl_Cashflow[E/U], "U", Tbl_Cashflow[CONFERMATO?], "X")</f>
        <v>0</v>
      </c>
      <c r="E25" s="11">
        <f t="shared" si="0"/>
        <v>0</v>
      </c>
      <c r="F25" t="str">
        <f t="shared" si="1"/>
        <v xml:space="preserve">✅ </v>
      </c>
    </row>
    <row r="26" spans="1:7" ht="15" customHeight="1">
      <c r="A26" s="42" t="s">
        <v>2177</v>
      </c>
      <c r="B26" s="11">
        <v>3000</v>
      </c>
      <c r="C26" s="11">
        <f>SUMIFS(Tbl_Cashflow[Importo €], Tbl_Cashflow[Beneficiario], A26, Tbl_Cashflow[E/U], "U") - SUMIFS(Tbl_Cashflow[Importo €], Tbl_Cashflow[Beneficiario], A26, Tbl_Cashflow[E/U], "E")</f>
        <v>30000</v>
      </c>
      <c r="D26" s="11">
        <f>SUMIFS(Tbl_Cashflow[Importo €], Tbl_Cashflow[Beneficiario], A26, Tbl_Cashflow[E/U], "U", Tbl_Cashflow[CONFERMATO?], "X")</f>
        <v>30000</v>
      </c>
      <c r="E26" s="11">
        <f t="shared" si="0"/>
        <v>3000</v>
      </c>
      <c r="F26" t="str">
        <f t="shared" si="1"/>
        <v xml:space="preserve">ℹ️ </v>
      </c>
    </row>
    <row r="27" spans="1:7" ht="15" customHeight="1">
      <c r="A27" s="42" t="s">
        <v>2180</v>
      </c>
      <c r="B27" s="11">
        <v>80000</v>
      </c>
      <c r="C27" s="11">
        <f>SUMIFS(Tbl_Cashflow[Importo €], Tbl_Cashflow[Beneficiario], A27, Tbl_Cashflow[E/U], "U") - SUMIFS(Tbl_Cashflow[Importo €], Tbl_Cashflow[Beneficiario], A27, Tbl_Cashflow[E/U], "E")</f>
        <v>100000</v>
      </c>
      <c r="D27" s="11">
        <f>SUMIFS(Tbl_Cashflow[Importo €], Tbl_Cashflow[Beneficiario], A27, Tbl_Cashflow[E/U], "U", Tbl_Cashflow[CONFERMATO?], "X")</f>
        <v>20000</v>
      </c>
      <c r="E27" s="11">
        <f t="shared" si="0"/>
        <v>0</v>
      </c>
      <c r="F27" t="str">
        <f t="shared" si="1"/>
        <v xml:space="preserve">✅ </v>
      </c>
    </row>
    <row r="28" spans="1:7" ht="15" customHeight="1">
      <c r="A28" s="42" t="s">
        <v>2200</v>
      </c>
      <c r="B28" s="11">
        <v>13700</v>
      </c>
      <c r="C28" s="11">
        <f>SUMIFS(Tbl_Cashflow[Importo €], Tbl_Cashflow[Beneficiario], A28, Tbl_Cashflow[E/U], "U") - SUMIFS(Tbl_Cashflow[Importo €], Tbl_Cashflow[Beneficiario], A28, Tbl_Cashflow[E/U], "E")</f>
        <v>22162</v>
      </c>
      <c r="D28" s="11">
        <f>SUMIFS(Tbl_Cashflow[Importo €], Tbl_Cashflow[Beneficiario], A28, Tbl_Cashflow[E/U], "U", Tbl_Cashflow[CONFERMATO?], "X")</f>
        <v>8462</v>
      </c>
      <c r="E28" s="11">
        <f t="shared" si="0"/>
        <v>0</v>
      </c>
      <c r="F28" t="str">
        <f t="shared" si="1"/>
        <v xml:space="preserve">✅ </v>
      </c>
    </row>
    <row r="29" spans="1:7" ht="15" customHeight="1">
      <c r="A29" s="42" t="s">
        <v>2186</v>
      </c>
      <c r="B29" s="11">
        <v>3575</v>
      </c>
      <c r="C29" s="11">
        <f>SUMIFS(Tbl_Cashflow[Importo €], Tbl_Cashflow[Beneficiario], A29, Tbl_Cashflow[E/U], "U") - SUMIFS(Tbl_Cashflow[Importo €], Tbl_Cashflow[Beneficiario], A29, Tbl_Cashflow[E/U], "E")</f>
        <v>3575</v>
      </c>
      <c r="D29" s="11">
        <f>SUMIFS(Tbl_Cashflow[Importo €], Tbl_Cashflow[Beneficiario], A29, Tbl_Cashflow[E/U], "U", Tbl_Cashflow[CONFERMATO?], "X")</f>
        <v>0</v>
      </c>
      <c r="E29" s="11">
        <f t="shared" si="0"/>
        <v>0</v>
      </c>
      <c r="F29" t="str">
        <f t="shared" si="1"/>
        <v xml:space="preserve">✅ </v>
      </c>
    </row>
    <row r="30" spans="1:7" ht="15" customHeight="1">
      <c r="A30" s="42" t="s">
        <v>2205</v>
      </c>
      <c r="B30" s="11">
        <v>8500</v>
      </c>
      <c r="C30" s="11">
        <f>SUMIFS(Tbl_Cashflow[Importo €], Tbl_Cashflow[Beneficiario], A30, Tbl_Cashflow[E/U], "U") - SUMIFS(Tbl_Cashflow[Importo €], Tbl_Cashflow[Beneficiario], A30, Tbl_Cashflow[E/U], "E")</f>
        <v>7000</v>
      </c>
      <c r="D30" s="11">
        <f>SUMIFS(Tbl_Cashflow[Importo €], Tbl_Cashflow[Beneficiario], A30, Tbl_Cashflow[E/U], "U", Tbl_Cashflow[CONFERMATO?], "X")</f>
        <v>0</v>
      </c>
      <c r="E30" s="11">
        <f t="shared" si="0"/>
        <v>1500</v>
      </c>
      <c r="F30" t="str">
        <f t="shared" si="1"/>
        <v xml:space="preserve">ℹ️ </v>
      </c>
    </row>
    <row r="31" spans="1:7" ht="15" customHeight="1">
      <c r="A31" s="42" t="s">
        <v>930</v>
      </c>
      <c r="B31" s="11">
        <v>1112.5</v>
      </c>
      <c r="C31" s="11">
        <f>SUMIFS(Tbl_Cashflow[Importo €], Tbl_Cashflow[Beneficiario], A31, Tbl_Cashflow[E/U], "U") - SUMIFS(Tbl_Cashflow[Importo €], Tbl_Cashflow[Beneficiario], A31, Tbl_Cashflow[E/U], "E")</f>
        <v>6083.64</v>
      </c>
      <c r="D31" s="11">
        <f>SUMIFS(Tbl_Cashflow[Importo €], Tbl_Cashflow[Beneficiario], A31, Tbl_Cashflow[E/U], "U", Tbl_Cashflow[CONFERMATO?], "X")</f>
        <v>5523.6100000000006</v>
      </c>
      <c r="E31" s="11">
        <f t="shared" si="0"/>
        <v>552.47000000000025</v>
      </c>
      <c r="F31" t="str">
        <f t="shared" si="1"/>
        <v xml:space="preserve">ℹ️ </v>
      </c>
    </row>
    <row r="32" spans="1:7" ht="15" customHeight="1">
      <c r="A32" s="42" t="s">
        <v>2214</v>
      </c>
      <c r="B32" s="11">
        <v>7905.6</v>
      </c>
      <c r="C32" s="11">
        <f>SUMIFS(Tbl_Cashflow[Importo €], Tbl_Cashflow[Beneficiario], A32, Tbl_Cashflow[E/U], "U") - SUMIFS(Tbl_Cashflow[Importo €], Tbl_Cashflow[Beneficiario], A32, Tbl_Cashflow[E/U], "E")</f>
        <v>7905.5999999999995</v>
      </c>
      <c r="D32" s="11">
        <f>SUMIFS(Tbl_Cashflow[Importo €], Tbl_Cashflow[Beneficiario], A32, Tbl_Cashflow[E/U], "U", Tbl_Cashflow[CONFERMATO?], "X")</f>
        <v>2598.6</v>
      </c>
      <c r="E32" s="11">
        <f t="shared" si="0"/>
        <v>2598.6000000000008</v>
      </c>
      <c r="F32" t="str">
        <f t="shared" si="1"/>
        <v xml:space="preserve">ℹ️ </v>
      </c>
    </row>
    <row r="33" spans="1:6" ht="15" customHeight="1">
      <c r="A33" s="42" t="s">
        <v>2219</v>
      </c>
      <c r="B33" s="11">
        <v>2731.58</v>
      </c>
      <c r="C33" s="11">
        <f>SUMIFS(Tbl_Cashflow[Importo €], Tbl_Cashflow[Beneficiario], A33, Tbl_Cashflow[E/U], "U") - SUMIFS(Tbl_Cashflow[Importo €], Tbl_Cashflow[Beneficiario], A33, Tbl_Cashflow[E/U], "E")</f>
        <v>0</v>
      </c>
      <c r="D33" s="11">
        <f>SUMIFS(Tbl_Cashflow[Importo €], Tbl_Cashflow[Beneficiario], A33, Tbl_Cashflow[E/U], "U", Tbl_Cashflow[CONFERMATO?], "X")</f>
        <v>0</v>
      </c>
      <c r="E33" s="11">
        <f t="shared" si="0"/>
        <v>2731.58</v>
      </c>
      <c r="F33" t="str">
        <f t="shared" si="1"/>
        <v xml:space="preserve">ℹ️ </v>
      </c>
    </row>
    <row r="34" spans="1:6" ht="15" customHeight="1">
      <c r="A34" s="42" t="s">
        <v>1047</v>
      </c>
      <c r="B34" s="11">
        <v>8430</v>
      </c>
      <c r="C34" s="11">
        <f>SUMIFS(Tbl_Cashflow[Importo €], Tbl_Cashflow[Beneficiario], A34, Tbl_Cashflow[E/U], "U") - SUMIFS(Tbl_Cashflow[Importo €], Tbl_Cashflow[Beneficiario], A34, Tbl_Cashflow[E/U], "E")</f>
        <v>19188.09</v>
      </c>
      <c r="D34" s="11">
        <f>SUMIFS(Tbl_Cashflow[Importo €], Tbl_Cashflow[Beneficiario], A34, Tbl_Cashflow[E/U], "U", Tbl_Cashflow[CONFERMATO?], "X")</f>
        <v>9000</v>
      </c>
      <c r="E34" s="11">
        <f t="shared" si="0"/>
        <v>-1758.0900000000001</v>
      </c>
      <c r="F34" t="str">
        <f t="shared" si="1"/>
        <v>⚠️</v>
      </c>
    </row>
    <row r="35" spans="1:6" ht="15" customHeight="1">
      <c r="A35" s="42" t="s">
        <v>2231</v>
      </c>
      <c r="B35" s="11">
        <v>10027.799999999999</v>
      </c>
      <c r="C35" s="11">
        <f>SUMIFS(Tbl_Cashflow[Importo €], Tbl_Cashflow[Beneficiario], A35, Tbl_Cashflow[E/U], "U") - SUMIFS(Tbl_Cashflow[Importo €], Tbl_Cashflow[Beneficiario], A35, Tbl_Cashflow[E/U], "E")</f>
        <v>10000</v>
      </c>
      <c r="D35" s="11">
        <f>SUMIFS(Tbl_Cashflow[Importo €], Tbl_Cashflow[Beneficiario], A35, Tbl_Cashflow[E/U], "U", Tbl_Cashflow[CONFERMATO?], "X")</f>
        <v>0</v>
      </c>
      <c r="E35" s="11">
        <f t="shared" si="0"/>
        <v>27.799999999999272</v>
      </c>
      <c r="F35" t="str">
        <f t="shared" si="1"/>
        <v xml:space="preserve">ℹ️ </v>
      </c>
    </row>
    <row r="36" spans="1:6" ht="15" customHeight="1">
      <c r="A36" s="42" t="s">
        <v>2241</v>
      </c>
      <c r="B36" s="11">
        <v>1163.22</v>
      </c>
      <c r="C36" s="11">
        <f>SUMIFS(Tbl_Cashflow[Importo €], Tbl_Cashflow[Beneficiario], A36, Tbl_Cashflow[E/U], "U") - SUMIFS(Tbl_Cashflow[Importo €], Tbl_Cashflow[Beneficiario], A36, Tbl_Cashflow[E/U], "E")</f>
        <v>1163.22</v>
      </c>
      <c r="D36" s="11">
        <f>SUMIFS(Tbl_Cashflow[Importo €], Tbl_Cashflow[Beneficiario], A36, Tbl_Cashflow[E/U], "U", Tbl_Cashflow[CONFERMATO?], "X")</f>
        <v>0</v>
      </c>
      <c r="E36" s="11">
        <f t="shared" si="0"/>
        <v>0</v>
      </c>
      <c r="F36" t="str">
        <f t="shared" si="1"/>
        <v xml:space="preserve">✅ </v>
      </c>
    </row>
    <row r="37" spans="1:6" ht="15" customHeight="1">
      <c r="A37" s="42" t="s">
        <v>2246</v>
      </c>
      <c r="B37" s="11">
        <v>101.2</v>
      </c>
      <c r="C37" s="11">
        <f>SUMIFS(Tbl_Cashflow[Importo €], Tbl_Cashflow[Beneficiario], A37, Tbl_Cashflow[E/U], "U") - SUMIFS(Tbl_Cashflow[Importo €], Tbl_Cashflow[Beneficiario], A37, Tbl_Cashflow[E/U], "E")</f>
        <v>448.4</v>
      </c>
      <c r="D37" s="11">
        <f>SUMIFS(Tbl_Cashflow[Importo €], Tbl_Cashflow[Beneficiario], A37, Tbl_Cashflow[E/U], "U", Tbl_Cashflow[CONFERMATO?], "X")</f>
        <v>0</v>
      </c>
      <c r="E37" s="11">
        <f t="shared" si="0"/>
        <v>-347.2</v>
      </c>
      <c r="F37" t="str">
        <f t="shared" si="1"/>
        <v>⚠️</v>
      </c>
    </row>
    <row r="38" spans="1:6" ht="15" customHeight="1">
      <c r="A38" s="42" t="s">
        <v>1204</v>
      </c>
      <c r="B38" s="11">
        <v>153.54</v>
      </c>
      <c r="C38" s="11">
        <f>SUMIFS(Tbl_Cashflow[Importo €], Tbl_Cashflow[Beneficiario], A38, Tbl_Cashflow[E/U], "U") - SUMIFS(Tbl_Cashflow[Importo €], Tbl_Cashflow[Beneficiario], A38, Tbl_Cashflow[E/U], "E")</f>
        <v>455.02</v>
      </c>
      <c r="D38" s="11">
        <f>SUMIFS(Tbl_Cashflow[Importo €], Tbl_Cashflow[Beneficiario], A38, Tbl_Cashflow[E/U], "U", Tbl_Cashflow[CONFERMATO?], "X")</f>
        <v>227.51</v>
      </c>
      <c r="E38" s="11">
        <f t="shared" si="0"/>
        <v>-73.970000000000027</v>
      </c>
      <c r="F38" t="str">
        <f t="shared" si="1"/>
        <v>⚠️</v>
      </c>
    </row>
    <row r="39" spans="1:6" ht="15" customHeight="1">
      <c r="A39" s="42" t="s">
        <v>2257</v>
      </c>
      <c r="B39" s="11">
        <v>900</v>
      </c>
      <c r="C39" s="11">
        <f>SUMIFS(Tbl_Cashflow[Importo €], Tbl_Cashflow[Beneficiario], A39, Tbl_Cashflow[E/U], "U") - SUMIFS(Tbl_Cashflow[Importo €], Tbl_Cashflow[Beneficiario], A39, Tbl_Cashflow[E/U], "E")</f>
        <v>0</v>
      </c>
      <c r="D39" s="11">
        <f>SUMIFS(Tbl_Cashflow[Importo €], Tbl_Cashflow[Beneficiario], A39, Tbl_Cashflow[E/U], "U", Tbl_Cashflow[CONFERMATO?], "X")</f>
        <v>0</v>
      </c>
      <c r="E39" s="11">
        <f t="shared" si="0"/>
        <v>900</v>
      </c>
      <c r="F39" t="str">
        <f t="shared" si="1"/>
        <v xml:space="preserve">ℹ️ </v>
      </c>
    </row>
    <row r="40" spans="1:6" ht="15" customHeight="1">
      <c r="A40" s="42" t="s">
        <v>2259</v>
      </c>
      <c r="B40" s="11">
        <v>1263.08</v>
      </c>
      <c r="C40" s="11">
        <f>SUMIFS(Tbl_Cashflow[Importo €], Tbl_Cashflow[Beneficiario], A40, Tbl_Cashflow[E/U], "U") - SUMIFS(Tbl_Cashflow[Importo €], Tbl_Cashflow[Beneficiario], A40, Tbl_Cashflow[E/U], "E")</f>
        <v>1770.81</v>
      </c>
      <c r="D40" s="11">
        <f>SUMIFS(Tbl_Cashflow[Importo €], Tbl_Cashflow[Beneficiario], A40, Tbl_Cashflow[E/U], "U", Tbl_Cashflow[CONFERMATO?], "X")</f>
        <v>1770.81</v>
      </c>
      <c r="E40" s="11">
        <f t="shared" si="0"/>
        <v>1263.08</v>
      </c>
      <c r="F40" t="str">
        <f t="shared" si="1"/>
        <v xml:space="preserve">ℹ️ </v>
      </c>
    </row>
    <row r="41" spans="1:6" ht="15" customHeight="1">
      <c r="A41" s="42" t="s">
        <v>2263</v>
      </c>
      <c r="B41" s="11">
        <v>361.17</v>
      </c>
      <c r="C41" s="11">
        <f>SUMIFS(Tbl_Cashflow[Importo €], Tbl_Cashflow[Beneficiario], A41, Tbl_Cashflow[E/U], "U") - SUMIFS(Tbl_Cashflow[Importo €], Tbl_Cashflow[Beneficiario], A41, Tbl_Cashflow[E/U], "E")</f>
        <v>473.24</v>
      </c>
      <c r="D41" s="11">
        <f>SUMIFS(Tbl_Cashflow[Importo €], Tbl_Cashflow[Beneficiario], A41, Tbl_Cashflow[E/U], "U", Tbl_Cashflow[CONFERMATO?], "X")</f>
        <v>112.07</v>
      </c>
      <c r="E41" s="11">
        <f t="shared" si="0"/>
        <v>0</v>
      </c>
      <c r="F41" t="str">
        <f t="shared" si="1"/>
        <v xml:space="preserve">✅ </v>
      </c>
    </row>
    <row r="42" spans="1:6" ht="15" customHeight="1">
      <c r="A42" s="42" t="s">
        <v>2269</v>
      </c>
      <c r="B42" s="11">
        <v>98.800000000000011</v>
      </c>
      <c r="C42" s="11">
        <f>SUMIFS(Tbl_Cashflow[Importo €], Tbl_Cashflow[Beneficiario], A42, Tbl_Cashflow[E/U], "U") - SUMIFS(Tbl_Cashflow[Importo €], Tbl_Cashflow[Beneficiario], A42, Tbl_Cashflow[E/U], "E")</f>
        <v>57.2</v>
      </c>
      <c r="D42" s="11">
        <f>SUMIFS(Tbl_Cashflow[Importo €], Tbl_Cashflow[Beneficiario], A42, Tbl_Cashflow[E/U], "U", Tbl_Cashflow[CONFERMATO?], "X")</f>
        <v>0</v>
      </c>
      <c r="E42" s="11">
        <f t="shared" si="0"/>
        <v>41.600000000000009</v>
      </c>
      <c r="F42" t="str">
        <f t="shared" si="1"/>
        <v xml:space="preserve">ℹ️ </v>
      </c>
    </row>
    <row r="43" spans="1:6" ht="15" customHeight="1">
      <c r="A43" s="42" t="s">
        <v>2270</v>
      </c>
      <c r="B43" s="11">
        <v>80180</v>
      </c>
      <c r="C43" s="11">
        <f>SUMIFS(Tbl_Cashflow[Importo €], Tbl_Cashflow[Beneficiario], A43, Tbl_Cashflow[E/U], "U") - SUMIFS(Tbl_Cashflow[Importo €], Tbl_Cashflow[Beneficiario], A43, Tbl_Cashflow[E/U], "E")</f>
        <v>106180</v>
      </c>
      <c r="D43" s="11">
        <f>SUMIFS(Tbl_Cashflow[Importo €], Tbl_Cashflow[Beneficiario], A43, Tbl_Cashflow[E/U], "U", Tbl_Cashflow[CONFERMATO?], "X")</f>
        <v>26000</v>
      </c>
      <c r="E43" s="11">
        <f t="shared" si="0"/>
        <v>0</v>
      </c>
      <c r="F43" t="str">
        <f t="shared" si="1"/>
        <v xml:space="preserve">✅ </v>
      </c>
    </row>
    <row r="44" spans="1:6" ht="15" customHeight="1">
      <c r="A44" s="42" t="s">
        <v>2289</v>
      </c>
      <c r="B44" s="11">
        <v>31193.11</v>
      </c>
      <c r="C44" s="11">
        <f>SUMIFS(Tbl_Cashflow[Importo €], Tbl_Cashflow[Beneficiario], A44, Tbl_Cashflow[E/U], "U") - SUMIFS(Tbl_Cashflow[Importo €], Tbl_Cashflow[Beneficiario], A44, Tbl_Cashflow[E/U], "E")</f>
        <v>31193.11</v>
      </c>
      <c r="D44" s="11">
        <f>SUMIFS(Tbl_Cashflow[Importo €], Tbl_Cashflow[Beneficiario], A44, Tbl_Cashflow[E/U], "U", Tbl_Cashflow[CONFERMATO?], "X")</f>
        <v>0</v>
      </c>
      <c r="E44" s="11">
        <f t="shared" si="0"/>
        <v>0</v>
      </c>
      <c r="F44" t="str">
        <f t="shared" si="1"/>
        <v xml:space="preserve">✅ </v>
      </c>
    </row>
    <row r="45" spans="1:6" ht="15" customHeight="1">
      <c r="A45" s="42" t="s">
        <v>2303</v>
      </c>
      <c r="B45" s="11">
        <v>40000</v>
      </c>
      <c r="C45" s="11">
        <f>SUMIFS(Tbl_Cashflow[Importo €], Tbl_Cashflow[Beneficiario], A45, Tbl_Cashflow[E/U], "U") - SUMIFS(Tbl_Cashflow[Importo €], Tbl_Cashflow[Beneficiario], A45, Tbl_Cashflow[E/U], "E")</f>
        <v>90366</v>
      </c>
      <c r="D45" s="11">
        <f>SUMIFS(Tbl_Cashflow[Importo €], Tbl_Cashflow[Beneficiario], A45, Tbl_Cashflow[E/U], "U", Tbl_Cashflow[CONFERMATO?], "X")</f>
        <v>50366</v>
      </c>
      <c r="E45" s="11">
        <f t="shared" si="0"/>
        <v>0</v>
      </c>
      <c r="F45" t="str">
        <f t="shared" si="1"/>
        <v xml:space="preserve">✅ </v>
      </c>
    </row>
    <row r="46" spans="1:6" ht="15" customHeight="1">
      <c r="A46" s="42" t="s">
        <v>2321</v>
      </c>
      <c r="B46" s="11">
        <v>437.49</v>
      </c>
      <c r="C46" s="11">
        <f>SUMIFS(Tbl_Cashflow[Importo €], Tbl_Cashflow[Beneficiario], A46, Tbl_Cashflow[E/U], "U") - SUMIFS(Tbl_Cashflow[Importo €], Tbl_Cashflow[Beneficiario], A46, Tbl_Cashflow[E/U], "E")</f>
        <v>990.22</v>
      </c>
      <c r="D46" s="11">
        <f>SUMIFS(Tbl_Cashflow[Importo €], Tbl_Cashflow[Beneficiario], A46, Tbl_Cashflow[E/U], "U", Tbl_Cashflow[CONFERMATO?], "X")</f>
        <v>552.73</v>
      </c>
      <c r="E46" s="11">
        <f t="shared" si="0"/>
        <v>0</v>
      </c>
      <c r="F46" t="str">
        <f t="shared" si="1"/>
        <v xml:space="preserve">✅ </v>
      </c>
    </row>
    <row r="47" spans="1:6" ht="15" customHeight="1">
      <c r="A47" s="42" t="s">
        <v>2323</v>
      </c>
      <c r="B47" s="11">
        <v>3090</v>
      </c>
      <c r="C47" s="11">
        <f>SUMIFS(Tbl_Cashflow[Importo €], Tbl_Cashflow[Beneficiario], A47, Tbl_Cashflow[E/U], "U") - SUMIFS(Tbl_Cashflow[Importo €], Tbl_Cashflow[Beneficiario], A47, Tbl_Cashflow[E/U], "E")</f>
        <v>12180</v>
      </c>
      <c r="D47" s="11">
        <f>SUMIFS(Tbl_Cashflow[Importo €], Tbl_Cashflow[Beneficiario], A47, Tbl_Cashflow[E/U], "U", Tbl_Cashflow[CONFERMATO?], "X")</f>
        <v>9090</v>
      </c>
      <c r="E47" s="11">
        <f t="shared" si="0"/>
        <v>0</v>
      </c>
      <c r="F47" t="str">
        <f t="shared" si="1"/>
        <v xml:space="preserve">✅ </v>
      </c>
    </row>
    <row r="48" spans="1:6" ht="15" customHeight="1">
      <c r="A48" s="42" t="s">
        <v>2331</v>
      </c>
      <c r="B48" s="11">
        <v>26000</v>
      </c>
      <c r="C48" s="11">
        <f>SUMIFS(Tbl_Cashflow[Importo €], Tbl_Cashflow[Beneficiario], A48, Tbl_Cashflow[E/U], "U") - SUMIFS(Tbl_Cashflow[Importo €], Tbl_Cashflow[Beneficiario], A48, Tbl_Cashflow[E/U], "E")</f>
        <v>65000</v>
      </c>
      <c r="D48" s="11">
        <f>SUMIFS(Tbl_Cashflow[Importo €], Tbl_Cashflow[Beneficiario], A48, Tbl_Cashflow[E/U], "U", Tbl_Cashflow[CONFERMATO?], "X")</f>
        <v>39000</v>
      </c>
      <c r="E48" s="11">
        <f t="shared" si="0"/>
        <v>0</v>
      </c>
      <c r="F48" t="str">
        <f t="shared" si="1"/>
        <v xml:space="preserve">✅ </v>
      </c>
    </row>
    <row r="49" spans="1:12" ht="15" customHeight="1">
      <c r="A49" s="42" t="s">
        <v>1730</v>
      </c>
      <c r="B49" s="11">
        <v>27.94</v>
      </c>
      <c r="C49" s="11">
        <f>SUMIFS(Tbl_Cashflow[Importo €], Tbl_Cashflow[Beneficiario], A49, Tbl_Cashflow[E/U], "U") - SUMIFS(Tbl_Cashflow[Importo €], Tbl_Cashflow[Beneficiario], A49, Tbl_Cashflow[E/U], "E")</f>
        <v>169.54000000000002</v>
      </c>
      <c r="D49" s="11">
        <f>SUMIFS(Tbl_Cashflow[Importo €], Tbl_Cashflow[Beneficiario], A49, Tbl_Cashflow[E/U], "U", Tbl_Cashflow[CONFERMATO?], "X")</f>
        <v>169.54000000000002</v>
      </c>
      <c r="E49" s="11">
        <f t="shared" si="0"/>
        <v>27.939999999999998</v>
      </c>
      <c r="F49" t="str">
        <f t="shared" si="1"/>
        <v xml:space="preserve">ℹ️ </v>
      </c>
      <c r="L49" s="11"/>
    </row>
    <row r="50" spans="1:12" ht="15" customHeight="1">
      <c r="A50" s="42" t="s">
        <v>2339</v>
      </c>
      <c r="B50" s="11">
        <v>70000</v>
      </c>
      <c r="C50" s="11">
        <f>SUMIFS(Tbl_Cashflow[Importo €], Tbl_Cashflow[Beneficiario], A50, Tbl_Cashflow[E/U], "U") - SUMIFS(Tbl_Cashflow[Importo €], Tbl_Cashflow[Beneficiario], A50, Tbl_Cashflow[E/U], "E")</f>
        <v>70000</v>
      </c>
      <c r="D50" s="11">
        <f>SUMIFS(Tbl_Cashflow[Importo €], Tbl_Cashflow[Beneficiario], A50, Tbl_Cashflow[E/U], "U", Tbl_Cashflow[CONFERMATO?], "X")</f>
        <v>0</v>
      </c>
      <c r="E50" s="11">
        <f t="shared" si="0"/>
        <v>0</v>
      </c>
      <c r="F50" t="str">
        <f t="shared" si="1"/>
        <v xml:space="preserve">✅ </v>
      </c>
      <c r="K50" s="42"/>
      <c r="L50" s="11"/>
    </row>
    <row r="51" spans="1:12" ht="15" customHeight="1">
      <c r="A51" s="42" t="s">
        <v>1876</v>
      </c>
      <c r="B51" s="11">
        <v>167.98000000000002</v>
      </c>
      <c r="C51" s="11">
        <f>SUMIFS(Tbl_Cashflow[Importo €], Tbl_Cashflow[Beneficiario], A51, Tbl_Cashflow[E/U], "U") - SUMIFS(Tbl_Cashflow[Importo €], Tbl_Cashflow[Beneficiario], A51, Tbl_Cashflow[E/U], "E")</f>
        <v>0</v>
      </c>
      <c r="D51" s="11">
        <f>SUMIFS(Tbl_Cashflow[Importo €], Tbl_Cashflow[Beneficiario], A51, Tbl_Cashflow[E/U], "U", Tbl_Cashflow[CONFERMATO?], "X")</f>
        <v>0</v>
      </c>
      <c r="E51" s="11">
        <f t="shared" si="0"/>
        <v>167.98000000000002</v>
      </c>
      <c r="F51" t="str">
        <f t="shared" si="1"/>
        <v xml:space="preserve">ℹ️ </v>
      </c>
      <c r="K51" s="42"/>
      <c r="L51" s="11"/>
    </row>
    <row r="52" spans="1:12" ht="15" customHeight="1">
      <c r="A52" s="42" t="s">
        <v>2355</v>
      </c>
      <c r="B52" s="11">
        <v>101.68000000000036</v>
      </c>
      <c r="C52" s="11">
        <f>SUMIFS(Tbl_Cashflow[Importo €], Tbl_Cashflow[Beneficiario], A52, Tbl_Cashflow[E/U], "U") - SUMIFS(Tbl_Cashflow[Importo €], Tbl_Cashflow[Beneficiario], A52, Tbl_Cashflow[E/U], "E")</f>
        <v>5487.51</v>
      </c>
      <c r="D52" s="11">
        <f>SUMIFS(Tbl_Cashflow[Importo €], Tbl_Cashflow[Beneficiario], A52, Tbl_Cashflow[E/U], "U", Tbl_Cashflow[CONFERMATO?], "X")</f>
        <v>5450.91</v>
      </c>
      <c r="E52" s="11">
        <f t="shared" si="0"/>
        <v>65.079999999999927</v>
      </c>
      <c r="F52" t="str">
        <f t="shared" si="1"/>
        <v xml:space="preserve">ℹ️ </v>
      </c>
      <c r="K52" s="42"/>
      <c r="L52" s="11"/>
    </row>
    <row r="53" spans="1:12" ht="15" customHeight="1">
      <c r="A53" s="42" t="s">
        <v>3352</v>
      </c>
      <c r="B53" s="11">
        <v>463.6</v>
      </c>
      <c r="C53" s="11">
        <f>SUMIFS(Tbl_Cashflow[Importo €], Tbl_Cashflow[Beneficiario], A53, Tbl_Cashflow[E/U], "U") - SUMIFS(Tbl_Cashflow[Importo €], Tbl_Cashflow[Beneficiario], A53, Tbl_Cashflow[E/U], "E")</f>
        <v>0</v>
      </c>
      <c r="D53" s="11">
        <f>SUMIFS(Tbl_Cashflow[Importo €], Tbl_Cashflow[Beneficiario], A53, Tbl_Cashflow[E/U], "U", Tbl_Cashflow[CONFERMATO?], "X")</f>
        <v>0</v>
      </c>
      <c r="E53" s="11">
        <f t="shared" si="0"/>
        <v>463.6</v>
      </c>
      <c r="F53" t="str">
        <f t="shared" si="1"/>
        <v xml:space="preserve">ℹ️ </v>
      </c>
      <c r="K53" s="42"/>
      <c r="L53" s="11"/>
    </row>
    <row r="54" spans="1:12" ht="15" customHeight="1">
      <c r="A54" s="42" t="s">
        <v>4091</v>
      </c>
      <c r="B54" s="11">
        <v>7200</v>
      </c>
      <c r="C54" s="11">
        <f>SUMIFS(Tbl_Cashflow[Importo €], Tbl_Cashflow[Beneficiario], A54, Tbl_Cashflow[E/U], "U") - SUMIFS(Tbl_Cashflow[Importo €], Tbl_Cashflow[Beneficiario], A54, Tbl_Cashflow[E/U], "E")</f>
        <v>0</v>
      </c>
      <c r="D54" s="11">
        <f>SUMIFS(Tbl_Cashflow[Importo €], Tbl_Cashflow[Beneficiario], A54, Tbl_Cashflow[E/U], "U", Tbl_Cashflow[CONFERMATO?], "X")</f>
        <v>0</v>
      </c>
      <c r="E54" s="11">
        <f t="shared" si="0"/>
        <v>7200</v>
      </c>
      <c r="F54" t="str">
        <f t="shared" si="1"/>
        <v xml:space="preserve">ℹ️ </v>
      </c>
      <c r="K54" s="42"/>
      <c r="L54" s="11"/>
    </row>
    <row r="55" spans="1:12" ht="15" customHeight="1">
      <c r="A55" s="42" t="s">
        <v>4142</v>
      </c>
      <c r="B55" s="11">
        <v>5418</v>
      </c>
      <c r="C55" s="11">
        <f>SUMIFS(Tbl_Cashflow[Importo €], Tbl_Cashflow[Beneficiario], A55, Tbl_Cashflow[E/U], "U") - SUMIFS(Tbl_Cashflow[Importo €], Tbl_Cashflow[Beneficiario], A55, Tbl_Cashflow[E/U], "E")</f>
        <v>0</v>
      </c>
      <c r="D55" s="11">
        <f>SUMIFS(Tbl_Cashflow[Importo €], Tbl_Cashflow[Beneficiario], A55, Tbl_Cashflow[E/U], "U", Tbl_Cashflow[CONFERMATO?], "X")</f>
        <v>0</v>
      </c>
      <c r="E55" s="11">
        <f t="shared" si="0"/>
        <v>5418</v>
      </c>
      <c r="F55" t="str">
        <f t="shared" si="1"/>
        <v xml:space="preserve">ℹ️ </v>
      </c>
      <c r="K55" s="42"/>
      <c r="L55" s="11"/>
    </row>
    <row r="56" spans="1:12" ht="15" customHeight="1">
      <c r="A56" s="42" t="s">
        <v>4162</v>
      </c>
      <c r="B56" s="11">
        <v>6145.6</v>
      </c>
      <c r="C56" s="11">
        <f>SUMIFS(Tbl_Cashflow[Importo €], Tbl_Cashflow[Beneficiario], A56, Tbl_Cashflow[E/U], "U") - SUMIFS(Tbl_Cashflow[Importo €], Tbl_Cashflow[Beneficiario], A56, Tbl_Cashflow[E/U], "E")</f>
        <v>0</v>
      </c>
      <c r="D56" s="11">
        <f>SUMIFS(Tbl_Cashflow[Importo €], Tbl_Cashflow[Beneficiario], A56, Tbl_Cashflow[E/U], "U", Tbl_Cashflow[CONFERMATO?], "X")</f>
        <v>0</v>
      </c>
      <c r="E56" s="11">
        <f t="shared" si="0"/>
        <v>6145.6</v>
      </c>
      <c r="F56" t="str">
        <f t="shared" si="1"/>
        <v xml:space="preserve">ℹ️ </v>
      </c>
      <c r="K56" s="42"/>
      <c r="L56" s="11"/>
    </row>
    <row r="57" spans="1:12" ht="15" customHeight="1">
      <c r="A57" s="42" t="s">
        <v>4183</v>
      </c>
      <c r="B57" s="11">
        <v>104.8</v>
      </c>
      <c r="C57" s="11">
        <f>SUMIFS(Tbl_Cashflow[Importo €], Tbl_Cashflow[Beneficiario], A57, Tbl_Cashflow[E/U], "U") - SUMIFS(Tbl_Cashflow[Importo €], Tbl_Cashflow[Beneficiario], A57, Tbl_Cashflow[E/U], "E")</f>
        <v>0</v>
      </c>
      <c r="D57" s="11">
        <f>SUMIFS(Tbl_Cashflow[Importo €], Tbl_Cashflow[Beneficiario], A57, Tbl_Cashflow[E/U], "U", Tbl_Cashflow[CONFERMATO?], "X")</f>
        <v>0</v>
      </c>
      <c r="E57" s="11">
        <f t="shared" si="0"/>
        <v>104.8</v>
      </c>
      <c r="F57" t="str">
        <f t="shared" si="1"/>
        <v xml:space="preserve">ℹ️ </v>
      </c>
      <c r="K57" s="42"/>
      <c r="L57" s="11"/>
    </row>
    <row r="58" spans="1:12" ht="15" customHeight="1">
      <c r="A58" s="42" t="s">
        <v>3662</v>
      </c>
      <c r="B58" s="11">
        <v>427</v>
      </c>
      <c r="C58" s="11">
        <f>SUMIFS(Tbl_Cashflow[Importo €], Tbl_Cashflow[Beneficiario], A58, Tbl_Cashflow[E/U], "U") - SUMIFS(Tbl_Cashflow[Importo €], Tbl_Cashflow[Beneficiario], A58, Tbl_Cashflow[E/U], "E")</f>
        <v>0</v>
      </c>
      <c r="D58" s="11">
        <f>SUMIFS(Tbl_Cashflow[Importo €], Tbl_Cashflow[Beneficiario], A58, Tbl_Cashflow[E/U], "U", Tbl_Cashflow[CONFERMATO?], "X")</f>
        <v>0</v>
      </c>
      <c r="E58" s="11">
        <f t="shared" si="0"/>
        <v>427</v>
      </c>
      <c r="F58" t="str">
        <f t="shared" si="1"/>
        <v xml:space="preserve">ℹ️ </v>
      </c>
      <c r="K58" s="42"/>
      <c r="L58" s="11"/>
    </row>
    <row r="59" spans="1:12" ht="15" customHeight="1">
      <c r="A59" s="42" t="s">
        <v>3883</v>
      </c>
      <c r="B59" s="11">
        <v>0</v>
      </c>
      <c r="C59" s="11">
        <f>SUMIFS(Tbl_Cashflow[Importo €], Tbl_Cashflow[Beneficiario], A59, Tbl_Cashflow[E/U], "U") - SUMIFS(Tbl_Cashflow[Importo €], Tbl_Cashflow[Beneficiario], A59, Tbl_Cashflow[E/U], "E")</f>
        <v>0</v>
      </c>
      <c r="D59" s="11">
        <f>SUMIFS(Tbl_Cashflow[Importo €], Tbl_Cashflow[Beneficiario], A59, Tbl_Cashflow[E/U], "U", Tbl_Cashflow[CONFERMATO?], "X")</f>
        <v>0</v>
      </c>
      <c r="E59" s="11">
        <f t="shared" si="0"/>
        <v>0</v>
      </c>
      <c r="F59" t="str">
        <f t="shared" si="1"/>
        <v xml:space="preserve">✅ </v>
      </c>
      <c r="K59" s="42"/>
      <c r="L59" s="11"/>
    </row>
    <row r="60" spans="1:12" ht="15" customHeight="1">
      <c r="A60" s="42" t="s">
        <v>3790</v>
      </c>
      <c r="B60" s="11">
        <v>6700</v>
      </c>
      <c r="C60" s="11">
        <f>SUMIFS(Tbl_Cashflow[Importo €], Tbl_Cashflow[Beneficiario], A60, Tbl_Cashflow[E/U], "U") - SUMIFS(Tbl_Cashflow[Importo €], Tbl_Cashflow[Beneficiario], A60, Tbl_Cashflow[E/U], "E")</f>
        <v>0</v>
      </c>
      <c r="D60" s="11">
        <f>SUMIFS(Tbl_Cashflow[Importo €], Tbl_Cashflow[Beneficiario], A60, Tbl_Cashflow[E/U], "U", Tbl_Cashflow[CONFERMATO?], "X")</f>
        <v>0</v>
      </c>
      <c r="E60" s="11">
        <f t="shared" si="0"/>
        <v>6700</v>
      </c>
      <c r="F60" t="str">
        <f t="shared" si="1"/>
        <v xml:space="preserve">ℹ️ </v>
      </c>
      <c r="K60" s="42"/>
      <c r="L60" s="11"/>
    </row>
    <row r="61" spans="1:12" ht="15" customHeight="1">
      <c r="A61" s="42" t="s">
        <v>3816</v>
      </c>
      <c r="B61" s="11">
        <v>352.1</v>
      </c>
      <c r="C61" s="11">
        <f>SUMIFS(Tbl_Cashflow[Importo €], Tbl_Cashflow[Beneficiario], A61, Tbl_Cashflow[E/U], "U") - SUMIFS(Tbl_Cashflow[Importo €], Tbl_Cashflow[Beneficiario], A61, Tbl_Cashflow[E/U], "E")</f>
        <v>0</v>
      </c>
      <c r="D61" s="11">
        <f>SUMIFS(Tbl_Cashflow[Importo €], Tbl_Cashflow[Beneficiario], A61, Tbl_Cashflow[E/U], "U", Tbl_Cashflow[CONFERMATO?], "X")</f>
        <v>0</v>
      </c>
      <c r="E61" s="11">
        <f t="shared" si="0"/>
        <v>352.1</v>
      </c>
      <c r="F61" t="str">
        <f t="shared" si="1"/>
        <v xml:space="preserve">ℹ️ </v>
      </c>
      <c r="K61" s="42"/>
      <c r="L61" s="11"/>
    </row>
    <row r="62" spans="1:12" ht="15" customHeight="1">
      <c r="A62" s="42" t="s">
        <v>3857</v>
      </c>
      <c r="B62" s="11">
        <v>77.13</v>
      </c>
      <c r="C62" s="11">
        <f>SUMIFS(Tbl_Cashflow[Importo €], Tbl_Cashflow[Beneficiario], A62, Tbl_Cashflow[E/U], "U") - SUMIFS(Tbl_Cashflow[Importo €], Tbl_Cashflow[Beneficiario], A62, Tbl_Cashflow[E/U], "E")</f>
        <v>0</v>
      </c>
      <c r="D62" s="11">
        <f>SUMIFS(Tbl_Cashflow[Importo €], Tbl_Cashflow[Beneficiario], A62, Tbl_Cashflow[E/U], "U", Tbl_Cashflow[CONFERMATO?], "X")</f>
        <v>0</v>
      </c>
      <c r="E62" s="11">
        <f t="shared" si="0"/>
        <v>77.13</v>
      </c>
      <c r="F62" t="str">
        <f t="shared" si="1"/>
        <v xml:space="preserve">ℹ️ </v>
      </c>
      <c r="K62" s="42"/>
      <c r="L62" s="11"/>
    </row>
    <row r="63" spans="1:12" ht="15" customHeight="1">
      <c r="A63" s="42" t="s">
        <v>4310</v>
      </c>
      <c r="B63" s="11">
        <v>4100</v>
      </c>
      <c r="C63" s="11">
        <f>SUMIFS(Tbl_Cashflow[Importo €], Tbl_Cashflow[Beneficiario], A63, Tbl_Cashflow[E/U], "U") - SUMIFS(Tbl_Cashflow[Importo €], Tbl_Cashflow[Beneficiario], A63, Tbl_Cashflow[E/U], "E")</f>
        <v>0</v>
      </c>
      <c r="D63" s="11">
        <f>SUMIFS(Tbl_Cashflow[Importo €], Tbl_Cashflow[Beneficiario], A63, Tbl_Cashflow[E/U], "U", Tbl_Cashflow[CONFERMATO?], "X")</f>
        <v>0</v>
      </c>
      <c r="E63" s="11">
        <f t="shared" si="0"/>
        <v>4100</v>
      </c>
      <c r="F63" t="str">
        <f t="shared" si="1"/>
        <v xml:space="preserve">ℹ️ </v>
      </c>
      <c r="K63" s="42"/>
      <c r="L63" s="11"/>
    </row>
    <row r="64" spans="1:12" ht="15" customHeight="1">
      <c r="A64" s="42" t="s">
        <v>4264</v>
      </c>
      <c r="B64" s="11">
        <v>1330.36</v>
      </c>
      <c r="C64" s="11">
        <f>SUMIFS(Tbl_Cashflow[Importo €], Tbl_Cashflow[Beneficiario], A64, Tbl_Cashflow[E/U], "U") - SUMIFS(Tbl_Cashflow[Importo €], Tbl_Cashflow[Beneficiario], A64, Tbl_Cashflow[E/U], "E")</f>
        <v>0</v>
      </c>
      <c r="D64" s="11">
        <f>SUMIFS(Tbl_Cashflow[Importo €], Tbl_Cashflow[Beneficiario], A64, Tbl_Cashflow[E/U], "U", Tbl_Cashflow[CONFERMATO?], "X")</f>
        <v>0</v>
      </c>
      <c r="E64" s="11">
        <f t="shared" si="0"/>
        <v>1330.36</v>
      </c>
      <c r="F64" t="str">
        <f t="shared" si="1"/>
        <v xml:space="preserve">ℹ️ </v>
      </c>
      <c r="K64" s="42"/>
      <c r="L64" s="11"/>
    </row>
    <row r="65" spans="1:12" ht="15" customHeight="1">
      <c r="A65" s="42" t="s">
        <v>4320</v>
      </c>
      <c r="B65" s="11">
        <v>78.08</v>
      </c>
      <c r="C65" s="11">
        <f>SUMIFS(Tbl_Cashflow[Importo €], Tbl_Cashflow[Beneficiario], A65, Tbl_Cashflow[E/U], "U") - SUMIFS(Tbl_Cashflow[Importo €], Tbl_Cashflow[Beneficiario], A65, Tbl_Cashflow[E/U], "E")</f>
        <v>0</v>
      </c>
      <c r="D65" s="11">
        <f>SUMIFS(Tbl_Cashflow[Importo €], Tbl_Cashflow[Beneficiario], A65, Tbl_Cashflow[E/U], "U", Tbl_Cashflow[CONFERMATO?], "X")</f>
        <v>0</v>
      </c>
      <c r="E65" s="11">
        <f t="shared" si="0"/>
        <v>78.08</v>
      </c>
      <c r="F65" t="str">
        <f t="shared" si="1"/>
        <v xml:space="preserve">ℹ️ </v>
      </c>
      <c r="K65" s="42"/>
      <c r="L65" s="11"/>
    </row>
    <row r="66" spans="1:12" ht="15" customHeight="1">
      <c r="A66" s="42" t="s">
        <v>2414</v>
      </c>
      <c r="B66" s="11">
        <v>536543.58999999985</v>
      </c>
      <c r="K66" s="42"/>
      <c r="L66" s="11"/>
    </row>
    <row r="67" spans="1:12" ht="15" customHeight="1">
      <c r="A67"/>
      <c r="B67"/>
      <c r="K67" s="42"/>
      <c r="L67" s="11"/>
    </row>
    <row r="68" spans="1:12" ht="15" customHeight="1">
      <c r="A68"/>
      <c r="B68"/>
      <c r="K68" s="42"/>
      <c r="L68" s="11"/>
    </row>
    <row r="69" spans="1:12" ht="15" customHeight="1">
      <c r="A69"/>
      <c r="B69"/>
      <c r="K69" s="42"/>
      <c r="L69" s="11"/>
    </row>
    <row r="70" spans="1:12" ht="15" customHeight="1">
      <c r="A70"/>
      <c r="B70"/>
      <c r="K70" s="42"/>
      <c r="L70" s="11"/>
    </row>
    <row r="71" spans="1:12" ht="15" customHeight="1">
      <c r="A71"/>
      <c r="B71"/>
      <c r="K71" s="42"/>
      <c r="L71" s="11"/>
    </row>
    <row r="72" spans="1:12" ht="15" customHeight="1">
      <c r="A72"/>
      <c r="B72"/>
      <c r="K72" s="42"/>
      <c r="L72" s="11"/>
    </row>
    <row r="73" spans="1:12" ht="15" customHeight="1">
      <c r="A73"/>
      <c r="B73"/>
      <c r="K73" s="42"/>
      <c r="L73" s="11"/>
    </row>
    <row r="74" spans="1:12" ht="15" customHeight="1">
      <c r="A74"/>
      <c r="B74"/>
      <c r="K74" s="42"/>
      <c r="L74" s="11"/>
    </row>
    <row r="75" spans="1:12" ht="15" customHeight="1">
      <c r="A75"/>
      <c r="B75"/>
      <c r="K75" s="42"/>
      <c r="L75" s="11"/>
    </row>
    <row r="76" spans="1:12" ht="15" customHeight="1">
      <c r="A76"/>
      <c r="B76"/>
      <c r="K76" s="42"/>
      <c r="L76" s="11"/>
    </row>
    <row r="77" spans="1:12" ht="15" customHeight="1">
      <c r="A77"/>
      <c r="B77"/>
      <c r="K77" s="42"/>
      <c r="L77" s="11"/>
    </row>
    <row r="78" spans="1:12" ht="15" customHeight="1">
      <c r="A78"/>
      <c r="B78"/>
      <c r="K78" s="42"/>
      <c r="L78" s="11"/>
    </row>
    <row r="79" spans="1:12" ht="15" customHeight="1">
      <c r="A79"/>
      <c r="B79"/>
      <c r="K79" s="42"/>
      <c r="L79" s="11"/>
    </row>
    <row r="80" spans="1:12" ht="15" customHeight="1">
      <c r="A80"/>
      <c r="B80"/>
      <c r="K80" s="42"/>
      <c r="L80" s="11"/>
    </row>
    <row r="81" spans="1:12" ht="15" customHeight="1">
      <c r="A81"/>
      <c r="B81"/>
      <c r="K81" s="42"/>
      <c r="L81" s="11"/>
    </row>
    <row r="82" spans="1:12" ht="15" customHeight="1">
      <c r="A82"/>
      <c r="B82"/>
      <c r="K82" s="42"/>
      <c r="L82" s="11"/>
    </row>
    <row r="83" spans="1:12" ht="15" customHeight="1">
      <c r="A83"/>
      <c r="B83"/>
      <c r="K83" s="42"/>
      <c r="L83" s="11"/>
    </row>
    <row r="84" spans="1:12" ht="15" customHeight="1">
      <c r="A84"/>
      <c r="B84"/>
      <c r="K84" s="42"/>
      <c r="L84" s="11"/>
    </row>
    <row r="85" spans="1:12" ht="15" customHeight="1">
      <c r="A85"/>
      <c r="B85"/>
      <c r="K85" s="42"/>
      <c r="L85" s="11"/>
    </row>
    <row r="86" spans="1:12" ht="15" customHeight="1">
      <c r="A86"/>
      <c r="B86"/>
      <c r="K86" s="42"/>
      <c r="L86" s="11"/>
    </row>
    <row r="87" spans="1:12" ht="15" customHeight="1">
      <c r="A87"/>
      <c r="B87"/>
      <c r="K87" s="42"/>
      <c r="L87" s="11"/>
    </row>
    <row r="88" spans="1:12" ht="15" customHeight="1">
      <c r="A88"/>
      <c r="B88"/>
      <c r="K88" s="42"/>
      <c r="L88" s="11"/>
    </row>
    <row r="89" spans="1:12" ht="15" customHeight="1">
      <c r="A89"/>
      <c r="B89"/>
      <c r="K89" s="42"/>
      <c r="L89" s="11"/>
    </row>
    <row r="90" spans="1:12" ht="15" customHeight="1">
      <c r="A90"/>
      <c r="B90"/>
      <c r="K90" s="42"/>
      <c r="L90" s="11"/>
    </row>
    <row r="91" spans="1:12" ht="15" customHeight="1">
      <c r="A91"/>
      <c r="B91"/>
      <c r="K91" s="42"/>
      <c r="L91" s="11"/>
    </row>
    <row r="92" spans="1:12" ht="15" customHeight="1">
      <c r="A92"/>
      <c r="B92"/>
      <c r="K92" s="42"/>
      <c r="L92" s="11"/>
    </row>
    <row r="93" spans="1:12" ht="15" customHeight="1">
      <c r="A93"/>
      <c r="B93"/>
      <c r="K93" s="42"/>
      <c r="L93" s="11"/>
    </row>
    <row r="94" spans="1:12" ht="15" customHeight="1">
      <c r="A94"/>
      <c r="B94"/>
    </row>
    <row r="95" spans="1:12" ht="15" customHeight="1">
      <c r="A95"/>
      <c r="B95"/>
    </row>
    <row r="96" spans="1:12" ht="15" customHeight="1">
      <c r="A96"/>
      <c r="B96"/>
    </row>
    <row r="97" spans="1:2" ht="15" customHeight="1">
      <c r="A97"/>
      <c r="B97"/>
    </row>
    <row r="98" spans="1:2" ht="15" customHeight="1">
      <c r="A98"/>
      <c r="B98"/>
    </row>
    <row r="99" spans="1:2" ht="15" customHeight="1">
      <c r="A99"/>
      <c r="B99"/>
    </row>
    <row r="100" spans="1:2" ht="15" customHeight="1">
      <c r="A100"/>
      <c r="B100"/>
    </row>
    <row r="101" spans="1:2" ht="15" customHeight="1">
      <c r="A101"/>
      <c r="B101"/>
    </row>
    <row r="102" spans="1:2" ht="15" customHeight="1">
      <c r="A102"/>
      <c r="B102"/>
    </row>
    <row r="103" spans="1:2" ht="15" customHeight="1">
      <c r="A103"/>
      <c r="B103"/>
    </row>
    <row r="104" spans="1:2" ht="15" customHeight="1">
      <c r="A104"/>
      <c r="B104"/>
    </row>
    <row r="105" spans="1:2" ht="15" customHeight="1">
      <c r="A105"/>
      <c r="B105"/>
    </row>
    <row r="106" spans="1:2" ht="15" customHeight="1">
      <c r="A106"/>
      <c r="B106"/>
    </row>
    <row r="107" spans="1:2" ht="15" customHeight="1">
      <c r="A107"/>
      <c r="B107"/>
    </row>
    <row r="108" spans="1:2" ht="15" customHeight="1">
      <c r="A108"/>
      <c r="B108"/>
    </row>
    <row r="109" spans="1:2" ht="15" customHeight="1">
      <c r="A109"/>
      <c r="B109"/>
    </row>
    <row r="110" spans="1:2" ht="15" customHeight="1">
      <c r="A110"/>
      <c r="B110"/>
    </row>
    <row r="111" spans="1:2" ht="15" customHeight="1">
      <c r="A111"/>
      <c r="B111"/>
    </row>
    <row r="112" spans="1:2" ht="15" customHeight="1">
      <c r="A112"/>
      <c r="B112"/>
    </row>
    <row r="113" spans="1:2" ht="15" customHeight="1">
      <c r="A113"/>
      <c r="B113"/>
    </row>
    <row r="114" spans="1:2" ht="15" customHeight="1">
      <c r="A114"/>
      <c r="B114"/>
    </row>
    <row r="115" spans="1:2" ht="15" customHeight="1">
      <c r="A115"/>
      <c r="B115"/>
    </row>
    <row r="116" spans="1:2" ht="15" customHeight="1">
      <c r="A116"/>
      <c r="B116"/>
    </row>
    <row r="117" spans="1:2" ht="15" customHeight="1">
      <c r="A117"/>
      <c r="B117"/>
    </row>
    <row r="118" spans="1:2" ht="15" customHeight="1">
      <c r="A118"/>
      <c r="B118"/>
    </row>
    <row r="119" spans="1:2" ht="15" customHeight="1">
      <c r="A119"/>
      <c r="B119"/>
    </row>
    <row r="120" spans="1:2" ht="15" customHeight="1">
      <c r="A120"/>
      <c r="B120"/>
    </row>
    <row r="121" spans="1:2" ht="15" customHeight="1">
      <c r="A121"/>
      <c r="B121"/>
    </row>
    <row r="122" spans="1:2" ht="15" customHeight="1">
      <c r="A122"/>
      <c r="B122"/>
    </row>
    <row r="123" spans="1:2" ht="15" customHeight="1">
      <c r="A123"/>
      <c r="B123"/>
    </row>
    <row r="124" spans="1:2" ht="15" customHeight="1">
      <c r="A124"/>
      <c r="B124"/>
    </row>
    <row r="125" spans="1:2" ht="15" customHeight="1">
      <c r="A125"/>
      <c r="B125"/>
    </row>
    <row r="126" spans="1:2" ht="15" customHeight="1">
      <c r="A126"/>
      <c r="B126"/>
    </row>
    <row r="127" spans="1:2" ht="15" customHeight="1">
      <c r="A127"/>
      <c r="B127"/>
    </row>
    <row r="128" spans="1:2" ht="15" customHeight="1">
      <c r="A128"/>
      <c r="B128"/>
    </row>
    <row r="129" spans="1:2" ht="15" customHeight="1">
      <c r="A129"/>
      <c r="B129"/>
    </row>
    <row r="130" spans="1:2" ht="15" customHeight="1">
      <c r="A130"/>
      <c r="B130"/>
    </row>
    <row r="131" spans="1:2" ht="15" customHeight="1">
      <c r="A131"/>
      <c r="B131"/>
    </row>
    <row r="132" spans="1:2" ht="15" customHeight="1">
      <c r="A132"/>
      <c r="B132"/>
    </row>
    <row r="133" spans="1:2" ht="15" customHeight="1">
      <c r="A133"/>
      <c r="B133"/>
    </row>
    <row r="134" spans="1:2" ht="15" customHeight="1">
      <c r="A134"/>
      <c r="B134"/>
    </row>
    <row r="135" spans="1:2" ht="15" customHeight="1">
      <c r="A135"/>
      <c r="B135"/>
    </row>
    <row r="136" spans="1:2" ht="15" customHeight="1">
      <c r="A136"/>
      <c r="B136"/>
    </row>
    <row r="137" spans="1:2" ht="15" customHeight="1">
      <c r="A137"/>
      <c r="B137"/>
    </row>
    <row r="138" spans="1:2" ht="15" customHeight="1">
      <c r="A138"/>
      <c r="B138"/>
    </row>
    <row r="139" spans="1:2" ht="15" customHeight="1">
      <c r="A139"/>
      <c r="B139"/>
    </row>
    <row r="140" spans="1:2" ht="15" customHeight="1">
      <c r="A140"/>
      <c r="B140"/>
    </row>
    <row r="141" spans="1:2" ht="15" customHeight="1">
      <c r="A141"/>
      <c r="B141"/>
    </row>
    <row r="142" spans="1:2" ht="15" customHeight="1">
      <c r="A142"/>
      <c r="B142"/>
    </row>
    <row r="143" spans="1:2" ht="15" customHeight="1">
      <c r="A143"/>
      <c r="B143"/>
    </row>
    <row r="144" spans="1:2" ht="15" customHeight="1">
      <c r="A144"/>
      <c r="B144"/>
    </row>
    <row r="145" spans="1:2" ht="15" customHeight="1">
      <c r="A145"/>
      <c r="B145"/>
    </row>
    <row r="146" spans="1:2" ht="15" customHeight="1">
      <c r="A146"/>
      <c r="B146"/>
    </row>
    <row r="147" spans="1:2" ht="15" customHeight="1">
      <c r="A147"/>
      <c r="B147"/>
    </row>
    <row r="148" spans="1:2" ht="15" customHeight="1">
      <c r="A148"/>
      <c r="B148"/>
    </row>
    <row r="149" spans="1:2" ht="15" customHeight="1">
      <c r="A149"/>
      <c r="B149"/>
    </row>
    <row r="150" spans="1:2" ht="15" customHeight="1">
      <c r="A150"/>
      <c r="B150"/>
    </row>
    <row r="151" spans="1:2" ht="15" customHeight="1">
      <c r="A151"/>
      <c r="B151"/>
    </row>
    <row r="152" spans="1:2" ht="15" customHeight="1">
      <c r="A152"/>
      <c r="B152"/>
    </row>
    <row r="153" spans="1:2" ht="15" customHeight="1">
      <c r="A153"/>
      <c r="B153"/>
    </row>
    <row r="154" spans="1:2" ht="15" customHeight="1">
      <c r="A154"/>
      <c r="B154"/>
    </row>
    <row r="155" spans="1:2" ht="15" customHeight="1">
      <c r="A155"/>
      <c r="B155"/>
    </row>
    <row r="156" spans="1:2" ht="15" customHeight="1">
      <c r="A156"/>
      <c r="B156"/>
    </row>
    <row r="157" spans="1:2" ht="15" customHeight="1">
      <c r="A157"/>
      <c r="B157"/>
    </row>
    <row r="158" spans="1:2" ht="15" customHeight="1">
      <c r="A158"/>
      <c r="B158"/>
    </row>
    <row r="159" spans="1:2" ht="15" customHeight="1">
      <c r="A159"/>
      <c r="B159"/>
    </row>
    <row r="160" spans="1:2" ht="15" customHeight="1">
      <c r="A160"/>
      <c r="B160"/>
    </row>
    <row r="161" spans="1:2" ht="15" customHeight="1">
      <c r="A161"/>
      <c r="B161"/>
    </row>
    <row r="162" spans="1:2" ht="15" customHeight="1">
      <c r="A162"/>
      <c r="B162"/>
    </row>
    <row r="163" spans="1:2" ht="15" customHeight="1">
      <c r="A163"/>
      <c r="B163"/>
    </row>
    <row r="164" spans="1:2" ht="15" customHeight="1">
      <c r="A164"/>
      <c r="B164"/>
    </row>
    <row r="165" spans="1:2" ht="15" customHeight="1">
      <c r="A165"/>
      <c r="B165"/>
    </row>
    <row r="166" spans="1:2" ht="15" customHeight="1">
      <c r="A166"/>
      <c r="B166"/>
    </row>
    <row r="167" spans="1:2" ht="15" customHeight="1">
      <c r="A167"/>
      <c r="B167"/>
    </row>
    <row r="168" spans="1:2" ht="15" customHeight="1">
      <c r="A168"/>
      <c r="B168"/>
    </row>
    <row r="169" spans="1:2" ht="15" customHeight="1">
      <c r="A169"/>
      <c r="B169"/>
    </row>
    <row r="170" spans="1:2" ht="15" customHeight="1">
      <c r="A170"/>
      <c r="B170"/>
    </row>
    <row r="171" spans="1:2" ht="15" customHeight="1">
      <c r="A171"/>
      <c r="B171"/>
    </row>
    <row r="172" spans="1:2" ht="15" customHeight="1">
      <c r="A172"/>
      <c r="B172"/>
    </row>
    <row r="173" spans="1:2" ht="15" customHeight="1">
      <c r="A173"/>
      <c r="B173"/>
    </row>
    <row r="174" spans="1:2" ht="15" customHeight="1">
      <c r="A174"/>
      <c r="B174"/>
    </row>
    <row r="175" spans="1:2" ht="15" customHeight="1">
      <c r="A175"/>
      <c r="B175"/>
    </row>
    <row r="176" spans="1:2" ht="15" customHeight="1">
      <c r="A176"/>
      <c r="B176"/>
    </row>
    <row r="177" spans="1:2" ht="15" customHeight="1">
      <c r="A177"/>
      <c r="B177"/>
    </row>
    <row r="178" spans="1:2" ht="15" customHeight="1">
      <c r="A178"/>
      <c r="B178"/>
    </row>
    <row r="179" spans="1:2" ht="15" customHeight="1">
      <c r="A179"/>
      <c r="B179"/>
    </row>
    <row r="180" spans="1:2" ht="15" customHeight="1">
      <c r="A180"/>
      <c r="B180"/>
    </row>
    <row r="181" spans="1:2" ht="15" customHeight="1">
      <c r="A181"/>
      <c r="B181"/>
    </row>
    <row r="182" spans="1:2" ht="15" customHeight="1">
      <c r="A182"/>
      <c r="B182"/>
    </row>
    <row r="183" spans="1:2" ht="15" customHeight="1">
      <c r="A183"/>
      <c r="B183"/>
    </row>
    <row r="184" spans="1:2" ht="15" customHeight="1">
      <c r="A184"/>
      <c r="B184"/>
    </row>
    <row r="185" spans="1:2" ht="15" customHeight="1">
      <c r="A185"/>
      <c r="B185"/>
    </row>
    <row r="186" spans="1:2" ht="15" customHeight="1">
      <c r="A186"/>
      <c r="B186"/>
    </row>
    <row r="187" spans="1:2" ht="15" customHeight="1">
      <c r="A187"/>
      <c r="B187"/>
    </row>
    <row r="188" spans="1:2" ht="15" customHeight="1">
      <c r="A188"/>
      <c r="B188"/>
    </row>
    <row r="189" spans="1:2" ht="15" customHeight="1">
      <c r="A189"/>
      <c r="B189"/>
    </row>
    <row r="190" spans="1:2" ht="15" customHeight="1">
      <c r="A190"/>
      <c r="B190"/>
    </row>
    <row r="191" spans="1:2" ht="15" customHeight="1">
      <c r="A191"/>
      <c r="B191"/>
    </row>
    <row r="192" spans="1:2" ht="15" customHeight="1">
      <c r="A192"/>
      <c r="B192"/>
    </row>
    <row r="193" spans="1:2" ht="15" customHeight="1">
      <c r="A193"/>
      <c r="B193"/>
    </row>
    <row r="194" spans="1:2" ht="15" customHeight="1">
      <c r="A194"/>
      <c r="B194"/>
    </row>
    <row r="195" spans="1:2" ht="15" customHeight="1">
      <c r="A195"/>
      <c r="B195"/>
    </row>
    <row r="196" spans="1:2" ht="15" customHeight="1">
      <c r="A196"/>
      <c r="B196"/>
    </row>
    <row r="197" spans="1:2" ht="15" customHeight="1">
      <c r="A197"/>
      <c r="B197"/>
    </row>
    <row r="198" spans="1:2" ht="15" customHeight="1">
      <c r="A198"/>
      <c r="B198"/>
    </row>
    <row r="199" spans="1:2" ht="15" customHeight="1">
      <c r="A199"/>
      <c r="B199"/>
    </row>
    <row r="200" spans="1:2" ht="15" customHeight="1">
      <c r="A200"/>
      <c r="B200"/>
    </row>
    <row r="201" spans="1:2" ht="15" customHeight="1">
      <c r="A201"/>
      <c r="B201"/>
    </row>
    <row r="202" spans="1:2" ht="15" customHeight="1">
      <c r="A202"/>
      <c r="B202"/>
    </row>
    <row r="203" spans="1:2" ht="15" customHeight="1">
      <c r="A203"/>
      <c r="B203"/>
    </row>
    <row r="204" spans="1:2" ht="15" customHeight="1">
      <c r="A204"/>
      <c r="B204"/>
    </row>
    <row r="205" spans="1:2" ht="15" customHeight="1">
      <c r="A205"/>
      <c r="B205"/>
    </row>
    <row r="206" spans="1:2" ht="15" customHeight="1">
      <c r="A206"/>
      <c r="B206"/>
    </row>
    <row r="207" spans="1:2" ht="15" customHeight="1">
      <c r="A207"/>
      <c r="B207"/>
    </row>
    <row r="208" spans="1:2" ht="15" customHeight="1">
      <c r="A208"/>
      <c r="B208"/>
    </row>
    <row r="209" spans="1:2" ht="15" customHeight="1">
      <c r="A209"/>
      <c r="B209"/>
    </row>
    <row r="210" spans="1:2" ht="15" customHeight="1">
      <c r="A210"/>
      <c r="B210"/>
    </row>
    <row r="211" spans="1:2" ht="15" customHeight="1">
      <c r="A211"/>
      <c r="B211"/>
    </row>
    <row r="212" spans="1:2" ht="15" customHeight="1">
      <c r="A212"/>
      <c r="B212"/>
    </row>
    <row r="213" spans="1:2" ht="15" customHeight="1">
      <c r="A213"/>
      <c r="B213"/>
    </row>
    <row r="214" spans="1:2" ht="15" customHeight="1">
      <c r="A214"/>
      <c r="B214"/>
    </row>
    <row r="215" spans="1:2" ht="15" customHeight="1">
      <c r="A215"/>
      <c r="B215"/>
    </row>
    <row r="216" spans="1:2" ht="15" customHeight="1">
      <c r="A216"/>
      <c r="B216"/>
    </row>
    <row r="217" spans="1:2" ht="15" customHeight="1">
      <c r="A217"/>
      <c r="B217"/>
    </row>
    <row r="218" spans="1:2" ht="15" customHeight="1">
      <c r="A218"/>
      <c r="B218"/>
    </row>
    <row r="219" spans="1:2" ht="15" customHeight="1">
      <c r="A219"/>
      <c r="B219"/>
    </row>
    <row r="220" spans="1:2" ht="15" customHeight="1">
      <c r="A220"/>
      <c r="B220"/>
    </row>
    <row r="221" spans="1:2" ht="15" customHeight="1">
      <c r="A221"/>
      <c r="B221"/>
    </row>
    <row r="222" spans="1:2" ht="15" customHeight="1">
      <c r="A222"/>
      <c r="B222"/>
    </row>
    <row r="223" spans="1:2" ht="15" customHeight="1">
      <c r="A223"/>
      <c r="B223"/>
    </row>
    <row r="224" spans="1:2" ht="15" customHeight="1">
      <c r="A224"/>
      <c r="B224"/>
    </row>
    <row r="225" spans="1:2" ht="15" customHeight="1">
      <c r="A225"/>
      <c r="B225"/>
    </row>
    <row r="226" spans="1:2" ht="15" customHeight="1">
      <c r="A226"/>
      <c r="B226"/>
    </row>
    <row r="227" spans="1:2" ht="15" customHeight="1">
      <c r="A227"/>
      <c r="B227"/>
    </row>
    <row r="228" spans="1:2" ht="15" customHeight="1">
      <c r="A228"/>
      <c r="B228"/>
    </row>
    <row r="229" spans="1:2" ht="15" customHeight="1">
      <c r="A229"/>
      <c r="B229"/>
    </row>
    <row r="230" spans="1:2" ht="15" customHeight="1">
      <c r="A230"/>
      <c r="B230"/>
    </row>
    <row r="231" spans="1:2" ht="15" customHeight="1">
      <c r="A231"/>
      <c r="B231"/>
    </row>
    <row r="232" spans="1:2" ht="15" customHeight="1">
      <c r="A232"/>
      <c r="B232"/>
    </row>
    <row r="233" spans="1:2" ht="15" customHeight="1">
      <c r="A233"/>
      <c r="B233"/>
    </row>
    <row r="234" spans="1:2" ht="15" customHeight="1">
      <c r="B234" s="11"/>
    </row>
    <row r="235" spans="1:2" ht="15" customHeight="1">
      <c r="B235" s="11"/>
    </row>
    <row r="236" spans="1:2" ht="15" customHeight="1">
      <c r="B236" s="11"/>
    </row>
    <row r="237" spans="1:2" ht="15" customHeight="1">
      <c r="B237" s="11"/>
    </row>
    <row r="238" spans="1:2" ht="15" customHeight="1">
      <c r="B238" s="11"/>
    </row>
    <row r="239" spans="1:2" ht="15" customHeight="1">
      <c r="B239" s="11"/>
    </row>
    <row r="240" spans="1:2" ht="15" customHeight="1">
      <c r="B240" s="11"/>
    </row>
    <row r="241" spans="2:2" ht="15" customHeight="1">
      <c r="B241" s="11"/>
    </row>
    <row r="242" spans="2:2" ht="15" customHeight="1">
      <c r="B242" s="11"/>
    </row>
    <row r="243" spans="2:2" ht="15" customHeight="1">
      <c r="B243" s="11"/>
    </row>
    <row r="244" spans="2:2" ht="15" customHeight="1">
      <c r="B244" s="11"/>
    </row>
    <row r="245" spans="2:2" ht="15" customHeight="1">
      <c r="B245" s="11"/>
    </row>
    <row r="246" spans="2:2" ht="15" customHeight="1">
      <c r="B246" s="11"/>
    </row>
    <row r="247" spans="2:2" ht="15" customHeight="1">
      <c r="B247" s="11"/>
    </row>
    <row r="248" spans="2:2" ht="15" customHeight="1">
      <c r="B248" s="11"/>
    </row>
    <row r="249" spans="2:2" ht="15" customHeight="1">
      <c r="B249" s="11"/>
    </row>
    <row r="250" spans="2:2" ht="15" customHeight="1">
      <c r="B250" s="11"/>
    </row>
    <row r="251" spans="2:2" ht="15" customHeight="1">
      <c r="B251" s="11"/>
    </row>
    <row r="252" spans="2:2" ht="15" customHeight="1">
      <c r="B252" s="11"/>
    </row>
    <row r="253" spans="2:2" ht="15" customHeight="1">
      <c r="B253" s="11"/>
    </row>
    <row r="254" spans="2:2" ht="15" customHeight="1">
      <c r="B254" s="11"/>
    </row>
    <row r="255" spans="2:2" ht="15" customHeight="1">
      <c r="B255" s="11"/>
    </row>
    <row r="256" spans="2:2" ht="15" customHeight="1">
      <c r="B256" s="11"/>
    </row>
    <row r="257" spans="2:2" ht="15" customHeight="1">
      <c r="B257" s="11"/>
    </row>
    <row r="258" spans="2:2" ht="15" customHeight="1">
      <c r="B258" s="11"/>
    </row>
    <row r="259" spans="2:2" ht="15" customHeight="1">
      <c r="B259" s="11"/>
    </row>
    <row r="260" spans="2:2" ht="15" customHeight="1">
      <c r="B260" s="11"/>
    </row>
    <row r="261" spans="2:2" ht="15" customHeight="1">
      <c r="B261" s="11"/>
    </row>
    <row r="262" spans="2:2" ht="15" customHeight="1">
      <c r="B262" s="11"/>
    </row>
    <row r="263" spans="2:2" ht="15" customHeight="1">
      <c r="B263" s="11"/>
    </row>
    <row r="264" spans="2:2" ht="15" customHeight="1">
      <c r="B264" s="11"/>
    </row>
    <row r="265" spans="2:2" ht="15" customHeight="1">
      <c r="B265" s="11"/>
    </row>
    <row r="266" spans="2:2" ht="15" customHeight="1">
      <c r="B266" s="11"/>
    </row>
    <row r="267" spans="2:2" ht="15" customHeight="1">
      <c r="B267" s="11"/>
    </row>
    <row r="268" spans="2:2" ht="15" customHeight="1">
      <c r="B268" s="11"/>
    </row>
    <row r="269" spans="2:2" ht="15" customHeight="1">
      <c r="B269" s="11"/>
    </row>
    <row r="270" spans="2:2" ht="15" customHeight="1">
      <c r="B270" s="11"/>
    </row>
    <row r="271" spans="2:2" ht="15" customHeight="1">
      <c r="B271" s="11"/>
    </row>
    <row r="272" spans="2:2" ht="15" customHeight="1">
      <c r="B272" s="11"/>
    </row>
    <row r="273" spans="2:2" ht="15" customHeight="1">
      <c r="B273" s="11"/>
    </row>
    <row r="274" spans="2:2" ht="15" customHeight="1">
      <c r="B274" s="11"/>
    </row>
    <row r="275" spans="2:2" ht="15" customHeight="1">
      <c r="B275" s="11"/>
    </row>
    <row r="276" spans="2:2" ht="15" customHeight="1">
      <c r="B276" s="11"/>
    </row>
    <row r="277" spans="2:2" ht="15" customHeight="1">
      <c r="B277" s="11"/>
    </row>
    <row r="278" spans="2:2" ht="15" customHeight="1">
      <c r="B278" s="11"/>
    </row>
    <row r="279" spans="2:2" ht="15" customHeight="1">
      <c r="B279" s="11"/>
    </row>
    <row r="280" spans="2:2" ht="15" customHeight="1">
      <c r="B280" s="11"/>
    </row>
    <row r="281" spans="2:2" ht="15" customHeight="1">
      <c r="B281" s="11"/>
    </row>
    <row r="282" spans="2:2" ht="15" customHeight="1">
      <c r="B282" s="11"/>
    </row>
    <row r="283" spans="2:2" ht="15" customHeight="1">
      <c r="B283" s="11"/>
    </row>
    <row r="284" spans="2:2" ht="15" customHeight="1">
      <c r="B284" s="11"/>
    </row>
    <row r="285" spans="2:2" ht="15" customHeight="1">
      <c r="B285" s="11"/>
    </row>
    <row r="286" spans="2:2" ht="15" customHeight="1">
      <c r="B286" s="11"/>
    </row>
    <row r="287" spans="2:2" ht="15" customHeight="1">
      <c r="B287" s="11"/>
    </row>
    <row r="288" spans="2:2" ht="15" customHeight="1">
      <c r="B288" s="11"/>
    </row>
    <row r="289" spans="2:2" ht="15" customHeight="1">
      <c r="B289" s="11"/>
    </row>
    <row r="290" spans="2:2" ht="15" customHeight="1">
      <c r="B290" s="11"/>
    </row>
    <row r="291" spans="2:2" ht="15" customHeight="1">
      <c r="B291" s="11"/>
    </row>
    <row r="292" spans="2:2" ht="15" customHeight="1">
      <c r="B292" s="11"/>
    </row>
    <row r="293" spans="2:2" ht="15" customHeight="1">
      <c r="B293" s="11"/>
    </row>
    <row r="294" spans="2:2" ht="15" customHeight="1">
      <c r="B294" s="11"/>
    </row>
    <row r="295" spans="2:2" ht="15" customHeight="1">
      <c r="B295" s="11"/>
    </row>
    <row r="296" spans="2:2" ht="15" customHeight="1">
      <c r="B296" s="11"/>
    </row>
    <row r="297" spans="2:2" ht="15" customHeight="1">
      <c r="B297" s="11"/>
    </row>
    <row r="298" spans="2:2" ht="15" customHeight="1">
      <c r="B298" s="11"/>
    </row>
    <row r="299" spans="2:2" ht="15" customHeight="1">
      <c r="B299" s="11"/>
    </row>
    <row r="300" spans="2:2" ht="15" customHeight="1">
      <c r="B300" s="11"/>
    </row>
    <row r="301" spans="2:2" ht="15" customHeight="1">
      <c r="B301" s="11"/>
    </row>
    <row r="302" spans="2:2" ht="15" customHeight="1">
      <c r="B302" s="11"/>
    </row>
    <row r="303" spans="2:2" ht="15" customHeight="1">
      <c r="B303" s="11"/>
    </row>
    <row r="304" spans="2:2" ht="15" customHeight="1">
      <c r="B304" s="11"/>
    </row>
    <row r="305" spans="2:2" ht="15" customHeight="1">
      <c r="B305" s="11"/>
    </row>
    <row r="306" spans="2:2" ht="15" customHeight="1">
      <c r="B306" s="11"/>
    </row>
    <row r="307" spans="2:2" ht="15" customHeight="1">
      <c r="B307" s="11"/>
    </row>
    <row r="308" spans="2:2" ht="15" customHeight="1">
      <c r="B308" s="11"/>
    </row>
    <row r="309" spans="2:2" ht="15" customHeight="1">
      <c r="B309" s="11"/>
    </row>
    <row r="310" spans="2:2" ht="15" customHeight="1">
      <c r="B310" s="11"/>
    </row>
    <row r="311" spans="2:2" ht="15" customHeight="1">
      <c r="B311" s="11"/>
    </row>
    <row r="312" spans="2:2" ht="15" customHeight="1">
      <c r="B312" s="11"/>
    </row>
    <row r="313" spans="2:2" ht="15" customHeight="1">
      <c r="B313" s="11"/>
    </row>
    <row r="314" spans="2:2" ht="15" customHeight="1">
      <c r="B314" s="11"/>
    </row>
    <row r="315" spans="2:2" ht="15" customHeight="1">
      <c r="B315" s="11"/>
    </row>
    <row r="316" spans="2:2" ht="15" customHeight="1">
      <c r="B316" s="11"/>
    </row>
    <row r="317" spans="2:2" ht="15" customHeight="1">
      <c r="B317" s="11"/>
    </row>
    <row r="318" spans="2:2" ht="15" customHeight="1">
      <c r="B318" s="11"/>
    </row>
    <row r="319" spans="2:2" ht="15" customHeight="1">
      <c r="B319" s="11"/>
    </row>
    <row r="320" spans="2:2" ht="15" customHeight="1">
      <c r="B320" s="11"/>
    </row>
    <row r="321" spans="2:2" ht="15" customHeight="1">
      <c r="B321" s="11"/>
    </row>
    <row r="322" spans="2:2" ht="15" customHeight="1">
      <c r="B322" s="11"/>
    </row>
    <row r="323" spans="2:2" ht="15" customHeight="1">
      <c r="B323" s="11"/>
    </row>
    <row r="324" spans="2:2" ht="15" customHeight="1">
      <c r="B324" s="11"/>
    </row>
    <row r="325" spans="2:2" ht="15" customHeight="1">
      <c r="B325" s="11"/>
    </row>
    <row r="326" spans="2:2" ht="15" customHeight="1">
      <c r="B326" s="11"/>
    </row>
    <row r="327" spans="2:2" ht="15" customHeight="1">
      <c r="B327" s="11"/>
    </row>
    <row r="328" spans="2:2" ht="15" customHeight="1">
      <c r="B328" s="11"/>
    </row>
    <row r="329" spans="2:2" ht="15" customHeight="1">
      <c r="B329" s="11"/>
    </row>
    <row r="330" spans="2:2" ht="15" customHeight="1">
      <c r="B330" s="11"/>
    </row>
    <row r="331" spans="2:2" ht="15" customHeight="1">
      <c r="B331" s="11"/>
    </row>
    <row r="332" spans="2:2" ht="15" customHeight="1">
      <c r="B332" s="11"/>
    </row>
    <row r="333" spans="2:2" ht="15" customHeight="1">
      <c r="B333" s="11"/>
    </row>
    <row r="334" spans="2:2" ht="15" customHeight="1">
      <c r="B334" s="11"/>
    </row>
    <row r="335" spans="2:2" ht="15" customHeight="1">
      <c r="B335" s="11"/>
    </row>
    <row r="336" spans="2:2" ht="15" customHeight="1">
      <c r="B336" s="11"/>
    </row>
    <row r="337" spans="2:2" ht="15" customHeight="1">
      <c r="B337" s="11"/>
    </row>
    <row r="338" spans="2:2" ht="15" customHeight="1">
      <c r="B338" s="11"/>
    </row>
    <row r="339" spans="2:2" ht="15" customHeight="1">
      <c r="B339" s="11"/>
    </row>
    <row r="340" spans="2:2" ht="15" customHeight="1">
      <c r="B340" s="11"/>
    </row>
    <row r="341" spans="2:2" ht="15" customHeight="1">
      <c r="B341" s="11"/>
    </row>
    <row r="342" spans="2:2" ht="15" customHeight="1">
      <c r="B342" s="11"/>
    </row>
    <row r="343" spans="2:2" ht="15" customHeight="1">
      <c r="B343" s="11"/>
    </row>
    <row r="344" spans="2:2" ht="15" customHeight="1">
      <c r="B344" s="11"/>
    </row>
    <row r="345" spans="2:2" ht="15" customHeight="1">
      <c r="B345" s="11"/>
    </row>
    <row r="346" spans="2:2" ht="15" customHeight="1">
      <c r="B346" s="11"/>
    </row>
    <row r="347" spans="2:2" ht="15" customHeight="1">
      <c r="B347" s="11"/>
    </row>
    <row r="348" spans="2:2" ht="15" customHeight="1">
      <c r="B348" s="11"/>
    </row>
    <row r="349" spans="2:2" ht="15" customHeight="1">
      <c r="B349" s="11"/>
    </row>
    <row r="350" spans="2:2" ht="15" customHeight="1">
      <c r="B350" s="11"/>
    </row>
    <row r="351" spans="2:2" ht="15" customHeight="1">
      <c r="B351" s="11"/>
    </row>
    <row r="352" spans="2:2" ht="15" customHeight="1">
      <c r="B352" s="11"/>
    </row>
    <row r="353" spans="2:2" ht="15" customHeight="1">
      <c r="B353" s="11"/>
    </row>
    <row r="354" spans="2:2" ht="15" customHeight="1">
      <c r="B354" s="11"/>
    </row>
    <row r="355" spans="2:2" ht="15" customHeight="1">
      <c r="B355" s="11"/>
    </row>
    <row r="356" spans="2:2" ht="15" customHeight="1">
      <c r="B356" s="11"/>
    </row>
    <row r="357" spans="2:2" ht="15" customHeight="1">
      <c r="B357" s="11"/>
    </row>
    <row r="358" spans="2:2" ht="15" customHeight="1">
      <c r="B358" s="11"/>
    </row>
    <row r="359" spans="2:2" ht="15" customHeight="1">
      <c r="B359" s="11"/>
    </row>
    <row r="360" spans="2:2" ht="15" customHeight="1">
      <c r="B360" s="11"/>
    </row>
    <row r="361" spans="2:2" ht="15" customHeight="1">
      <c r="B361" s="11"/>
    </row>
    <row r="362" spans="2:2" ht="15" customHeight="1">
      <c r="B362" s="11"/>
    </row>
    <row r="363" spans="2:2" ht="15" customHeight="1">
      <c r="B363" s="11"/>
    </row>
    <row r="364" spans="2:2" ht="15" customHeight="1">
      <c r="B364" s="11"/>
    </row>
    <row r="365" spans="2:2" ht="15" customHeight="1">
      <c r="B365" s="11"/>
    </row>
    <row r="366" spans="2:2" ht="15" customHeight="1">
      <c r="B366" s="11"/>
    </row>
    <row r="367" spans="2:2" ht="15" customHeight="1">
      <c r="B367" s="11"/>
    </row>
    <row r="368" spans="2:2" ht="15" customHeight="1">
      <c r="B368" s="11"/>
    </row>
    <row r="369" spans="2:2" ht="15" customHeight="1">
      <c r="B369" s="11"/>
    </row>
    <row r="370" spans="2:2" ht="15" customHeight="1">
      <c r="B370" s="11"/>
    </row>
    <row r="371" spans="2:2" ht="15" customHeight="1">
      <c r="B371" s="11"/>
    </row>
    <row r="372" spans="2:2" ht="15" customHeight="1">
      <c r="B372" s="11"/>
    </row>
    <row r="373" spans="2:2" ht="15" customHeight="1">
      <c r="B373" s="11"/>
    </row>
    <row r="374" spans="2:2" ht="15" customHeight="1">
      <c r="B374" s="11"/>
    </row>
    <row r="375" spans="2:2" ht="15" customHeight="1">
      <c r="B375" s="11"/>
    </row>
    <row r="376" spans="2:2" ht="15" customHeight="1">
      <c r="B376" s="11"/>
    </row>
    <row r="377" spans="2:2" ht="15" customHeight="1">
      <c r="B377" s="11"/>
    </row>
    <row r="378" spans="2:2" ht="15" customHeight="1">
      <c r="B378" s="11"/>
    </row>
    <row r="379" spans="2:2" ht="15" customHeight="1">
      <c r="B379" s="11"/>
    </row>
    <row r="380" spans="2:2" ht="15" customHeight="1">
      <c r="B380" s="11"/>
    </row>
    <row r="381" spans="2:2" ht="15" customHeight="1">
      <c r="B381" s="11"/>
    </row>
    <row r="382" spans="2:2" ht="15" customHeight="1">
      <c r="B382" s="11"/>
    </row>
    <row r="383" spans="2:2" ht="15" customHeight="1">
      <c r="B383" s="11"/>
    </row>
    <row r="384" spans="2:2" ht="15" customHeight="1">
      <c r="B384" s="11"/>
    </row>
    <row r="385" spans="2:2" ht="15" customHeight="1">
      <c r="B385" s="11"/>
    </row>
    <row r="386" spans="2:2" ht="15" customHeight="1">
      <c r="B386" s="11"/>
    </row>
    <row r="387" spans="2:2" ht="15" customHeight="1">
      <c r="B387" s="11"/>
    </row>
    <row r="388" spans="2:2" ht="15" customHeight="1">
      <c r="B388" s="11"/>
    </row>
    <row r="389" spans="2:2" ht="15" customHeight="1">
      <c r="B389" s="11"/>
    </row>
    <row r="390" spans="2:2" ht="15" customHeight="1">
      <c r="B390" s="11"/>
    </row>
    <row r="391" spans="2:2" ht="15" customHeight="1">
      <c r="B391" s="11"/>
    </row>
    <row r="392" spans="2:2" ht="15" customHeight="1">
      <c r="B392" s="11"/>
    </row>
    <row r="393" spans="2:2" ht="15" customHeight="1">
      <c r="B393" s="11"/>
    </row>
    <row r="394" spans="2:2" ht="15" customHeight="1">
      <c r="B394" s="11"/>
    </row>
    <row r="395" spans="2:2" ht="15" customHeight="1">
      <c r="B395" s="11"/>
    </row>
    <row r="396" spans="2:2" ht="15" customHeight="1">
      <c r="B396" s="11"/>
    </row>
    <row r="397" spans="2:2" ht="15" customHeight="1">
      <c r="B397" s="11"/>
    </row>
    <row r="398" spans="2:2" ht="15" customHeight="1">
      <c r="B398" s="11"/>
    </row>
    <row r="399" spans="2:2" ht="15" customHeight="1">
      <c r="B399" s="11"/>
    </row>
    <row r="400" spans="2:2" ht="15" customHeight="1">
      <c r="B400" s="11"/>
    </row>
    <row r="401" spans="2:2" ht="15" customHeight="1">
      <c r="B401" s="11"/>
    </row>
    <row r="402" spans="2:2" ht="15" customHeight="1">
      <c r="B402" s="11"/>
    </row>
    <row r="403" spans="2:2" ht="15" customHeight="1">
      <c r="B403" s="11"/>
    </row>
    <row r="404" spans="2:2" ht="15" customHeight="1">
      <c r="B404" s="11"/>
    </row>
    <row r="405" spans="2:2" ht="15" customHeight="1">
      <c r="B405" s="11"/>
    </row>
    <row r="406" spans="2:2" ht="15" customHeight="1">
      <c r="B406" s="11"/>
    </row>
    <row r="407" spans="2:2" ht="15" customHeight="1">
      <c r="B407" s="11"/>
    </row>
    <row r="408" spans="2:2" ht="15" customHeight="1">
      <c r="B408" s="11"/>
    </row>
    <row r="409" spans="2:2" ht="15" customHeight="1">
      <c r="B409" s="11"/>
    </row>
    <row r="410" spans="2:2" ht="15" customHeight="1">
      <c r="B410" s="11"/>
    </row>
    <row r="411" spans="2:2" ht="15" customHeight="1">
      <c r="B411" s="11"/>
    </row>
    <row r="412" spans="2:2" ht="15" customHeight="1">
      <c r="B412" s="11"/>
    </row>
    <row r="413" spans="2:2" ht="15" customHeight="1">
      <c r="B413" s="11"/>
    </row>
    <row r="414" spans="2:2" ht="15" customHeight="1">
      <c r="B414" s="11"/>
    </row>
    <row r="415" spans="2:2" ht="15" customHeight="1">
      <c r="B415" s="11"/>
    </row>
    <row r="416" spans="2:2" ht="15" customHeight="1">
      <c r="B416" s="11"/>
    </row>
    <row r="417" spans="2:2" ht="15" customHeight="1">
      <c r="B417" s="11"/>
    </row>
    <row r="418" spans="2:2" ht="15" customHeight="1">
      <c r="B418" s="11"/>
    </row>
    <row r="419" spans="2:2" ht="15" customHeight="1">
      <c r="B419" s="11"/>
    </row>
    <row r="420" spans="2:2" ht="15" customHeight="1">
      <c r="B420" s="11"/>
    </row>
    <row r="421" spans="2:2" ht="15" customHeight="1">
      <c r="B421" s="11"/>
    </row>
    <row r="422" spans="2:2" ht="15" customHeight="1">
      <c r="B422" s="11"/>
    </row>
    <row r="423" spans="2:2" ht="15" customHeight="1">
      <c r="B423" s="11"/>
    </row>
    <row r="424" spans="2:2" ht="15" customHeight="1">
      <c r="B424" s="11"/>
    </row>
    <row r="425" spans="2:2" ht="15" customHeight="1">
      <c r="B425" s="11"/>
    </row>
    <row r="426" spans="2:2" ht="15" customHeight="1">
      <c r="B426" s="11"/>
    </row>
    <row r="427" spans="2:2" ht="15" customHeight="1">
      <c r="B427" s="11"/>
    </row>
    <row r="428" spans="2:2" ht="15" customHeight="1">
      <c r="B428" s="11"/>
    </row>
    <row r="429" spans="2:2" ht="15" customHeight="1">
      <c r="B429" s="11"/>
    </row>
    <row r="430" spans="2:2" ht="15" customHeight="1">
      <c r="B430" s="11"/>
    </row>
    <row r="431" spans="2:2" ht="15" customHeight="1">
      <c r="B431" s="11"/>
    </row>
    <row r="432" spans="2:2" ht="15" customHeight="1">
      <c r="B432" s="11"/>
    </row>
    <row r="433" spans="2:2" ht="15" customHeight="1">
      <c r="B433" s="11"/>
    </row>
    <row r="434" spans="2:2" ht="15" customHeight="1">
      <c r="B434" s="11"/>
    </row>
    <row r="435" spans="2:2" ht="15" customHeight="1">
      <c r="B435" s="11"/>
    </row>
    <row r="436" spans="2:2" ht="15" customHeight="1">
      <c r="B436" s="11"/>
    </row>
    <row r="437" spans="2:2" ht="15" customHeight="1">
      <c r="B437" s="11"/>
    </row>
    <row r="438" spans="2:2" ht="15" customHeight="1">
      <c r="B438" s="11"/>
    </row>
    <row r="439" spans="2:2" ht="15" customHeight="1">
      <c r="B439" s="11"/>
    </row>
    <row r="440" spans="2:2" ht="15" customHeight="1">
      <c r="B440" s="11"/>
    </row>
    <row r="441" spans="2:2" ht="15" customHeight="1">
      <c r="B441" s="11"/>
    </row>
    <row r="442" spans="2:2" ht="15" customHeight="1">
      <c r="B442" s="11"/>
    </row>
    <row r="443" spans="2:2" ht="15" customHeight="1">
      <c r="B443" s="11"/>
    </row>
    <row r="444" spans="2:2" ht="15" customHeight="1">
      <c r="B444" s="11"/>
    </row>
    <row r="445" spans="2:2" ht="15" customHeight="1">
      <c r="B445" s="11"/>
    </row>
    <row r="446" spans="2:2" ht="15" customHeight="1">
      <c r="B446" s="11"/>
    </row>
    <row r="447" spans="2:2" ht="15" customHeight="1">
      <c r="B447" s="11"/>
    </row>
    <row r="448" spans="2:2" ht="15" customHeight="1">
      <c r="B448" s="11"/>
    </row>
    <row r="449" spans="2:2" ht="15" customHeight="1">
      <c r="B449" s="11"/>
    </row>
    <row r="450" spans="2:2" ht="15" customHeight="1">
      <c r="B450" s="11"/>
    </row>
    <row r="451" spans="2:2" ht="15" customHeight="1">
      <c r="B451" s="11"/>
    </row>
    <row r="452" spans="2:2" ht="15" customHeight="1">
      <c r="B452" s="11"/>
    </row>
    <row r="453" spans="2:2" ht="15" customHeight="1">
      <c r="B453" s="11"/>
    </row>
    <row r="454" spans="2:2" ht="15" customHeight="1">
      <c r="B454" s="11"/>
    </row>
    <row r="455" spans="2:2" ht="15" customHeight="1">
      <c r="B455" s="11"/>
    </row>
    <row r="456" spans="2:2" ht="15" customHeight="1">
      <c r="B456" s="11"/>
    </row>
    <row r="457" spans="2:2" ht="15" customHeight="1">
      <c r="B457" s="11"/>
    </row>
    <row r="458" spans="2:2" ht="15" customHeight="1">
      <c r="B458" s="11"/>
    </row>
    <row r="459" spans="2:2" ht="15" customHeight="1">
      <c r="B459" s="11"/>
    </row>
    <row r="460" spans="2:2" ht="15" customHeight="1">
      <c r="B460" s="11"/>
    </row>
    <row r="461" spans="2:2" ht="15" customHeight="1">
      <c r="B461" s="11"/>
    </row>
    <row r="462" spans="2:2" ht="15" customHeight="1">
      <c r="B462" s="11"/>
    </row>
    <row r="463" spans="2:2" ht="15" customHeight="1">
      <c r="B463" s="11"/>
    </row>
    <row r="464" spans="2:2" ht="15" customHeight="1">
      <c r="B464" s="11"/>
    </row>
    <row r="465" spans="2:2" ht="15" customHeight="1">
      <c r="B465" s="11"/>
    </row>
    <row r="466" spans="2:2" ht="15" customHeight="1">
      <c r="B466" s="11"/>
    </row>
    <row r="467" spans="2:2" ht="15" customHeight="1">
      <c r="B467" s="11"/>
    </row>
    <row r="468" spans="2:2" ht="15" customHeight="1">
      <c r="B468" s="11"/>
    </row>
    <row r="469" spans="2:2" ht="15" customHeight="1">
      <c r="B469" s="11"/>
    </row>
    <row r="470" spans="2:2" ht="15" customHeight="1">
      <c r="B470" s="11"/>
    </row>
    <row r="471" spans="2:2" ht="15" customHeight="1">
      <c r="B471" s="11"/>
    </row>
    <row r="472" spans="2:2" ht="15" customHeight="1">
      <c r="B472" s="11"/>
    </row>
    <row r="473" spans="2:2" ht="15" customHeight="1">
      <c r="B473" s="11"/>
    </row>
    <row r="474" spans="2:2" ht="15" customHeight="1">
      <c r="B474" s="11"/>
    </row>
    <row r="475" spans="2:2" ht="15" customHeight="1">
      <c r="B475" s="11"/>
    </row>
    <row r="476" spans="2:2" ht="15" customHeight="1">
      <c r="B476" s="11"/>
    </row>
    <row r="477" spans="2:2" ht="15" customHeight="1">
      <c r="B477" s="11"/>
    </row>
    <row r="478" spans="2:2" ht="15" customHeight="1">
      <c r="B478" s="11"/>
    </row>
    <row r="479" spans="2:2" ht="15" customHeight="1">
      <c r="B479" s="11"/>
    </row>
    <row r="480" spans="2:2" ht="15" customHeight="1">
      <c r="B480" s="11"/>
    </row>
    <row r="481" spans="2:2" ht="15" customHeight="1">
      <c r="B481" s="11"/>
    </row>
    <row r="482" spans="2:2" ht="15" customHeight="1">
      <c r="B482" s="11"/>
    </row>
    <row r="483" spans="2:2" ht="15" customHeight="1">
      <c r="B483" s="11"/>
    </row>
    <row r="484" spans="2:2" ht="15" customHeight="1">
      <c r="B484" s="11"/>
    </row>
    <row r="485" spans="2:2" ht="15" customHeight="1">
      <c r="B485" s="11"/>
    </row>
    <row r="486" spans="2:2" ht="15" customHeight="1">
      <c r="B486" s="11"/>
    </row>
    <row r="487" spans="2:2" ht="15" customHeight="1">
      <c r="B487" s="11"/>
    </row>
    <row r="488" spans="2:2" ht="15" customHeight="1">
      <c r="B488" s="11"/>
    </row>
    <row r="489" spans="2:2" ht="15" customHeight="1">
      <c r="B489" s="11"/>
    </row>
    <row r="490" spans="2:2" ht="15" customHeight="1">
      <c r="B490" s="11"/>
    </row>
    <row r="491" spans="2:2" ht="15" customHeight="1">
      <c r="B491" s="11"/>
    </row>
    <row r="492" spans="2:2" ht="15" customHeight="1">
      <c r="B492" s="11"/>
    </row>
    <row r="493" spans="2:2" ht="15" customHeight="1">
      <c r="B493" s="11"/>
    </row>
    <row r="494" spans="2:2" ht="15" customHeight="1">
      <c r="B494" s="11"/>
    </row>
    <row r="495" spans="2:2" ht="15" customHeight="1">
      <c r="B495" s="11"/>
    </row>
    <row r="496" spans="2:2" ht="15" customHeight="1">
      <c r="B496" s="11"/>
    </row>
    <row r="497" spans="2:2" ht="15" customHeight="1">
      <c r="B497" s="11"/>
    </row>
    <row r="498" spans="2:2" ht="15" customHeight="1">
      <c r="B498" s="11"/>
    </row>
    <row r="499" spans="2:2" ht="15" customHeight="1">
      <c r="B499" s="11"/>
    </row>
    <row r="500" spans="2:2" ht="15" customHeight="1">
      <c r="B500" s="11"/>
    </row>
    <row r="501" spans="2:2" ht="15" customHeight="1">
      <c r="B501" s="11"/>
    </row>
    <row r="502" spans="2:2" ht="15" customHeight="1">
      <c r="B502" s="11"/>
    </row>
    <row r="503" spans="2:2" ht="15" customHeight="1">
      <c r="B503" s="11"/>
    </row>
    <row r="504" spans="2:2" ht="15" customHeight="1">
      <c r="B504" s="11"/>
    </row>
    <row r="505" spans="2:2" ht="15" customHeight="1">
      <c r="B505" s="11"/>
    </row>
    <row r="506" spans="2:2" ht="15" customHeight="1">
      <c r="B506" s="11"/>
    </row>
    <row r="507" spans="2:2" ht="15" customHeight="1">
      <c r="B507" s="11"/>
    </row>
    <row r="508" spans="2:2" ht="15" customHeight="1">
      <c r="B508" s="11"/>
    </row>
    <row r="509" spans="2:2" ht="15" customHeight="1">
      <c r="B509" s="11"/>
    </row>
    <row r="510" spans="2:2" ht="15" customHeight="1">
      <c r="B510" s="11"/>
    </row>
    <row r="511" spans="2:2" ht="15" customHeight="1">
      <c r="B511" s="11"/>
    </row>
    <row r="512" spans="2:2" ht="15" customHeight="1">
      <c r="B512" s="11"/>
    </row>
    <row r="513" spans="2:2" ht="15" customHeight="1">
      <c r="B513" s="11"/>
    </row>
    <row r="514" spans="2:2" ht="15" customHeight="1">
      <c r="B514" s="11"/>
    </row>
    <row r="515" spans="2:2" ht="15" customHeight="1">
      <c r="B515" s="11"/>
    </row>
    <row r="516" spans="2:2" ht="15" customHeight="1">
      <c r="B516" s="11"/>
    </row>
    <row r="517" spans="2:2" ht="15" customHeight="1">
      <c r="B517" s="11"/>
    </row>
    <row r="518" spans="2:2" ht="15" customHeight="1">
      <c r="B518" s="11"/>
    </row>
    <row r="519" spans="2:2" ht="15" customHeight="1">
      <c r="B519" s="11"/>
    </row>
    <row r="520" spans="2:2" ht="15" customHeight="1">
      <c r="B520" s="11"/>
    </row>
    <row r="521" spans="2:2" ht="15" customHeight="1">
      <c r="B521" s="11"/>
    </row>
    <row r="522" spans="2:2" ht="15" customHeight="1">
      <c r="B522" s="11"/>
    </row>
    <row r="523" spans="2:2" ht="15" customHeight="1">
      <c r="B523" s="11"/>
    </row>
    <row r="524" spans="2:2" ht="15" customHeight="1">
      <c r="B524" s="11"/>
    </row>
    <row r="525" spans="2:2" ht="15" customHeight="1">
      <c r="B525" s="11"/>
    </row>
    <row r="526" spans="2:2" ht="15" customHeight="1">
      <c r="B526" s="11"/>
    </row>
    <row r="527" spans="2:2" ht="15" customHeight="1">
      <c r="B527" s="11"/>
    </row>
    <row r="528" spans="2:2" ht="15" customHeight="1">
      <c r="B528" s="11"/>
    </row>
    <row r="529" spans="2:2" ht="15" customHeight="1">
      <c r="B529" s="11"/>
    </row>
    <row r="530" spans="2:2" ht="15" customHeight="1">
      <c r="B530" s="11"/>
    </row>
    <row r="531" spans="2:2" ht="15" customHeight="1">
      <c r="B531" s="11"/>
    </row>
    <row r="532" spans="2:2" ht="15" customHeight="1">
      <c r="B532" s="11"/>
    </row>
    <row r="533" spans="2:2" ht="15" customHeight="1">
      <c r="B533" s="11"/>
    </row>
    <row r="534" spans="2:2" ht="15" customHeight="1">
      <c r="B534" s="11"/>
    </row>
    <row r="535" spans="2:2" ht="15" customHeight="1">
      <c r="B535" s="11"/>
    </row>
    <row r="536" spans="2:2" ht="15" customHeight="1">
      <c r="B536" s="11"/>
    </row>
    <row r="537" spans="2:2" ht="15" customHeight="1">
      <c r="B537" s="11"/>
    </row>
    <row r="538" spans="2:2" ht="15" customHeight="1">
      <c r="B538" s="11"/>
    </row>
    <row r="539" spans="2:2" ht="15" customHeight="1">
      <c r="B539" s="11"/>
    </row>
    <row r="540" spans="2:2" ht="15" customHeight="1">
      <c r="B540" s="11"/>
    </row>
    <row r="541" spans="2:2" ht="15" customHeight="1">
      <c r="B541" s="11"/>
    </row>
    <row r="542" spans="2:2" ht="15" customHeight="1">
      <c r="B542" s="11"/>
    </row>
    <row r="543" spans="2:2" ht="15" customHeight="1">
      <c r="B543" s="11"/>
    </row>
    <row r="544" spans="2:2" ht="15" customHeight="1">
      <c r="B544" s="11"/>
    </row>
    <row r="545" spans="2:2" ht="15" customHeight="1">
      <c r="B545" s="11"/>
    </row>
    <row r="546" spans="2:2" ht="15" customHeight="1">
      <c r="B546" s="11"/>
    </row>
    <row r="547" spans="2:2" ht="15" customHeight="1">
      <c r="B547" s="11"/>
    </row>
    <row r="548" spans="2:2" ht="15" customHeight="1">
      <c r="B548" s="11"/>
    </row>
    <row r="549" spans="2:2" ht="15" customHeight="1">
      <c r="B549" s="11"/>
    </row>
    <row r="550" spans="2:2" ht="15" customHeight="1">
      <c r="B550" s="11"/>
    </row>
    <row r="551" spans="2:2" ht="15" customHeight="1">
      <c r="B551" s="11"/>
    </row>
    <row r="552" spans="2:2" ht="15" customHeight="1">
      <c r="B552" s="11"/>
    </row>
    <row r="553" spans="2:2" ht="15" customHeight="1">
      <c r="B553" s="11"/>
    </row>
    <row r="554" spans="2:2" ht="15" customHeight="1">
      <c r="B554" s="11"/>
    </row>
    <row r="555" spans="2:2" ht="15" customHeight="1">
      <c r="B555" s="11"/>
    </row>
    <row r="556" spans="2:2" ht="15" customHeight="1">
      <c r="B556" s="11"/>
    </row>
    <row r="557" spans="2:2" ht="15" customHeight="1">
      <c r="B557" s="11"/>
    </row>
    <row r="558" spans="2:2" ht="15" customHeight="1">
      <c r="B558" s="11"/>
    </row>
    <row r="559" spans="2:2" ht="15" customHeight="1">
      <c r="B559" s="11"/>
    </row>
    <row r="560" spans="2:2" ht="15" customHeight="1">
      <c r="B560" s="11"/>
    </row>
    <row r="561" spans="2:2" ht="15" customHeight="1">
      <c r="B561" s="11"/>
    </row>
    <row r="562" spans="2:2" ht="15" customHeight="1">
      <c r="B562" s="11"/>
    </row>
    <row r="563" spans="2:2" ht="15" customHeight="1">
      <c r="B563" s="11"/>
    </row>
    <row r="564" spans="2:2" ht="15" customHeight="1">
      <c r="B564" s="11"/>
    </row>
    <row r="565" spans="2:2" ht="15" customHeight="1">
      <c r="B565" s="11"/>
    </row>
    <row r="566" spans="2:2" ht="15" customHeight="1">
      <c r="B566" s="11"/>
    </row>
    <row r="567" spans="2:2" ht="15" customHeight="1">
      <c r="B567" s="11"/>
    </row>
    <row r="568" spans="2:2" ht="15" customHeight="1">
      <c r="B568" s="11"/>
    </row>
    <row r="569" spans="2:2" ht="15" customHeight="1">
      <c r="B569" s="11"/>
    </row>
    <row r="570" spans="2:2" ht="15" customHeight="1">
      <c r="B570" s="11"/>
    </row>
    <row r="571" spans="2:2" ht="15" customHeight="1">
      <c r="B571" s="11"/>
    </row>
    <row r="572" spans="2:2" ht="15" customHeight="1">
      <c r="B572" s="11"/>
    </row>
    <row r="573" spans="2:2" ht="15" customHeight="1">
      <c r="B573" s="11"/>
    </row>
    <row r="574" spans="2:2" ht="15" customHeight="1">
      <c r="B574" s="11"/>
    </row>
    <row r="575" spans="2:2" ht="15" customHeight="1">
      <c r="B575" s="11"/>
    </row>
    <row r="576" spans="2:2" ht="15" customHeight="1">
      <c r="B576" s="11"/>
    </row>
    <row r="577" spans="2:2" ht="15" customHeight="1">
      <c r="B577" s="11"/>
    </row>
    <row r="578" spans="2:2" ht="15" customHeight="1">
      <c r="B578" s="11"/>
    </row>
    <row r="579" spans="2:2" ht="15" customHeight="1">
      <c r="B579" s="11"/>
    </row>
    <row r="580" spans="2:2" ht="15" customHeight="1">
      <c r="B580" s="11"/>
    </row>
    <row r="581" spans="2:2" ht="15" customHeight="1">
      <c r="B581" s="11"/>
    </row>
    <row r="582" spans="2:2" ht="15" customHeight="1">
      <c r="B582" s="11"/>
    </row>
    <row r="583" spans="2:2" ht="15" customHeight="1">
      <c r="B583" s="11"/>
    </row>
    <row r="584" spans="2:2" ht="15" customHeight="1">
      <c r="B584" s="11"/>
    </row>
    <row r="585" spans="2:2" ht="15" customHeight="1">
      <c r="B585" s="11"/>
    </row>
    <row r="586" spans="2:2" ht="15" customHeight="1">
      <c r="B586" s="11"/>
    </row>
    <row r="587" spans="2:2" ht="15" customHeight="1">
      <c r="B587" s="11"/>
    </row>
    <row r="588" spans="2:2" ht="15" customHeight="1">
      <c r="B588" s="11"/>
    </row>
    <row r="589" spans="2:2" ht="15" customHeight="1">
      <c r="B589" s="11"/>
    </row>
    <row r="590" spans="2:2" ht="15" customHeight="1">
      <c r="B590" s="11"/>
    </row>
    <row r="591" spans="2:2" ht="15" customHeight="1">
      <c r="B591" s="11"/>
    </row>
    <row r="592" spans="2:2" ht="15" customHeight="1">
      <c r="B592" s="11"/>
    </row>
    <row r="593" spans="2:2" ht="15" customHeight="1">
      <c r="B593" s="11"/>
    </row>
    <row r="594" spans="2:2" ht="15" customHeight="1">
      <c r="B594" s="11"/>
    </row>
    <row r="595" spans="2:2" ht="15" customHeight="1">
      <c r="B595" s="11"/>
    </row>
    <row r="596" spans="2:2" ht="15" customHeight="1">
      <c r="B596" s="11"/>
    </row>
    <row r="597" spans="2:2" ht="15" customHeight="1">
      <c r="B597" s="11"/>
    </row>
    <row r="598" spans="2:2" ht="15" customHeight="1">
      <c r="B598" s="11"/>
    </row>
    <row r="599" spans="2:2" ht="15" customHeight="1">
      <c r="B599" s="11"/>
    </row>
    <row r="600" spans="2:2" ht="15" customHeight="1">
      <c r="B600" s="11"/>
    </row>
    <row r="601" spans="2:2" ht="15" customHeight="1">
      <c r="B601" s="11"/>
    </row>
    <row r="602" spans="2:2" ht="15" customHeight="1">
      <c r="B602" s="11"/>
    </row>
    <row r="603" spans="2:2" ht="15" customHeight="1">
      <c r="B603" s="11"/>
    </row>
    <row r="604" spans="2:2" ht="15" customHeight="1">
      <c r="B604" s="11"/>
    </row>
    <row r="605" spans="2:2" ht="15" customHeight="1">
      <c r="B605" s="11"/>
    </row>
    <row r="606" spans="2:2" ht="15" customHeight="1">
      <c r="B606" s="11"/>
    </row>
    <row r="607" spans="2:2" ht="15" customHeight="1">
      <c r="B607" s="11"/>
    </row>
    <row r="608" spans="2:2" ht="15" customHeight="1">
      <c r="B608" s="11"/>
    </row>
    <row r="609" spans="2:2" ht="15" customHeight="1">
      <c r="B609" s="11"/>
    </row>
    <row r="610" spans="2:2" ht="15" customHeight="1">
      <c r="B610" s="11"/>
    </row>
    <row r="611" spans="2:2" ht="15" customHeight="1">
      <c r="B611" s="11"/>
    </row>
    <row r="612" spans="2:2" ht="15" customHeight="1">
      <c r="B612" s="11"/>
    </row>
    <row r="613" spans="2:2" ht="15" customHeight="1">
      <c r="B613" s="11"/>
    </row>
    <row r="614" spans="2:2" ht="15" customHeight="1">
      <c r="B614" s="11"/>
    </row>
    <row r="615" spans="2:2" ht="15" customHeight="1">
      <c r="B615" s="11"/>
    </row>
    <row r="616" spans="2:2" ht="15" customHeight="1">
      <c r="B616" s="11"/>
    </row>
    <row r="617" spans="2:2" ht="15" customHeight="1">
      <c r="B617" s="11"/>
    </row>
    <row r="618" spans="2:2" ht="15" customHeight="1">
      <c r="B618" s="11"/>
    </row>
    <row r="619" spans="2:2" ht="15" customHeight="1">
      <c r="B619" s="11"/>
    </row>
    <row r="620" spans="2:2" ht="15" customHeight="1">
      <c r="B620" s="11"/>
    </row>
    <row r="621" spans="2:2" ht="15" customHeight="1">
      <c r="B621" s="11"/>
    </row>
    <row r="622" spans="2:2" ht="15" customHeight="1">
      <c r="B622" s="11"/>
    </row>
    <row r="623" spans="2:2" ht="15" customHeight="1">
      <c r="B623" s="11"/>
    </row>
    <row r="624" spans="2:2" ht="15" customHeight="1">
      <c r="B624" s="11"/>
    </row>
    <row r="625" spans="2:2" ht="15" customHeight="1">
      <c r="B625" s="11"/>
    </row>
    <row r="626" spans="2:2" ht="15" customHeight="1">
      <c r="B626" s="11"/>
    </row>
    <row r="627" spans="2:2" ht="15" customHeight="1">
      <c r="B627" s="11"/>
    </row>
    <row r="628" spans="2:2" ht="15" customHeight="1">
      <c r="B628" s="11"/>
    </row>
    <row r="629" spans="2:2" ht="15" customHeight="1">
      <c r="B629" s="11"/>
    </row>
    <row r="630" spans="2:2" ht="15" customHeight="1">
      <c r="B630" s="11"/>
    </row>
    <row r="631" spans="2:2" ht="15" customHeight="1">
      <c r="B631" s="11"/>
    </row>
    <row r="632" spans="2:2" ht="15" customHeight="1">
      <c r="B632" s="11"/>
    </row>
    <row r="633" spans="2:2" ht="15" customHeight="1">
      <c r="B633" s="11"/>
    </row>
    <row r="634" spans="2:2" ht="15" customHeight="1">
      <c r="B634" s="11"/>
    </row>
    <row r="635" spans="2:2" ht="15" customHeight="1">
      <c r="B635" s="11"/>
    </row>
    <row r="636" spans="2:2" ht="15" customHeight="1">
      <c r="B636" s="11"/>
    </row>
    <row r="637" spans="2:2" ht="15" customHeight="1">
      <c r="B637" s="11"/>
    </row>
    <row r="638" spans="2:2" ht="15" customHeight="1">
      <c r="B638" s="11"/>
    </row>
    <row r="639" spans="2:2" ht="15" customHeight="1">
      <c r="B639" s="11"/>
    </row>
    <row r="640" spans="2:2" ht="15" customHeight="1">
      <c r="B640" s="11"/>
    </row>
    <row r="641" spans="2:2" ht="15" customHeight="1">
      <c r="B641" s="11"/>
    </row>
    <row r="642" spans="2:2" ht="15" customHeight="1">
      <c r="B642" s="11"/>
    </row>
    <row r="643" spans="2:2" ht="15" customHeight="1">
      <c r="B643" s="11"/>
    </row>
    <row r="644" spans="2:2" ht="15" customHeight="1">
      <c r="B644" s="11"/>
    </row>
    <row r="645" spans="2:2" ht="15" customHeight="1">
      <c r="B645" s="11"/>
    </row>
    <row r="646" spans="2:2" ht="15" customHeight="1">
      <c r="B646" s="11"/>
    </row>
    <row r="647" spans="2:2" ht="15" customHeight="1">
      <c r="B647" s="11"/>
    </row>
    <row r="648" spans="2:2" ht="15" customHeight="1">
      <c r="B648" s="11"/>
    </row>
    <row r="649" spans="2:2" ht="15" customHeight="1">
      <c r="B649" s="11"/>
    </row>
    <row r="650" spans="2:2" ht="15" customHeight="1">
      <c r="B650" s="11"/>
    </row>
    <row r="651" spans="2:2" ht="15" customHeight="1">
      <c r="B651" s="11"/>
    </row>
    <row r="652" spans="2:2" ht="15" customHeight="1">
      <c r="B652" s="11"/>
    </row>
    <row r="653" spans="2:2" ht="15" customHeight="1">
      <c r="B653" s="11"/>
    </row>
    <row r="654" spans="2:2" ht="15" customHeight="1">
      <c r="B654" s="11"/>
    </row>
    <row r="655" spans="2:2" ht="15" customHeight="1">
      <c r="B655" s="11"/>
    </row>
    <row r="656" spans="2:2" ht="15" customHeight="1">
      <c r="B656" s="11"/>
    </row>
    <row r="657" spans="2:2" ht="15" customHeight="1">
      <c r="B657" s="11"/>
    </row>
    <row r="658" spans="2:2" ht="15" customHeight="1">
      <c r="B658" s="11"/>
    </row>
    <row r="659" spans="2:2" ht="15" customHeight="1">
      <c r="B659" s="11"/>
    </row>
    <row r="660" spans="2:2" ht="15" customHeight="1">
      <c r="B660" s="11"/>
    </row>
    <row r="661" spans="2:2" ht="15" customHeight="1">
      <c r="B661" s="11"/>
    </row>
    <row r="662" spans="2:2" ht="15" customHeight="1">
      <c r="B662" s="11"/>
    </row>
    <row r="663" spans="2:2" ht="15" customHeight="1">
      <c r="B663" s="11"/>
    </row>
    <row r="664" spans="2:2" ht="15" customHeight="1">
      <c r="B664" s="11"/>
    </row>
    <row r="665" spans="2:2" ht="15" customHeight="1">
      <c r="B665" s="11"/>
    </row>
    <row r="666" spans="2:2" ht="15" customHeight="1">
      <c r="B666" s="11"/>
    </row>
    <row r="667" spans="2:2" ht="15" customHeight="1">
      <c r="B667" s="11"/>
    </row>
    <row r="668" spans="2:2" ht="15" customHeight="1">
      <c r="B668" s="11"/>
    </row>
    <row r="669" spans="2:2" ht="15" customHeight="1">
      <c r="B669" s="11"/>
    </row>
    <row r="670" spans="2:2" ht="15" customHeight="1">
      <c r="B670" s="11"/>
    </row>
    <row r="671" spans="2:2" ht="15" customHeight="1">
      <c r="B671" s="11"/>
    </row>
    <row r="672" spans="2:2" ht="15" customHeight="1">
      <c r="B672" s="11"/>
    </row>
    <row r="673" spans="2:2" ht="15" customHeight="1">
      <c r="B673" s="11"/>
    </row>
    <row r="674" spans="2:2" ht="15" customHeight="1">
      <c r="B674" s="11"/>
    </row>
    <row r="675" spans="2:2" ht="15" customHeight="1">
      <c r="B675" s="11"/>
    </row>
    <row r="676" spans="2:2" ht="15" customHeight="1">
      <c r="B676" s="11"/>
    </row>
    <row r="677" spans="2:2" ht="15" customHeight="1">
      <c r="B677" s="11"/>
    </row>
    <row r="678" spans="2:2" ht="15" customHeight="1">
      <c r="B678" s="11"/>
    </row>
    <row r="679" spans="2:2" ht="15" customHeight="1">
      <c r="B679" s="11"/>
    </row>
    <row r="680" spans="2:2" ht="15" customHeight="1">
      <c r="B680" s="11"/>
    </row>
    <row r="681" spans="2:2" ht="15" customHeight="1">
      <c r="B681" s="11"/>
    </row>
    <row r="682" spans="2:2" ht="15" customHeight="1">
      <c r="B682" s="11"/>
    </row>
    <row r="683" spans="2:2" ht="15" customHeight="1">
      <c r="B683" s="11"/>
    </row>
    <row r="684" spans="2:2" ht="15" customHeight="1">
      <c r="B684" s="11"/>
    </row>
    <row r="685" spans="2:2" ht="15" customHeight="1">
      <c r="B685" s="11"/>
    </row>
    <row r="686" spans="2:2" ht="15" customHeight="1">
      <c r="B686" s="11"/>
    </row>
    <row r="687" spans="2:2" ht="15" customHeight="1">
      <c r="B687" s="11"/>
    </row>
    <row r="688" spans="2:2" ht="15" customHeight="1">
      <c r="B688" s="11"/>
    </row>
    <row r="689" spans="2:2" ht="15" customHeight="1">
      <c r="B689" s="11"/>
    </row>
    <row r="690" spans="2:2" ht="15" customHeight="1">
      <c r="B690" s="11"/>
    </row>
    <row r="691" spans="2:2" ht="15" customHeight="1">
      <c r="B691" s="11"/>
    </row>
    <row r="692" spans="2:2" ht="15" customHeight="1">
      <c r="B692" s="11"/>
    </row>
    <row r="693" spans="2:2" ht="15" customHeight="1">
      <c r="B693" s="11"/>
    </row>
    <row r="694" spans="2:2" ht="15" customHeight="1">
      <c r="B694" s="11"/>
    </row>
    <row r="695" spans="2:2" ht="15" customHeight="1">
      <c r="B695" s="11"/>
    </row>
    <row r="696" spans="2:2" ht="15" customHeight="1">
      <c r="B696" s="11"/>
    </row>
    <row r="697" spans="2:2" ht="15" customHeight="1">
      <c r="B697" s="11"/>
    </row>
    <row r="698" spans="2:2" ht="15" customHeight="1">
      <c r="B698" s="11"/>
    </row>
    <row r="699" spans="2:2" ht="15" customHeight="1">
      <c r="B699" s="11"/>
    </row>
    <row r="700" spans="2:2" ht="15" customHeight="1">
      <c r="B700" s="11"/>
    </row>
    <row r="701" spans="2:2" ht="15" customHeight="1">
      <c r="B701" s="11"/>
    </row>
    <row r="702" spans="2:2" ht="15" customHeight="1">
      <c r="B702" s="11"/>
    </row>
    <row r="703" spans="2:2" ht="15" customHeight="1">
      <c r="B703" s="11"/>
    </row>
    <row r="704" spans="2:2" ht="15" customHeight="1">
      <c r="B704" s="11"/>
    </row>
    <row r="705" spans="2:2" ht="15" customHeight="1">
      <c r="B705" s="11"/>
    </row>
    <row r="706" spans="2:2" ht="15" customHeight="1">
      <c r="B706" s="11"/>
    </row>
    <row r="707" spans="2:2" ht="15" customHeight="1">
      <c r="B707" s="11"/>
    </row>
    <row r="708" spans="2:2" ht="15" customHeight="1">
      <c r="B708" s="11"/>
    </row>
    <row r="709" spans="2:2" ht="15" customHeight="1">
      <c r="B709" s="11"/>
    </row>
    <row r="710" spans="2:2" ht="15" customHeight="1">
      <c r="B710" s="11"/>
    </row>
    <row r="711" spans="2:2" ht="15" customHeight="1">
      <c r="B711" s="11"/>
    </row>
    <row r="712" spans="2:2" ht="15" customHeight="1">
      <c r="B712" s="11"/>
    </row>
    <row r="713" spans="2:2" ht="15" customHeight="1">
      <c r="B713" s="11"/>
    </row>
    <row r="714" spans="2:2" ht="15" customHeight="1">
      <c r="B714" s="11"/>
    </row>
    <row r="715" spans="2:2" ht="15" customHeight="1">
      <c r="B715" s="11"/>
    </row>
    <row r="716" spans="2:2" ht="15" customHeight="1">
      <c r="B716" s="11"/>
    </row>
    <row r="717" spans="2:2" ht="15" customHeight="1">
      <c r="B717" s="11"/>
    </row>
    <row r="718" spans="2:2" ht="15" customHeight="1">
      <c r="B718" s="11"/>
    </row>
    <row r="719" spans="2:2" ht="15" customHeight="1">
      <c r="B719" s="11"/>
    </row>
    <row r="720" spans="2:2" ht="15" customHeight="1">
      <c r="B720" s="11"/>
    </row>
    <row r="721" spans="2:2" ht="15" customHeight="1">
      <c r="B721" s="11"/>
    </row>
    <row r="722" spans="2:2" ht="15" customHeight="1">
      <c r="B722" s="11"/>
    </row>
    <row r="723" spans="2:2" ht="15" customHeight="1">
      <c r="B723" s="11"/>
    </row>
    <row r="724" spans="2:2" ht="15" customHeight="1">
      <c r="B724" s="11"/>
    </row>
    <row r="725" spans="2:2" ht="15" customHeight="1">
      <c r="B725" s="11"/>
    </row>
    <row r="726" spans="2:2" ht="15" customHeight="1">
      <c r="B726" s="11"/>
    </row>
    <row r="727" spans="2:2" ht="15" customHeight="1">
      <c r="B727" s="11"/>
    </row>
    <row r="728" spans="2:2" ht="15" customHeight="1">
      <c r="B728" s="11"/>
    </row>
    <row r="729" spans="2:2" ht="15" customHeight="1">
      <c r="B729" s="11"/>
    </row>
    <row r="730" spans="2:2" ht="15" customHeight="1">
      <c r="B730" s="11"/>
    </row>
    <row r="731" spans="2:2" ht="15" customHeight="1">
      <c r="B731" s="11"/>
    </row>
    <row r="732" spans="2:2" ht="15" customHeight="1">
      <c r="B732" s="11"/>
    </row>
    <row r="733" spans="2:2" ht="15" customHeight="1">
      <c r="B733" s="11"/>
    </row>
    <row r="734" spans="2:2" ht="15" customHeight="1">
      <c r="B734" s="11"/>
    </row>
    <row r="735" spans="2:2" ht="15" customHeight="1">
      <c r="B735" s="11"/>
    </row>
    <row r="736" spans="2:2" ht="15" customHeight="1">
      <c r="B736" s="11"/>
    </row>
    <row r="737" spans="2:2" ht="15" customHeight="1">
      <c r="B737" s="11"/>
    </row>
    <row r="738" spans="2:2" ht="15" customHeight="1">
      <c r="B738" s="11"/>
    </row>
    <row r="739" spans="2:2" ht="15" customHeight="1">
      <c r="B739" s="11"/>
    </row>
    <row r="740" spans="2:2" ht="15" customHeight="1">
      <c r="B740" s="11"/>
    </row>
    <row r="741" spans="2:2" ht="15" customHeight="1">
      <c r="B741" s="11"/>
    </row>
    <row r="742" spans="2:2" ht="15" customHeight="1">
      <c r="B742" s="11"/>
    </row>
    <row r="743" spans="2:2" ht="15" customHeight="1">
      <c r="B743" s="11"/>
    </row>
    <row r="744" spans="2:2" ht="15" customHeight="1">
      <c r="B744" s="11"/>
    </row>
    <row r="745" spans="2:2" ht="15" customHeight="1">
      <c r="B745" s="11"/>
    </row>
    <row r="746" spans="2:2" ht="15" customHeight="1">
      <c r="B746" s="11"/>
    </row>
    <row r="747" spans="2:2" ht="15" customHeight="1">
      <c r="B747" s="11"/>
    </row>
    <row r="748" spans="2:2" ht="15" customHeight="1">
      <c r="B748" s="11"/>
    </row>
    <row r="749" spans="2:2" ht="15" customHeight="1">
      <c r="B749" s="11"/>
    </row>
    <row r="750" spans="2:2" ht="15" customHeight="1">
      <c r="B750" s="11"/>
    </row>
    <row r="751" spans="2:2" ht="15" customHeight="1">
      <c r="B751" s="11"/>
    </row>
    <row r="752" spans="2:2" ht="15" customHeight="1">
      <c r="B752" s="11"/>
    </row>
    <row r="753" spans="2:2" ht="15" customHeight="1">
      <c r="B753" s="11"/>
    </row>
    <row r="754" spans="2:2" ht="15" customHeight="1">
      <c r="B754" s="11"/>
    </row>
    <row r="755" spans="2:2" ht="15" customHeight="1">
      <c r="B755" s="11"/>
    </row>
    <row r="756" spans="2:2" ht="15" customHeight="1">
      <c r="B756" s="11"/>
    </row>
    <row r="757" spans="2:2" ht="15" customHeight="1">
      <c r="B757" s="11"/>
    </row>
    <row r="758" spans="2:2" ht="15" customHeight="1">
      <c r="B758" s="11"/>
    </row>
    <row r="759" spans="2:2" ht="15" customHeight="1">
      <c r="B759" s="11"/>
    </row>
    <row r="760" spans="2:2" ht="15" customHeight="1">
      <c r="B760" s="11"/>
    </row>
    <row r="761" spans="2:2" ht="15" customHeight="1">
      <c r="B761" s="11"/>
    </row>
    <row r="762" spans="2:2" ht="15" customHeight="1">
      <c r="B762" s="11"/>
    </row>
    <row r="763" spans="2:2" ht="15" customHeight="1">
      <c r="B763" s="11"/>
    </row>
    <row r="764" spans="2:2" ht="15" customHeight="1">
      <c r="B764" s="11"/>
    </row>
    <row r="765" spans="2:2" ht="15" customHeight="1">
      <c r="B765" s="11"/>
    </row>
    <row r="766" spans="2:2" ht="15" customHeight="1">
      <c r="B766" s="11"/>
    </row>
    <row r="767" spans="2:2" ht="15" customHeight="1">
      <c r="B767" s="11"/>
    </row>
    <row r="768" spans="2:2" ht="15" customHeight="1">
      <c r="B768" s="11"/>
    </row>
    <row r="769" spans="2:2" ht="15" customHeight="1">
      <c r="B769" s="11"/>
    </row>
    <row r="770" spans="2:2" ht="15" customHeight="1">
      <c r="B770" s="11"/>
    </row>
    <row r="771" spans="2:2" ht="15" customHeight="1">
      <c r="B771" s="11"/>
    </row>
    <row r="772" spans="2:2" ht="15" customHeight="1">
      <c r="B772" s="11"/>
    </row>
    <row r="773" spans="2:2" ht="15" customHeight="1">
      <c r="B773" s="11"/>
    </row>
    <row r="774" spans="2:2" ht="15" customHeight="1">
      <c r="B774" s="11"/>
    </row>
    <row r="775" spans="2:2" ht="15" customHeight="1">
      <c r="B775" s="11"/>
    </row>
    <row r="776" spans="2:2" ht="15" customHeight="1">
      <c r="B776" s="11"/>
    </row>
    <row r="777" spans="2:2" ht="15" customHeight="1">
      <c r="B777" s="11"/>
    </row>
    <row r="778" spans="2:2" ht="15" customHeight="1">
      <c r="B778" s="11"/>
    </row>
    <row r="779" spans="2:2" ht="15" customHeight="1">
      <c r="B779" s="11"/>
    </row>
    <row r="780" spans="2:2" ht="15" customHeight="1">
      <c r="B780" s="11"/>
    </row>
    <row r="781" spans="2:2" ht="15" customHeight="1">
      <c r="B781" s="11"/>
    </row>
    <row r="782" spans="2:2" ht="15" customHeight="1">
      <c r="B782" s="11"/>
    </row>
    <row r="783" spans="2:2" ht="15" customHeight="1">
      <c r="B783" s="11"/>
    </row>
    <row r="784" spans="2:2" ht="15" customHeight="1">
      <c r="B784" s="11"/>
    </row>
    <row r="785" spans="2:2" ht="15" customHeight="1">
      <c r="B785" s="11"/>
    </row>
    <row r="786" spans="2:2" ht="15" customHeight="1">
      <c r="B786" s="11"/>
    </row>
    <row r="787" spans="2:2" ht="15" customHeight="1">
      <c r="B787" s="11"/>
    </row>
    <row r="788" spans="2:2" ht="15" customHeight="1">
      <c r="B788" s="11"/>
    </row>
    <row r="789" spans="2:2" ht="15" customHeight="1">
      <c r="B789" s="11"/>
    </row>
    <row r="790" spans="2:2" ht="15" customHeight="1">
      <c r="B790" s="11"/>
    </row>
    <row r="791" spans="2:2" ht="15" customHeight="1">
      <c r="B791" s="11"/>
    </row>
    <row r="792" spans="2:2" ht="15" customHeight="1">
      <c r="B792" s="11"/>
    </row>
    <row r="793" spans="2:2" ht="15" customHeight="1">
      <c r="B793" s="11"/>
    </row>
    <row r="794" spans="2:2" ht="15" customHeight="1">
      <c r="B794" s="11"/>
    </row>
    <row r="795" spans="2:2" ht="15" customHeight="1">
      <c r="B795" s="11"/>
    </row>
    <row r="796" spans="2:2" ht="15" customHeight="1">
      <c r="B796" s="11"/>
    </row>
    <row r="797" spans="2:2" ht="15" customHeight="1">
      <c r="B797" s="11"/>
    </row>
    <row r="798" spans="2:2" ht="15" customHeight="1">
      <c r="B798" s="11"/>
    </row>
    <row r="799" spans="2:2" ht="15" customHeight="1">
      <c r="B799" s="11"/>
    </row>
    <row r="800" spans="2:2" ht="15" customHeight="1">
      <c r="B800" s="11"/>
    </row>
    <row r="801" spans="2:2" ht="15" customHeight="1">
      <c r="B801" s="11"/>
    </row>
    <row r="802" spans="2:2" ht="15" customHeight="1">
      <c r="B802" s="11"/>
    </row>
    <row r="803" spans="2:2" ht="15" customHeight="1">
      <c r="B803" s="11"/>
    </row>
    <row r="804" spans="2:2" ht="15" customHeight="1">
      <c r="B804" s="11"/>
    </row>
    <row r="805" spans="2:2" ht="15" customHeight="1">
      <c r="B805" s="11"/>
    </row>
    <row r="806" spans="2:2" ht="15" customHeight="1">
      <c r="B806" s="11"/>
    </row>
    <row r="807" spans="2:2" ht="15" customHeight="1">
      <c r="B807" s="11"/>
    </row>
    <row r="808" spans="2:2" ht="15" customHeight="1">
      <c r="B808" s="11"/>
    </row>
    <row r="809" spans="2:2" ht="15" customHeight="1">
      <c r="B809" s="11"/>
    </row>
    <row r="810" spans="2:2" ht="15" customHeight="1">
      <c r="B810" s="11"/>
    </row>
    <row r="811" spans="2:2" ht="15" customHeight="1">
      <c r="B811" s="11"/>
    </row>
    <row r="812" spans="2:2" ht="15" customHeight="1">
      <c r="B812" s="11"/>
    </row>
    <row r="813" spans="2:2" ht="15" customHeight="1">
      <c r="B813" s="11"/>
    </row>
    <row r="814" spans="2:2" ht="15" customHeight="1">
      <c r="B814" s="11"/>
    </row>
    <row r="815" spans="2:2" ht="15" customHeight="1">
      <c r="B815" s="11"/>
    </row>
    <row r="816" spans="2:2" ht="15" customHeight="1">
      <c r="B816" s="11"/>
    </row>
    <row r="817" spans="2:2" ht="15" customHeight="1">
      <c r="B817" s="11"/>
    </row>
    <row r="818" spans="2:2" ht="15" customHeight="1">
      <c r="B818" s="11"/>
    </row>
    <row r="819" spans="2:2" ht="15" customHeight="1">
      <c r="B819" s="11"/>
    </row>
    <row r="820" spans="2:2" ht="15" customHeight="1">
      <c r="B820" s="11"/>
    </row>
    <row r="821" spans="2:2" ht="15" customHeight="1">
      <c r="B821" s="11"/>
    </row>
    <row r="822" spans="2:2" ht="15" customHeight="1">
      <c r="B822" s="11"/>
    </row>
    <row r="823" spans="2:2" ht="15" customHeight="1">
      <c r="B823" s="11"/>
    </row>
    <row r="824" spans="2:2" ht="15" customHeight="1">
      <c r="B824" s="11"/>
    </row>
    <row r="825" spans="2:2" ht="15" customHeight="1">
      <c r="B825" s="11"/>
    </row>
    <row r="826" spans="2:2" ht="15" customHeight="1">
      <c r="B826" s="11"/>
    </row>
    <row r="827" spans="2:2" ht="15" customHeight="1">
      <c r="B827" s="11"/>
    </row>
    <row r="828" spans="2:2" ht="15" customHeight="1">
      <c r="B828" s="11"/>
    </row>
    <row r="829" spans="2:2" ht="15" customHeight="1">
      <c r="B829" s="11"/>
    </row>
    <row r="830" spans="2:2" ht="15" customHeight="1">
      <c r="B830" s="11"/>
    </row>
    <row r="831" spans="2:2" ht="15" customHeight="1">
      <c r="B831" s="11"/>
    </row>
    <row r="832" spans="2:2" ht="15" customHeight="1">
      <c r="B832" s="11"/>
    </row>
    <row r="833" spans="2:2" ht="15" customHeight="1">
      <c r="B833" s="11"/>
    </row>
    <row r="834" spans="2:2" ht="15" customHeight="1">
      <c r="B834" s="11"/>
    </row>
    <row r="835" spans="2:2" ht="15" customHeight="1">
      <c r="B835" s="11"/>
    </row>
    <row r="836" spans="2:2" ht="15" customHeight="1">
      <c r="B836" s="11"/>
    </row>
    <row r="837" spans="2:2" ht="15" customHeight="1">
      <c r="B837" s="11"/>
    </row>
    <row r="838" spans="2:2" ht="15" customHeight="1">
      <c r="B838" s="11"/>
    </row>
    <row r="839" spans="2:2" ht="15" customHeight="1">
      <c r="B839" s="11"/>
    </row>
    <row r="840" spans="2:2" ht="15" customHeight="1">
      <c r="B840" s="11"/>
    </row>
    <row r="841" spans="2:2" ht="15" customHeight="1">
      <c r="B841" s="11"/>
    </row>
    <row r="842" spans="2:2" ht="15" customHeight="1">
      <c r="B842" s="11"/>
    </row>
    <row r="843" spans="2:2" ht="15" customHeight="1">
      <c r="B843" s="11"/>
    </row>
    <row r="844" spans="2:2" ht="15" customHeight="1">
      <c r="B844" s="11"/>
    </row>
    <row r="845" spans="2:2" ht="15" customHeight="1">
      <c r="B845" s="11"/>
    </row>
    <row r="846" spans="2:2" ht="15" customHeight="1">
      <c r="B846" s="11"/>
    </row>
    <row r="847" spans="2:2" ht="15" customHeight="1">
      <c r="B847" s="11"/>
    </row>
    <row r="848" spans="2:2" ht="15" customHeight="1">
      <c r="B848" s="11"/>
    </row>
    <row r="849" spans="2:2" ht="15" customHeight="1">
      <c r="B849" s="11"/>
    </row>
    <row r="850" spans="2:2" ht="15" customHeight="1">
      <c r="B850" s="11"/>
    </row>
    <row r="851" spans="2:2" ht="15" customHeight="1">
      <c r="B851" s="11"/>
    </row>
    <row r="852" spans="2:2" ht="15" customHeight="1">
      <c r="B852" s="11"/>
    </row>
    <row r="853" spans="2:2" ht="15" customHeight="1">
      <c r="B853" s="11"/>
    </row>
    <row r="854" spans="2:2" ht="15" customHeight="1">
      <c r="B854" s="11"/>
    </row>
    <row r="855" spans="2:2" ht="15" customHeight="1">
      <c r="B855" s="11"/>
    </row>
    <row r="856" spans="2:2" ht="15" customHeight="1">
      <c r="B856" s="11"/>
    </row>
    <row r="857" spans="2:2" ht="15" customHeight="1">
      <c r="B857" s="11"/>
    </row>
    <row r="858" spans="2:2" ht="15" customHeight="1">
      <c r="B858" s="11"/>
    </row>
    <row r="859" spans="2:2" ht="15" customHeight="1">
      <c r="B859" s="11"/>
    </row>
    <row r="860" spans="2:2" ht="15" customHeight="1">
      <c r="B860" s="11"/>
    </row>
    <row r="861" spans="2:2" ht="15" customHeight="1">
      <c r="B861" s="11"/>
    </row>
    <row r="862" spans="2:2" ht="15" customHeight="1">
      <c r="B862" s="11"/>
    </row>
    <row r="863" spans="2:2" ht="15" customHeight="1">
      <c r="B863" s="11"/>
    </row>
    <row r="864" spans="2:2" ht="15" customHeight="1">
      <c r="B864" s="11"/>
    </row>
    <row r="865" spans="2:2" ht="15" customHeight="1">
      <c r="B865" s="11"/>
    </row>
    <row r="866" spans="2:2" ht="15" customHeight="1">
      <c r="B866" s="11"/>
    </row>
    <row r="867" spans="2:2" ht="15" customHeight="1">
      <c r="B867" s="11"/>
    </row>
    <row r="868" spans="2:2" ht="15" customHeight="1">
      <c r="B868" s="11"/>
    </row>
    <row r="869" spans="2:2" ht="15" customHeight="1">
      <c r="B869" s="11"/>
    </row>
    <row r="870" spans="2:2" ht="15" customHeight="1">
      <c r="B870" s="11"/>
    </row>
    <row r="871" spans="2:2" ht="15" customHeight="1">
      <c r="B871" s="11"/>
    </row>
    <row r="872" spans="2:2" ht="15" customHeight="1">
      <c r="B872" s="11"/>
    </row>
    <row r="873" spans="2:2" ht="15" customHeight="1">
      <c r="B873" s="11"/>
    </row>
    <row r="874" spans="2:2" ht="15" customHeight="1">
      <c r="B874" s="11"/>
    </row>
    <row r="875" spans="2:2" ht="15" customHeight="1">
      <c r="B875" s="11"/>
    </row>
    <row r="876" spans="2:2" ht="15" customHeight="1">
      <c r="B876" s="11"/>
    </row>
    <row r="877" spans="2:2" ht="15" customHeight="1">
      <c r="B877" s="11"/>
    </row>
    <row r="878" spans="2:2" ht="15" customHeight="1">
      <c r="B878" s="11"/>
    </row>
    <row r="879" spans="2:2" ht="15" customHeight="1">
      <c r="B879" s="11"/>
    </row>
    <row r="880" spans="2:2" ht="15" customHeight="1">
      <c r="B880" s="11"/>
    </row>
    <row r="881" spans="2:2" ht="15" customHeight="1">
      <c r="B881" s="11"/>
    </row>
    <row r="882" spans="2:2" ht="15" customHeight="1">
      <c r="B882" s="11"/>
    </row>
    <row r="883" spans="2:2" ht="15" customHeight="1">
      <c r="B883" s="11"/>
    </row>
    <row r="884" spans="2:2" ht="15" customHeight="1">
      <c r="B884" s="11"/>
    </row>
    <row r="885" spans="2:2" ht="15" customHeight="1">
      <c r="B885" s="11"/>
    </row>
    <row r="886" spans="2:2" ht="15" customHeight="1">
      <c r="B886" s="11"/>
    </row>
    <row r="887" spans="2:2" ht="15" customHeight="1">
      <c r="B887" s="11"/>
    </row>
    <row r="888" spans="2:2" ht="15" customHeight="1">
      <c r="B888" s="11"/>
    </row>
    <row r="889" spans="2:2" ht="15" customHeight="1">
      <c r="B889" s="11"/>
    </row>
    <row r="890" spans="2:2" ht="15" customHeight="1">
      <c r="B890" s="11"/>
    </row>
    <row r="891" spans="2:2" ht="15" customHeight="1">
      <c r="B891" s="11"/>
    </row>
    <row r="892" spans="2:2" ht="15" customHeight="1">
      <c r="B892" s="11"/>
    </row>
    <row r="893" spans="2:2" ht="15" customHeight="1">
      <c r="B893" s="11"/>
    </row>
    <row r="894" spans="2:2" ht="15" customHeight="1">
      <c r="B894" s="11"/>
    </row>
    <row r="895" spans="2:2" ht="15" customHeight="1">
      <c r="B895" s="11"/>
    </row>
    <row r="896" spans="2:2" ht="15" customHeight="1">
      <c r="B896" s="11"/>
    </row>
    <row r="897" spans="2:2" ht="15" customHeight="1">
      <c r="B897" s="11"/>
    </row>
    <row r="898" spans="2:2" ht="15" customHeight="1">
      <c r="B898" s="11"/>
    </row>
    <row r="899" spans="2:2" ht="15" customHeight="1">
      <c r="B899" s="11"/>
    </row>
    <row r="900" spans="2:2" ht="15" customHeight="1">
      <c r="B900" s="11"/>
    </row>
    <row r="901" spans="2:2" ht="15" customHeight="1">
      <c r="B901" s="11"/>
    </row>
    <row r="902" spans="2:2" ht="15" customHeight="1">
      <c r="B902" s="11"/>
    </row>
    <row r="903" spans="2:2" ht="15" customHeight="1">
      <c r="B903" s="11"/>
    </row>
    <row r="904" spans="2:2" ht="15" customHeight="1">
      <c r="B904" s="11"/>
    </row>
    <row r="905" spans="2:2" ht="15" customHeight="1">
      <c r="B905" s="11"/>
    </row>
    <row r="906" spans="2:2" ht="15" customHeight="1">
      <c r="B906" s="11"/>
    </row>
    <row r="907" spans="2:2" ht="15" customHeight="1">
      <c r="B907" s="11"/>
    </row>
    <row r="908" spans="2:2" ht="15" customHeight="1">
      <c r="B908" s="11"/>
    </row>
    <row r="909" spans="2:2" ht="15" customHeight="1">
      <c r="B909" s="11"/>
    </row>
    <row r="910" spans="2:2" ht="15" customHeight="1">
      <c r="B910" s="11"/>
    </row>
    <row r="911" spans="2:2" ht="15" customHeight="1">
      <c r="B911" s="11"/>
    </row>
    <row r="912" spans="2:2" ht="15" customHeight="1">
      <c r="B912" s="11"/>
    </row>
    <row r="913" spans="2:2" ht="15" customHeight="1">
      <c r="B913" s="11"/>
    </row>
    <row r="914" spans="2:2" ht="15" customHeight="1">
      <c r="B914" s="11"/>
    </row>
    <row r="915" spans="2:2" ht="15" customHeight="1">
      <c r="B915" s="11"/>
    </row>
    <row r="916" spans="2:2" ht="15" customHeight="1">
      <c r="B916" s="11"/>
    </row>
    <row r="917" spans="2:2" ht="15" customHeight="1">
      <c r="B917" s="11"/>
    </row>
    <row r="918" spans="2:2" ht="15" customHeight="1">
      <c r="B918" s="11"/>
    </row>
    <row r="919" spans="2:2" ht="15" customHeight="1">
      <c r="B919" s="11"/>
    </row>
    <row r="920" spans="2:2" ht="15" customHeight="1">
      <c r="B920" s="11"/>
    </row>
    <row r="921" spans="2:2" ht="15" customHeight="1">
      <c r="B921" s="11"/>
    </row>
  </sheetData>
  <autoFilter ref="C5:F78" xr:uid="{00000000-0009-0000-0000-000006000000}"/>
  <conditionalFormatting sqref="L5:L8 F6:F1048576">
    <cfRule type="cellIs" dxfId="111" priority="7" operator="equal">
      <formula>$F$3</formula>
    </cfRule>
    <cfRule type="cellIs" dxfId="110" priority="8" operator="equal">
      <formula>$F$2</formula>
    </cfRule>
    <cfRule type="cellIs" dxfId="109" priority="9" operator="equal">
      <formula>$F$1</formula>
    </cfRule>
  </conditionalFormatting>
  <pageMargins left="0.7" right="0.7" top="0.75" bottom="0.75" header="0.3" footer="0.3"/>
  <pageSetup paperSize="9" scale="30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1">
    <pageSetUpPr fitToPage="1"/>
  </sheetPr>
  <dimension ref="A2:H1274"/>
  <sheetViews>
    <sheetView topLeftCell="A56" workbookViewId="0">
      <selection activeCell="E71" sqref="E71"/>
    </sheetView>
  </sheetViews>
  <sheetFormatPr defaultRowHeight="15"/>
  <cols>
    <col min="1" max="1" width="36.42578125" bestFit="1" customWidth="1"/>
    <col min="2" max="2" width="21.140625" style="4" bestFit="1" customWidth="1"/>
    <col min="3" max="3" width="11" bestFit="1" customWidth="1"/>
    <col min="4" max="4" width="12" bestFit="1" customWidth="1"/>
    <col min="5" max="5" width="9.42578125" bestFit="1" customWidth="1"/>
    <col min="6" max="6" width="12" bestFit="1" customWidth="1"/>
    <col min="7" max="7" width="11" bestFit="1" customWidth="1"/>
    <col min="8" max="8" width="18.28515625" bestFit="1" customWidth="1"/>
    <col min="9" max="9" width="16.140625" bestFit="1" customWidth="1"/>
    <col min="10" max="10" width="19.140625" bestFit="1" customWidth="1"/>
    <col min="11" max="11" width="17.42578125" bestFit="1" customWidth="1"/>
    <col min="12" max="12" width="17.7109375" bestFit="1" customWidth="1"/>
    <col min="13" max="13" width="21.7109375" bestFit="1" customWidth="1"/>
    <col min="14" max="14" width="24.85546875" bestFit="1" customWidth="1"/>
    <col min="15" max="15" width="22.140625" bestFit="1" customWidth="1"/>
    <col min="16" max="16" width="25" bestFit="1" customWidth="1"/>
    <col min="17" max="17" width="23.28515625" bestFit="1" customWidth="1"/>
    <col min="18" max="18" width="23.5703125" bestFit="1" customWidth="1"/>
    <col min="19" max="19" width="27.5703125" bestFit="1" customWidth="1"/>
    <col min="20" max="20" width="17.42578125" bestFit="1" customWidth="1"/>
    <col min="21" max="21" width="21.7109375" bestFit="1" customWidth="1"/>
    <col min="22" max="22" width="26.28515625" bestFit="1" customWidth="1"/>
    <col min="23" max="23" width="23.42578125" bestFit="1" customWidth="1"/>
    <col min="24" max="24" width="26.42578125" bestFit="1" customWidth="1"/>
    <col min="25" max="25" width="24.5703125" bestFit="1" customWidth="1"/>
    <col min="26" max="26" width="28.85546875" bestFit="1" customWidth="1"/>
    <col min="27" max="27" width="24.85546875" bestFit="1" customWidth="1"/>
    <col min="28" max="28" width="22.140625" bestFit="1" customWidth="1"/>
    <col min="29" max="29" width="25" bestFit="1" customWidth="1"/>
    <col min="30" max="30" width="23.28515625" bestFit="1" customWidth="1"/>
    <col min="31" max="31" width="27.5703125" bestFit="1" customWidth="1"/>
    <col min="32" max="32" width="25" bestFit="1" customWidth="1"/>
    <col min="33" max="33" width="23.28515625" bestFit="1" customWidth="1"/>
    <col min="34" max="35" width="7" bestFit="1" customWidth="1"/>
    <col min="36" max="37" width="4" bestFit="1" customWidth="1"/>
    <col min="38" max="39" width="7" bestFit="1" customWidth="1"/>
    <col min="40" max="40" width="6" bestFit="1" customWidth="1"/>
    <col min="41" max="42" width="7" bestFit="1" customWidth="1"/>
    <col min="43" max="43" width="4" bestFit="1" customWidth="1"/>
    <col min="44" max="44" width="7" bestFit="1" customWidth="1"/>
    <col min="45" max="46" width="4" bestFit="1" customWidth="1"/>
    <col min="47" max="47" width="7" bestFit="1" customWidth="1"/>
    <col min="48" max="48" width="4" bestFit="1" customWidth="1"/>
    <col min="49" max="50" width="6" bestFit="1" customWidth="1"/>
    <col min="51" max="52" width="4" bestFit="1" customWidth="1"/>
    <col min="53" max="53" width="7" bestFit="1" customWidth="1"/>
    <col min="54" max="54" width="4" bestFit="1" customWidth="1"/>
    <col min="55" max="56" width="7" bestFit="1" customWidth="1"/>
    <col min="57" max="58" width="4" bestFit="1" customWidth="1"/>
    <col min="59" max="60" width="7" bestFit="1" customWidth="1"/>
    <col min="61" max="61" width="4" bestFit="1" customWidth="1"/>
    <col min="62" max="62" width="7" bestFit="1" customWidth="1"/>
    <col min="63" max="63" width="4" bestFit="1" customWidth="1"/>
    <col min="64" max="64" width="6" bestFit="1" customWidth="1"/>
    <col min="65" max="65" width="4" bestFit="1" customWidth="1"/>
    <col min="66" max="66" width="7" bestFit="1" customWidth="1"/>
    <col min="67" max="68" width="4" bestFit="1" customWidth="1"/>
    <col min="69" max="69" width="7" bestFit="1" customWidth="1"/>
    <col min="70" max="70" width="6" bestFit="1" customWidth="1"/>
    <col min="71" max="71" width="4" bestFit="1" customWidth="1"/>
    <col min="72" max="72" width="7" bestFit="1" customWidth="1"/>
    <col min="73" max="73" width="4" bestFit="1" customWidth="1"/>
    <col min="74" max="74" width="6" bestFit="1" customWidth="1"/>
    <col min="75" max="75" width="7" bestFit="1" customWidth="1"/>
    <col min="76" max="77" width="4" bestFit="1" customWidth="1"/>
    <col min="78" max="80" width="7" bestFit="1" customWidth="1"/>
    <col min="81" max="81" width="6" bestFit="1" customWidth="1"/>
    <col min="82" max="84" width="7" bestFit="1" customWidth="1"/>
    <col min="85" max="85" width="6" bestFit="1" customWidth="1"/>
    <col min="86" max="86" width="7" bestFit="1" customWidth="1"/>
    <col min="87" max="87" width="6" bestFit="1" customWidth="1"/>
    <col min="88" max="88" width="4" bestFit="1" customWidth="1"/>
    <col min="89" max="89" width="6" bestFit="1" customWidth="1"/>
    <col min="90" max="90" width="4" bestFit="1" customWidth="1"/>
    <col min="91" max="91" width="7" bestFit="1" customWidth="1"/>
    <col min="92" max="92" width="4" bestFit="1" customWidth="1"/>
    <col min="93" max="95" width="7" bestFit="1" customWidth="1"/>
    <col min="96" max="96" width="5" bestFit="1" customWidth="1"/>
    <col min="97" max="97" width="7" bestFit="1" customWidth="1"/>
    <col min="98" max="98" width="8" bestFit="1" customWidth="1"/>
    <col min="99" max="99" width="7" bestFit="1" customWidth="1"/>
    <col min="100" max="101" width="8" bestFit="1" customWidth="1"/>
    <col min="102" max="105" width="5" bestFit="1" customWidth="1"/>
    <col min="106" max="108" width="8" bestFit="1" customWidth="1"/>
    <col min="109" max="109" width="12" bestFit="1" customWidth="1"/>
    <col min="110" max="110" width="8" bestFit="1" customWidth="1"/>
    <col min="111" max="111" width="7" bestFit="1" customWidth="1"/>
    <col min="112" max="114" width="5" bestFit="1" customWidth="1"/>
    <col min="115" max="115" width="8" bestFit="1" customWidth="1"/>
    <col min="116" max="116" width="5" bestFit="1" customWidth="1"/>
    <col min="117" max="117" width="7" bestFit="1" customWidth="1"/>
    <col min="118" max="120" width="5" bestFit="1" customWidth="1"/>
    <col min="121" max="122" width="8" bestFit="1" customWidth="1"/>
    <col min="123" max="123" width="5" bestFit="1" customWidth="1"/>
    <col min="124" max="124" width="8" bestFit="1" customWidth="1"/>
    <col min="125" max="126" width="5" bestFit="1" customWidth="1"/>
    <col min="127" max="127" width="8" bestFit="1" customWidth="1"/>
    <col min="128" max="130" width="5" bestFit="1" customWidth="1"/>
    <col min="131" max="134" width="8" bestFit="1" customWidth="1"/>
    <col min="135" max="135" width="12" bestFit="1" customWidth="1"/>
    <col min="136" max="138" width="5" bestFit="1" customWidth="1"/>
    <col min="139" max="140" width="8" bestFit="1" customWidth="1"/>
    <col min="141" max="143" width="5" bestFit="1" customWidth="1"/>
    <col min="144" max="144" width="8" bestFit="1" customWidth="1"/>
    <col min="145" max="147" width="5" bestFit="1" customWidth="1"/>
    <col min="148" max="148" width="8" bestFit="1" customWidth="1"/>
    <col min="149" max="149" width="5" bestFit="1" customWidth="1"/>
    <col min="150" max="150" width="8" bestFit="1" customWidth="1"/>
    <col min="151" max="151" width="5" bestFit="1" customWidth="1"/>
    <col min="152" max="152" width="7" bestFit="1" customWidth="1"/>
    <col min="153" max="153" width="5" bestFit="1" customWidth="1"/>
    <col min="154" max="154" width="8" bestFit="1" customWidth="1"/>
    <col min="155" max="158" width="5" bestFit="1" customWidth="1"/>
    <col min="159" max="159" width="7" bestFit="1" customWidth="1"/>
    <col min="160" max="160" width="8" bestFit="1" customWidth="1"/>
    <col min="161" max="162" width="5" bestFit="1" customWidth="1"/>
    <col min="163" max="163" width="8" bestFit="1" customWidth="1"/>
    <col min="164" max="166" width="5" bestFit="1" customWidth="1"/>
    <col min="167" max="167" width="8" bestFit="1" customWidth="1"/>
    <col min="168" max="172" width="5" bestFit="1" customWidth="1"/>
    <col min="173" max="173" width="8" bestFit="1" customWidth="1"/>
    <col min="174" max="177" width="5" bestFit="1" customWidth="1"/>
    <col min="178" max="180" width="8" bestFit="1" customWidth="1"/>
    <col min="181" max="182" width="5" bestFit="1" customWidth="1"/>
    <col min="183" max="183" width="8" bestFit="1" customWidth="1"/>
    <col min="184" max="184" width="5" bestFit="1" customWidth="1"/>
    <col min="185" max="185" width="6" bestFit="1" customWidth="1"/>
    <col min="186" max="188" width="9" bestFit="1" customWidth="1"/>
    <col min="189" max="192" width="6" bestFit="1" customWidth="1"/>
    <col min="193" max="193" width="12" bestFit="1" customWidth="1"/>
    <col min="194" max="202" width="6" bestFit="1" customWidth="1"/>
    <col min="203" max="203" width="7" bestFit="1" customWidth="1"/>
    <col min="204" max="204" width="18.28515625" bestFit="1" customWidth="1"/>
  </cols>
  <sheetData>
    <row r="2" spans="1:8">
      <c r="A2" s="41" t="s">
        <v>2426</v>
      </c>
      <c r="B2" s="4" t="s">
        <v>2427</v>
      </c>
    </row>
    <row r="3" spans="1:8">
      <c r="A3" s="41" t="s">
        <v>2428</v>
      </c>
      <c r="B3" t="s">
        <v>2429</v>
      </c>
    </row>
    <row r="4" spans="1:8">
      <c r="A4" s="41" t="s">
        <v>2430</v>
      </c>
      <c r="B4" t="s">
        <v>2431</v>
      </c>
    </row>
    <row r="6" spans="1:8">
      <c r="A6" s="41" t="s">
        <v>2432</v>
      </c>
      <c r="B6" s="41" t="s">
        <v>2433</v>
      </c>
    </row>
    <row r="7" spans="1:8">
      <c r="A7" s="41" t="s">
        <v>2410</v>
      </c>
      <c r="B7" t="s">
        <v>345</v>
      </c>
      <c r="C7" t="s">
        <v>296</v>
      </c>
      <c r="D7" t="s">
        <v>111</v>
      </c>
      <c r="E7" t="s">
        <v>2434</v>
      </c>
      <c r="F7" t="s">
        <v>2435</v>
      </c>
      <c r="G7" t="s">
        <v>2408</v>
      </c>
      <c r="H7" t="s">
        <v>2414</v>
      </c>
    </row>
    <row r="8" spans="1:8">
      <c r="A8" s="42" t="s">
        <v>2124</v>
      </c>
      <c r="C8" s="4"/>
      <c r="D8" s="4"/>
      <c r="E8" s="4"/>
      <c r="F8" s="4">
        <v>2323.04</v>
      </c>
      <c r="G8" s="4"/>
      <c r="H8" s="4">
        <v>2323.04</v>
      </c>
    </row>
    <row r="9" spans="1:8">
      <c r="A9" s="158">
        <v>46081</v>
      </c>
      <c r="C9" s="4"/>
      <c r="D9" s="4"/>
      <c r="E9" s="4"/>
      <c r="F9" s="4">
        <v>2323.04</v>
      </c>
      <c r="G9" s="4"/>
      <c r="H9" s="4">
        <v>2323.04</v>
      </c>
    </row>
    <row r="10" spans="1:8">
      <c r="A10" s="42" t="s">
        <v>2436</v>
      </c>
      <c r="B10" s="4">
        <v>10000</v>
      </c>
      <c r="C10" s="4"/>
      <c r="D10" s="4"/>
      <c r="E10" s="4"/>
      <c r="F10" s="4"/>
      <c r="G10" s="4"/>
      <c r="H10" s="4">
        <v>10000</v>
      </c>
    </row>
    <row r="11" spans="1:8">
      <c r="A11" s="43" t="s">
        <v>2437</v>
      </c>
      <c r="B11" s="4">
        <v>5000</v>
      </c>
      <c r="C11" s="4"/>
      <c r="D11" s="4"/>
      <c r="E11" s="4"/>
      <c r="F11" s="4"/>
      <c r="G11" s="4"/>
      <c r="H11" s="4">
        <v>5000</v>
      </c>
    </row>
    <row r="12" spans="1:8">
      <c r="A12" s="43" t="s">
        <v>2438</v>
      </c>
      <c r="B12" s="4">
        <v>5000</v>
      </c>
      <c r="C12" s="4"/>
      <c r="D12" s="4"/>
      <c r="E12" s="4"/>
      <c r="F12" s="4"/>
      <c r="G12" s="4"/>
      <c r="H12" s="4">
        <v>5000</v>
      </c>
    </row>
    <row r="13" spans="1:8">
      <c r="A13" s="42" t="s">
        <v>2144</v>
      </c>
      <c r="B13" s="4">
        <v>1140</v>
      </c>
      <c r="C13" s="4"/>
      <c r="D13" s="4"/>
      <c r="E13" s="4"/>
      <c r="F13" s="4"/>
      <c r="G13" s="4"/>
      <c r="H13" s="4">
        <v>1140</v>
      </c>
    </row>
    <row r="14" spans="1:8">
      <c r="A14" s="43" t="s">
        <v>2437</v>
      </c>
      <c r="B14" s="4">
        <v>1140</v>
      </c>
      <c r="C14" s="4"/>
      <c r="D14" s="4"/>
      <c r="E14" s="4"/>
      <c r="F14" s="4"/>
      <c r="G14" s="4"/>
      <c r="H14" s="4">
        <v>1140</v>
      </c>
    </row>
    <row r="15" spans="1:8">
      <c r="A15" s="42" t="s">
        <v>2172</v>
      </c>
      <c r="C15" s="4"/>
      <c r="D15" s="4"/>
      <c r="E15" s="4"/>
      <c r="F15" s="4">
        <v>139.08000000000001</v>
      </c>
      <c r="G15" s="4"/>
      <c r="H15" s="4">
        <v>139.08000000000001</v>
      </c>
    </row>
    <row r="16" spans="1:8">
      <c r="A16" s="43" t="s">
        <v>2438</v>
      </c>
      <c r="C16" s="4"/>
      <c r="D16" s="4"/>
      <c r="E16" s="4"/>
      <c r="F16" s="4">
        <v>139.08000000000001</v>
      </c>
      <c r="G16" s="4"/>
      <c r="H16" s="4">
        <v>139.08000000000001</v>
      </c>
    </row>
    <row r="17" spans="1:8">
      <c r="A17" s="42" t="s">
        <v>2180</v>
      </c>
      <c r="B17" s="4">
        <v>10000</v>
      </c>
      <c r="C17" s="4"/>
      <c r="D17" s="4"/>
      <c r="E17" s="4"/>
      <c r="F17" s="4"/>
      <c r="G17" s="4"/>
      <c r="H17" s="4">
        <v>10000</v>
      </c>
    </row>
    <row r="18" spans="1:8">
      <c r="A18" s="43" t="s">
        <v>2438</v>
      </c>
      <c r="B18" s="4">
        <v>10000</v>
      </c>
      <c r="C18" s="4"/>
      <c r="D18" s="4"/>
      <c r="E18" s="4"/>
      <c r="F18" s="4"/>
      <c r="G18" s="4"/>
      <c r="H18" s="4">
        <v>10000</v>
      </c>
    </row>
    <row r="19" spans="1:8">
      <c r="A19" s="42" t="s">
        <v>2200</v>
      </c>
      <c r="C19" s="4">
        <v>3425</v>
      </c>
      <c r="D19" s="4"/>
      <c r="E19" s="4"/>
      <c r="F19" s="4"/>
      <c r="G19" s="4"/>
      <c r="H19" s="4">
        <v>3425</v>
      </c>
    </row>
    <row r="20" spans="1:8">
      <c r="A20" s="43" t="s">
        <v>2437</v>
      </c>
      <c r="C20" s="4">
        <v>3425</v>
      </c>
      <c r="D20" s="4"/>
      <c r="E20" s="4"/>
      <c r="F20" s="4"/>
      <c r="G20" s="4"/>
      <c r="H20" s="4">
        <v>3425</v>
      </c>
    </row>
    <row r="21" spans="1:8">
      <c r="A21" s="42" t="s">
        <v>2241</v>
      </c>
      <c r="C21" s="4">
        <v>1163.22</v>
      </c>
      <c r="D21" s="4"/>
      <c r="E21" s="4"/>
      <c r="F21" s="4"/>
      <c r="G21" s="4"/>
      <c r="H21" s="4">
        <v>1163.22</v>
      </c>
    </row>
    <row r="22" spans="1:8">
      <c r="A22" s="158">
        <v>46042</v>
      </c>
      <c r="C22" s="4">
        <v>1163.22</v>
      </c>
      <c r="D22" s="4"/>
      <c r="E22" s="4"/>
      <c r="F22" s="4"/>
      <c r="G22" s="4"/>
      <c r="H22" s="4">
        <v>1163.22</v>
      </c>
    </row>
    <row r="23" spans="1:8">
      <c r="A23" s="42" t="s">
        <v>2444</v>
      </c>
      <c r="C23" s="4"/>
      <c r="D23" s="4"/>
      <c r="E23" s="4">
        <v>502.6</v>
      </c>
      <c r="F23" s="4"/>
      <c r="G23" s="4"/>
      <c r="H23" s="4">
        <v>502.6</v>
      </c>
    </row>
    <row r="24" spans="1:8">
      <c r="A24" s="43" t="s">
        <v>2437</v>
      </c>
      <c r="C24" s="4"/>
      <c r="D24" s="4"/>
      <c r="E24" s="4">
        <v>502.6</v>
      </c>
      <c r="F24" s="4"/>
      <c r="G24" s="4"/>
      <c r="H24" s="4">
        <v>502.6</v>
      </c>
    </row>
    <row r="25" spans="1:8">
      <c r="A25" s="42" t="s">
        <v>2592</v>
      </c>
      <c r="C25" s="4">
        <v>67.38</v>
      </c>
      <c r="D25" s="4"/>
      <c r="E25" s="4"/>
      <c r="F25" s="4"/>
      <c r="G25" s="4"/>
      <c r="H25" s="4">
        <v>67.38</v>
      </c>
    </row>
    <row r="26" spans="1:8">
      <c r="A26" s="158">
        <v>46052</v>
      </c>
      <c r="C26" s="4">
        <v>67.38</v>
      </c>
      <c r="D26" s="4"/>
      <c r="E26" s="4"/>
      <c r="F26" s="4"/>
      <c r="G26" s="4"/>
      <c r="H26" s="4">
        <v>67.38</v>
      </c>
    </row>
    <row r="27" spans="1:8">
      <c r="A27" s="42" t="s">
        <v>2270</v>
      </c>
      <c r="C27" s="4"/>
      <c r="D27" s="4"/>
      <c r="E27" s="4"/>
      <c r="F27" s="4">
        <v>26333.333333333332</v>
      </c>
      <c r="G27" s="4"/>
      <c r="H27" s="4">
        <v>26333.333333333332</v>
      </c>
    </row>
    <row r="28" spans="1:8">
      <c r="A28" s="43" t="s">
        <v>2437</v>
      </c>
      <c r="C28" s="4"/>
      <c r="D28" s="4"/>
      <c r="E28" s="4"/>
      <c r="F28" s="4">
        <v>13166.666666666666</v>
      </c>
      <c r="G28" s="4"/>
      <c r="H28" s="4">
        <v>13166.666666666666</v>
      </c>
    </row>
    <row r="29" spans="1:8">
      <c r="A29" s="43" t="s">
        <v>2438</v>
      </c>
      <c r="C29" s="4"/>
      <c r="D29" s="4"/>
      <c r="E29" s="4"/>
      <c r="F29" s="4">
        <v>13166.666666666666</v>
      </c>
      <c r="G29" s="4"/>
      <c r="H29" s="4">
        <v>13166.666666666666</v>
      </c>
    </row>
    <row r="30" spans="1:8">
      <c r="A30" s="42" t="s">
        <v>2289</v>
      </c>
      <c r="C30" s="4"/>
      <c r="D30" s="4"/>
      <c r="E30" s="4"/>
      <c r="F30" s="4">
        <v>20003.11</v>
      </c>
      <c r="G30" s="4"/>
      <c r="H30" s="4">
        <v>20003.11</v>
      </c>
    </row>
    <row r="31" spans="1:8">
      <c r="A31" s="43" t="s">
        <v>2437</v>
      </c>
      <c r="C31" s="4"/>
      <c r="D31" s="4"/>
      <c r="E31" s="4"/>
      <c r="F31" s="4">
        <v>10003.11</v>
      </c>
      <c r="G31" s="4"/>
      <c r="H31" s="4">
        <v>10003.11</v>
      </c>
    </row>
    <row r="32" spans="1:8">
      <c r="A32" s="158">
        <v>46052</v>
      </c>
      <c r="C32" s="4"/>
      <c r="D32" s="4"/>
      <c r="E32" s="4"/>
      <c r="F32" s="4">
        <v>10000</v>
      </c>
      <c r="G32" s="4"/>
      <c r="H32" s="4">
        <v>10000</v>
      </c>
    </row>
    <row r="33" spans="1:8">
      <c r="A33" s="42" t="s">
        <v>2303</v>
      </c>
      <c r="C33" s="4"/>
      <c r="D33" s="4"/>
      <c r="E33" s="4"/>
      <c r="F33" s="4">
        <v>16000</v>
      </c>
      <c r="G33" s="4"/>
      <c r="H33" s="4">
        <v>16000</v>
      </c>
    </row>
    <row r="34" spans="1:8">
      <c r="A34" s="43" t="s">
        <v>2437</v>
      </c>
      <c r="C34" s="4"/>
      <c r="D34" s="4"/>
      <c r="E34" s="4"/>
      <c r="F34" s="4">
        <v>8000</v>
      </c>
      <c r="G34" s="4"/>
      <c r="H34" s="4">
        <v>8000</v>
      </c>
    </row>
    <row r="35" spans="1:8">
      <c r="A35" s="43" t="s">
        <v>2438</v>
      </c>
      <c r="C35" s="4"/>
      <c r="D35" s="4"/>
      <c r="E35" s="4"/>
      <c r="F35" s="4">
        <v>8000</v>
      </c>
      <c r="G35" s="4"/>
      <c r="H35" s="4">
        <v>8000</v>
      </c>
    </row>
    <row r="36" spans="1:8">
      <c r="A36" s="42" t="s">
        <v>2446</v>
      </c>
      <c r="C36" s="4"/>
      <c r="D36" s="4"/>
      <c r="E36" s="4"/>
      <c r="F36" s="4">
        <v>10000</v>
      </c>
      <c r="G36" s="4"/>
      <c r="H36" s="4">
        <v>10000</v>
      </c>
    </row>
    <row r="37" spans="1:8">
      <c r="A37" s="43" t="s">
        <v>2447</v>
      </c>
      <c r="C37" s="4"/>
      <c r="D37" s="4"/>
      <c r="E37" s="4"/>
      <c r="F37" s="4">
        <v>10000</v>
      </c>
      <c r="G37" s="4"/>
      <c r="H37" s="4">
        <v>10000</v>
      </c>
    </row>
    <row r="38" spans="1:8">
      <c r="A38" s="42" t="s">
        <v>2331</v>
      </c>
      <c r="C38" s="4"/>
      <c r="D38" s="4"/>
      <c r="E38" s="4"/>
      <c r="F38" s="4">
        <v>13000</v>
      </c>
      <c r="G38" s="4"/>
      <c r="H38" s="4">
        <v>13000</v>
      </c>
    </row>
    <row r="39" spans="1:8">
      <c r="A39" s="43" t="s">
        <v>2437</v>
      </c>
      <c r="C39" s="4"/>
      <c r="D39" s="4"/>
      <c r="E39" s="4"/>
      <c r="F39" s="4">
        <v>13000</v>
      </c>
      <c r="G39" s="4"/>
      <c r="H39" s="4">
        <v>13000</v>
      </c>
    </row>
    <row r="40" spans="1:8">
      <c r="A40" s="42" t="s">
        <v>2424</v>
      </c>
      <c r="C40" s="4">
        <v>2500</v>
      </c>
      <c r="D40" s="4"/>
      <c r="E40" s="4"/>
      <c r="F40" s="4">
        <v>2500</v>
      </c>
      <c r="G40" s="4"/>
      <c r="H40" s="4">
        <v>5000</v>
      </c>
    </row>
    <row r="41" spans="1:8">
      <c r="A41" s="158">
        <v>46081</v>
      </c>
      <c r="C41" s="4"/>
      <c r="D41" s="4"/>
      <c r="E41" s="4"/>
      <c r="F41" s="4">
        <v>2500</v>
      </c>
      <c r="G41" s="4"/>
      <c r="H41" s="4">
        <v>2500</v>
      </c>
    </row>
    <row r="42" spans="1:8">
      <c r="A42" s="158">
        <v>46031</v>
      </c>
      <c r="C42" s="4">
        <v>2500</v>
      </c>
      <c r="D42" s="4"/>
      <c r="E42" s="4"/>
      <c r="F42" s="4"/>
      <c r="G42" s="4"/>
      <c r="H42" s="4">
        <v>2500</v>
      </c>
    </row>
    <row r="43" spans="1:8">
      <c r="A43" s="42" t="s">
        <v>2449</v>
      </c>
      <c r="C43" s="4">
        <v>2000</v>
      </c>
      <c r="D43" s="4"/>
      <c r="E43" s="4"/>
      <c r="F43" s="4">
        <v>2000</v>
      </c>
      <c r="G43" s="4"/>
      <c r="H43" s="4">
        <v>4000</v>
      </c>
    </row>
    <row r="44" spans="1:8">
      <c r="A44" s="158">
        <v>46052</v>
      </c>
      <c r="C44" s="4">
        <v>2000</v>
      </c>
      <c r="D44" s="4"/>
      <c r="E44" s="4"/>
      <c r="F44" s="4"/>
      <c r="G44" s="4"/>
      <c r="H44" s="4">
        <v>2000</v>
      </c>
    </row>
    <row r="45" spans="1:8">
      <c r="A45" s="158">
        <v>46081</v>
      </c>
      <c r="C45" s="4"/>
      <c r="D45" s="4"/>
      <c r="E45" s="4"/>
      <c r="F45" s="4">
        <v>2000</v>
      </c>
      <c r="G45" s="4"/>
      <c r="H45" s="4">
        <v>2000</v>
      </c>
    </row>
    <row r="46" spans="1:8">
      <c r="A46" s="42" t="s">
        <v>2339</v>
      </c>
      <c r="C46" s="4"/>
      <c r="D46" s="4">
        <v>70000</v>
      </c>
      <c r="E46" s="4"/>
      <c r="F46" s="4"/>
      <c r="G46" s="4"/>
      <c r="H46" s="4">
        <v>70000</v>
      </c>
    </row>
    <row r="47" spans="1:8">
      <c r="A47" s="158">
        <v>46052</v>
      </c>
      <c r="C47" s="4"/>
      <c r="D47" s="4">
        <v>70000</v>
      </c>
      <c r="E47" s="4"/>
      <c r="F47" s="4"/>
      <c r="G47" s="4"/>
      <c r="H47" s="4">
        <v>70000</v>
      </c>
    </row>
    <row r="48" spans="1:8">
      <c r="A48" s="42" t="s">
        <v>2213</v>
      </c>
      <c r="B48" s="4">
        <v>560.03</v>
      </c>
      <c r="C48" s="4"/>
      <c r="D48" s="4"/>
      <c r="E48" s="4"/>
      <c r="F48" s="4"/>
      <c r="G48" s="4"/>
      <c r="H48" s="4">
        <v>560.03</v>
      </c>
    </row>
    <row r="49" spans="1:8">
      <c r="A49" s="158">
        <v>46081</v>
      </c>
      <c r="B49" s="4">
        <v>560.03</v>
      </c>
      <c r="C49" s="4"/>
      <c r="D49" s="4"/>
      <c r="E49" s="4"/>
      <c r="F49" s="4"/>
      <c r="G49" s="4"/>
      <c r="H49" s="4">
        <v>560.03</v>
      </c>
    </row>
    <row r="50" spans="1:8">
      <c r="A50" s="42" t="s">
        <v>2300</v>
      </c>
      <c r="B50" s="4">
        <v>5300</v>
      </c>
      <c r="C50" s="4"/>
      <c r="D50" s="4"/>
      <c r="E50" s="4"/>
      <c r="F50" s="4"/>
      <c r="G50" s="4"/>
      <c r="H50" s="4">
        <v>5300</v>
      </c>
    </row>
    <row r="51" spans="1:8">
      <c r="A51" s="43" t="s">
        <v>2437</v>
      </c>
      <c r="B51" s="4">
        <v>3600</v>
      </c>
      <c r="C51" s="4"/>
      <c r="D51" s="4"/>
      <c r="E51" s="4"/>
      <c r="F51" s="4"/>
      <c r="G51" s="4"/>
      <c r="H51" s="4">
        <v>3600</v>
      </c>
    </row>
    <row r="52" spans="1:8">
      <c r="A52" s="43" t="s">
        <v>2438</v>
      </c>
      <c r="B52" s="4">
        <v>1700</v>
      </c>
      <c r="C52" s="4"/>
      <c r="D52" s="4"/>
      <c r="E52" s="4"/>
      <c r="F52" s="4"/>
      <c r="G52" s="4"/>
      <c r="H52" s="4">
        <v>1700</v>
      </c>
    </row>
    <row r="53" spans="1:8">
      <c r="A53" s="42" t="s">
        <v>2103</v>
      </c>
      <c r="B53" s="4">
        <v>92.92</v>
      </c>
      <c r="C53" s="4"/>
      <c r="D53" s="4"/>
      <c r="E53" s="4"/>
      <c r="F53" s="4"/>
      <c r="G53" s="4"/>
      <c r="H53" s="4">
        <v>92.92</v>
      </c>
    </row>
    <row r="54" spans="1:8">
      <c r="A54" s="43" t="s">
        <v>2437</v>
      </c>
      <c r="B54" s="4">
        <v>92.92</v>
      </c>
      <c r="C54" s="4"/>
      <c r="D54" s="4"/>
      <c r="E54" s="4"/>
      <c r="F54" s="4"/>
      <c r="G54" s="4"/>
      <c r="H54" s="4">
        <v>92.92</v>
      </c>
    </row>
    <row r="55" spans="1:8">
      <c r="A55" s="42" t="s">
        <v>1047</v>
      </c>
      <c r="C55" s="4"/>
      <c r="D55" s="4"/>
      <c r="E55" s="4"/>
      <c r="F55" s="4"/>
      <c r="G55" s="4">
        <v>5094.0450000000001</v>
      </c>
      <c r="H55" s="4">
        <v>5094.0450000000001</v>
      </c>
    </row>
    <row r="56" spans="1:8">
      <c r="A56" s="43" t="s">
        <v>2437</v>
      </c>
      <c r="C56" s="4"/>
      <c r="D56" s="4"/>
      <c r="E56" s="4"/>
      <c r="F56" s="4"/>
      <c r="G56" s="4">
        <v>5094.0450000000001</v>
      </c>
      <c r="H56" s="4">
        <v>5094.0450000000001</v>
      </c>
    </row>
    <row r="57" spans="1:8">
      <c r="A57" s="42" t="s">
        <v>2269</v>
      </c>
      <c r="B57" s="4">
        <v>57.2</v>
      </c>
      <c r="C57" s="4"/>
      <c r="D57" s="4"/>
      <c r="E57" s="4"/>
      <c r="F57" s="4"/>
      <c r="G57" s="4"/>
      <c r="H57" s="4">
        <v>57.2</v>
      </c>
    </row>
    <row r="58" spans="1:8">
      <c r="A58" s="43" t="s">
        <v>2438</v>
      </c>
      <c r="B58" s="4">
        <v>57.2</v>
      </c>
      <c r="C58" s="4"/>
      <c r="D58" s="4"/>
      <c r="E58" s="4"/>
      <c r="F58" s="4"/>
      <c r="G58" s="4"/>
      <c r="H58" s="4">
        <v>57.2</v>
      </c>
    </row>
    <row r="59" spans="1:8">
      <c r="A59" s="42" t="s">
        <v>2231</v>
      </c>
      <c r="C59" s="4"/>
      <c r="D59" s="4"/>
      <c r="E59" s="4"/>
      <c r="F59" s="4">
        <v>2500</v>
      </c>
      <c r="G59" s="4"/>
      <c r="H59" s="4">
        <v>2500</v>
      </c>
    </row>
    <row r="60" spans="1:8">
      <c r="A60" s="158">
        <v>46081</v>
      </c>
      <c r="C60" s="4"/>
      <c r="D60" s="4"/>
      <c r="E60" s="4"/>
      <c r="F60" s="4">
        <v>2500</v>
      </c>
      <c r="G60" s="4"/>
      <c r="H60" s="4">
        <v>2500</v>
      </c>
    </row>
    <row r="61" spans="1:8">
      <c r="A61" s="42" t="s">
        <v>2414</v>
      </c>
      <c r="B61" s="4">
        <v>27150.149999999998</v>
      </c>
      <c r="C61" s="4">
        <v>9155.6</v>
      </c>
      <c r="D61" s="4">
        <v>70000</v>
      </c>
      <c r="E61" s="4">
        <v>502.6</v>
      </c>
      <c r="F61" s="4">
        <v>94798.563333333324</v>
      </c>
      <c r="G61" s="4">
        <v>5094.0450000000001</v>
      </c>
      <c r="H61" s="4">
        <v>206700.95833333337</v>
      </c>
    </row>
    <row r="62" spans="1:8">
      <c r="B62"/>
    </row>
    <row r="63" spans="1:8">
      <c r="B63"/>
    </row>
    <row r="64" spans="1:8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</sheetData>
  <pageMargins left="0.70866141732283472" right="0.70866141732283472" top="0.74803149606299213" bottom="0.74803149606299213" header="0.31496062992125978" footer="0.31496062992125978"/>
  <pageSetup paperSize="9" scale="59" fitToWidth="0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3">
    <pageSetUpPr fitToPage="1"/>
  </sheetPr>
  <dimension ref="A1:R1129"/>
  <sheetViews>
    <sheetView zoomScale="85" zoomScaleNormal="85" workbookViewId="0">
      <pane ySplit="1" topLeftCell="A2" activePane="bottomLeft" state="frozen"/>
      <selection pane="bottomLeft" activeCell="B343" sqref="B343"/>
    </sheetView>
  </sheetViews>
  <sheetFormatPr defaultRowHeight="26.25"/>
  <cols>
    <col min="1" max="1" width="23.140625" style="7" bestFit="1" customWidth="1"/>
    <col min="2" max="2" width="11.85546875" style="44" customWidth="1"/>
    <col min="3" max="3" width="32.85546875" bestFit="1" customWidth="1"/>
    <col min="4" max="4" width="15.28515625" style="4" bestFit="1" customWidth="1"/>
    <col min="5" max="5" width="13.85546875" style="65" bestFit="1" customWidth="1"/>
    <col min="6" max="6" width="16.28515625" style="48" customWidth="1"/>
    <col min="7" max="7" width="14.85546875" bestFit="1" customWidth="1"/>
    <col min="8" max="8" width="13" style="11" bestFit="1" customWidth="1"/>
    <col min="9" max="10" width="13.140625" style="11" bestFit="1" customWidth="1"/>
    <col min="11" max="11" width="14" style="11" bestFit="1" customWidth="1"/>
    <col min="12" max="12" width="13.140625" style="11" bestFit="1" customWidth="1"/>
    <col min="13" max="13" width="13.140625" style="11" customWidth="1"/>
    <col min="14" max="14" width="21.7109375" style="22" bestFit="1" customWidth="1"/>
    <col min="15" max="15" width="34" style="30" bestFit="1" customWidth="1"/>
    <col min="16" max="16" width="27.85546875" style="9" customWidth="1"/>
    <col min="17" max="17" width="12.42578125" bestFit="1" customWidth="1"/>
  </cols>
  <sheetData>
    <row r="1" spans="1:17" ht="20.100000000000001" customHeight="1">
      <c r="A1" s="5" t="s">
        <v>2428</v>
      </c>
      <c r="B1" s="50" t="s">
        <v>2496</v>
      </c>
      <c r="C1" s="1" t="s">
        <v>2497</v>
      </c>
      <c r="D1" s="1" t="s">
        <v>2498</v>
      </c>
      <c r="E1" s="8" t="s">
        <v>2426</v>
      </c>
      <c r="F1" s="1" t="s">
        <v>2430</v>
      </c>
      <c r="G1" s="1" t="s">
        <v>2499</v>
      </c>
      <c r="H1" s="8" t="s">
        <v>345</v>
      </c>
      <c r="I1" s="8" t="s">
        <v>2434</v>
      </c>
      <c r="J1" s="8" t="s">
        <v>627</v>
      </c>
      <c r="K1" s="8" t="s">
        <v>2500</v>
      </c>
      <c r="L1" s="8" t="s">
        <v>2095</v>
      </c>
      <c r="M1" s="1" t="s">
        <v>825</v>
      </c>
      <c r="N1" s="20" t="s">
        <v>2501</v>
      </c>
      <c r="O1" s="30" t="s">
        <v>2040</v>
      </c>
      <c r="P1" s="9" t="s">
        <v>2502</v>
      </c>
      <c r="Q1" t="s">
        <v>2503</v>
      </c>
    </row>
    <row r="2" spans="1:17" ht="20.100000000000001" hidden="1" customHeight="1">
      <c r="A2" s="6" t="s">
        <v>2504</v>
      </c>
      <c r="B2" s="51"/>
      <c r="C2" s="2" t="s">
        <v>2505</v>
      </c>
      <c r="D2" s="3"/>
      <c r="E2" s="64"/>
      <c r="F2" s="49"/>
      <c r="G2" s="2" t="s">
        <v>2506</v>
      </c>
      <c r="H2" s="3">
        <v>25292.62</v>
      </c>
      <c r="I2" s="3">
        <v>554.91</v>
      </c>
      <c r="J2" s="3">
        <v>50.36</v>
      </c>
      <c r="K2" s="3">
        <v>13096.87</v>
      </c>
      <c r="L2" s="3">
        <f>216+3320.56</f>
        <v>3536.56</v>
      </c>
      <c r="M2" s="3"/>
      <c r="N2" s="21">
        <f>H2+I2+J2+K2+L2</f>
        <v>42531.32</v>
      </c>
      <c r="P2" s="150" t="s">
        <v>2507</v>
      </c>
      <c r="Q2" s="150"/>
    </row>
    <row r="3" spans="1:17" ht="20.100000000000001" hidden="1" customHeight="1">
      <c r="A3" s="23" t="s">
        <v>2508</v>
      </c>
      <c r="B3" s="52"/>
      <c r="C3" s="24"/>
      <c r="D3" s="27">
        <f>SUMPRODUCT((A4:A7="September 2025")*(E4:E7="E")*D4:D7) - SUMPRODUCT((A4:A7="September 2025")*(E4:E7="U")*D4:D7)</f>
        <v>-28904</v>
      </c>
      <c r="E3" s="46"/>
      <c r="F3" s="47"/>
      <c r="G3" s="24" t="s">
        <v>2509</v>
      </c>
      <c r="H3" s="25"/>
      <c r="I3" s="25"/>
      <c r="J3" s="25"/>
      <c r="K3" s="25"/>
      <c r="L3" s="25"/>
      <c r="M3" s="25"/>
      <c r="N3" s="28"/>
      <c r="O3" s="31"/>
      <c r="P3" s="130" t="s">
        <v>49</v>
      </c>
      <c r="Q3" s="129" t="s">
        <v>2510</v>
      </c>
    </row>
    <row r="4" spans="1:17" ht="20.100000000000001" hidden="1" customHeight="1">
      <c r="A4" s="7" t="s">
        <v>2511</v>
      </c>
      <c r="B4" s="44">
        <v>45930</v>
      </c>
      <c r="C4" t="s">
        <v>2512</v>
      </c>
      <c r="D4" s="4">
        <f>3122.88</f>
        <v>3122.88</v>
      </c>
      <c r="E4" s="65" t="s">
        <v>2427</v>
      </c>
      <c r="F4" s="131" t="s">
        <v>49</v>
      </c>
      <c r="G4" t="s">
        <v>111</v>
      </c>
      <c r="H4" s="19" t="str">
        <f>IF(AND($F4="X",$G4="BCC"),IF($E4="U",-$D4,$D4),"")</f>
        <v/>
      </c>
      <c r="I4" s="19" t="str">
        <f>IF(AND($F4="X",$G4="INTESA"),IF($E4="U",-$D4,$D4),"")</f>
        <v/>
      </c>
      <c r="J4" s="19">
        <f>IF(AND($F4="X",$G4="BPM"),IF($E4="U",-$D4,$D4),"")</f>
        <v>-3122.88</v>
      </c>
      <c r="K4" s="19" t="str">
        <f>IF(AND($F4="X",$G4="SONDRIO"),IF($E4="U",-$D4,$D4),"")</f>
        <v/>
      </c>
      <c r="L4" s="19" t="str">
        <f>IF(AND($F4="X",$G4="BPER"),IF($E4="U",-$D4,$D4),"")</f>
        <v/>
      </c>
      <c r="M4" s="19" t="str">
        <f>IF(AND($F4="X",$G4="CASSA"),IF($E4="U",-$D4,$D4),"")</f>
        <v/>
      </c>
      <c r="N4" s="22">
        <f>IF(F4="X",IF(E4="U",-D4,D4),"non ancora confermato")</f>
        <v>-3122.88</v>
      </c>
      <c r="O4" s="31"/>
      <c r="P4" s="131" t="s">
        <v>49</v>
      </c>
      <c r="Q4" s="125" t="s">
        <v>2513</v>
      </c>
    </row>
    <row r="5" spans="1:17" ht="20.100000000000001" hidden="1" customHeight="1">
      <c r="A5" s="7" t="s">
        <v>2511</v>
      </c>
      <c r="B5" s="44">
        <v>45930</v>
      </c>
      <c r="C5" t="s">
        <v>2444</v>
      </c>
      <c r="D5" s="4">
        <v>502.6</v>
      </c>
      <c r="E5" s="65" t="s">
        <v>2427</v>
      </c>
      <c r="F5" s="131" t="s">
        <v>49</v>
      </c>
      <c r="G5" t="s">
        <v>2434</v>
      </c>
      <c r="H5" s="19" t="str">
        <f>IF(AND($F5="X",$G5="BCC"),IF($E5="U",-$D5,$D5),"")</f>
        <v/>
      </c>
      <c r="I5" s="19">
        <f>IF(AND($F5="X",$G5="INTESA"),IF($E5="U",-$D5,$D5),"")</f>
        <v>-502.6</v>
      </c>
      <c r="J5" s="19" t="str">
        <f>IF(AND($F5="X",$G5="BPM"),IF($E5="U",-$D5,$D5),"")</f>
        <v/>
      </c>
      <c r="K5" s="19" t="str">
        <f>IF(AND($F5="X",$G5="SONDRIO"),IF($E5="U",-$D5,$D5),"")</f>
        <v/>
      </c>
      <c r="L5" s="19" t="str">
        <f>IF(AND($F5="X",$G5="BPER"),IF($E5="U",-$D5,$D5),"")</f>
        <v/>
      </c>
      <c r="M5" s="19" t="str">
        <f>IF(AND($F5="X",$G5="CASSA"),IF($E5="U",-$D5,$D5),"")</f>
        <v/>
      </c>
      <c r="N5" s="22">
        <f>IF(F5="X",IF(E5="U",-D5,D5),"non ancora confermato")</f>
        <v>-502.6</v>
      </c>
      <c r="O5" s="145"/>
      <c r="P5" s="142" t="s">
        <v>49</v>
      </c>
      <c r="Q5" s="143" t="s">
        <v>2514</v>
      </c>
    </row>
    <row r="6" spans="1:17" ht="20.100000000000001" hidden="1" customHeight="1">
      <c r="A6" s="7" t="s">
        <v>2511</v>
      </c>
      <c r="B6" s="44">
        <v>45930</v>
      </c>
      <c r="C6" t="s">
        <v>2515</v>
      </c>
      <c r="D6" s="4">
        <v>278.52</v>
      </c>
      <c r="E6" s="65" t="s">
        <v>2427</v>
      </c>
      <c r="F6" s="131" t="s">
        <v>49</v>
      </c>
      <c r="G6" t="s">
        <v>2435</v>
      </c>
      <c r="H6" s="19" t="str">
        <f>IF(AND($F6="X",$G6="BCC"),IF($E6="U",-$D6,$D6),"")</f>
        <v/>
      </c>
      <c r="I6" s="19" t="str">
        <f>IF(AND($F6="X",$G6="INTESA"),IF($E6="U",-$D6,$D6),"")</f>
        <v/>
      </c>
      <c r="J6" s="19" t="str">
        <f>IF(AND($F6="X",$G6="BPM"),IF($E6="U",-$D6,$D6),"")</f>
        <v/>
      </c>
      <c r="K6" s="19">
        <f>IF(AND($F6="X",$G6="SONDRIO"),IF($E6="U",-$D6,$D6),"")</f>
        <v>-278.52</v>
      </c>
      <c r="L6" s="19" t="str">
        <f>IF(AND($F6="X",$G6="BPER"),IF($E6="U",-$D6,$D6),"")</f>
        <v/>
      </c>
      <c r="M6" s="19" t="str">
        <f>IF(AND($F6="X",$G6="CASSA"),IF($E6="U",-$D6,$D6),"")</f>
        <v/>
      </c>
      <c r="N6" s="22">
        <f>IF(F6="X",IF(E6="U",-D6,D6),"non ancora confermato")</f>
        <v>-278.52</v>
      </c>
      <c r="O6" s="145"/>
    </row>
    <row r="7" spans="1:17" ht="20.100000000000001" hidden="1" customHeight="1">
      <c r="A7" s="7" t="s">
        <v>2511</v>
      </c>
      <c r="B7" s="44">
        <v>45930</v>
      </c>
      <c r="C7" t="s">
        <v>2303</v>
      </c>
      <c r="D7" s="4">
        <v>25000</v>
      </c>
      <c r="E7" s="65" t="s">
        <v>2427</v>
      </c>
      <c r="F7" s="131" t="s">
        <v>49</v>
      </c>
      <c r="G7" t="s">
        <v>345</v>
      </c>
      <c r="H7" s="19">
        <f>IF(AND($F7="X",$G7="BCC"),IF($E7="U",-$D7,$D7),"")</f>
        <v>-25000</v>
      </c>
      <c r="I7" s="19" t="str">
        <f>IF(AND($F7="X",$G7="INTESA"),IF($E7="U",-$D7,$D7),"")</f>
        <v/>
      </c>
      <c r="J7" s="19" t="str">
        <f>IF(AND($F7="X",$G7="BPM"),IF($E7="U",-$D7,$D7),"")</f>
        <v/>
      </c>
      <c r="K7" s="19" t="str">
        <f>IF(AND($F7="X",$G7="SONDRIO"),IF($E7="U",-$D7,$D7),"")</f>
        <v/>
      </c>
      <c r="L7" s="19" t="str">
        <f>IF(AND($F7="X",$G7="BPER"),IF($E7="U",-$D7,$D7),"")</f>
        <v/>
      </c>
      <c r="M7" s="19" t="str">
        <f>IF(AND($F7="X",$G7="CASSA"),IF($E7="U",-$D7,$D7),"")</f>
        <v/>
      </c>
      <c r="N7" s="22">
        <f>IF(F7="X",IF(E7="U",-D7,D7),"non ancora confermato")</f>
        <v>-25000</v>
      </c>
      <c r="O7" s="145"/>
    </row>
    <row r="8" spans="1:17" s="9" customFormat="1" ht="33" hidden="1" customHeight="1">
      <c r="A8" s="13"/>
      <c r="B8" s="53"/>
      <c r="D8" s="10"/>
      <c r="E8" s="65"/>
      <c r="F8" s="45" t="s">
        <v>2516</v>
      </c>
      <c r="G8" s="19">
        <f>SUMIF(E4:E7, "E",D4:D7)</f>
        <v>0</v>
      </c>
      <c r="H8" s="18" t="s">
        <v>2517</v>
      </c>
      <c r="I8" s="12">
        <f>SUMIF(E4:E7, "U",D4:D7)</f>
        <v>28904</v>
      </c>
      <c r="J8" s="16" t="s">
        <v>2518</v>
      </c>
      <c r="K8" s="19">
        <f>G8-I8</f>
        <v>-28904</v>
      </c>
      <c r="L8" s="18" t="s">
        <v>2519</v>
      </c>
      <c r="M8" s="18"/>
      <c r="N8" s="19">
        <f>N2+D3</f>
        <v>13627.32</v>
      </c>
      <c r="O8" s="34"/>
    </row>
    <row r="9" spans="1:17" ht="20.100000000000001" hidden="1" customHeight="1">
      <c r="A9" s="23" t="s">
        <v>2520</v>
      </c>
      <c r="B9" s="52"/>
      <c r="C9" s="24" t="s">
        <v>2521</v>
      </c>
      <c r="D9" s="27">
        <f>SUMPRODUCT((A10:A127="October 2025")*(E10:E127="E")*D10:D127) - SUMPRODUCT((A10:A127="October 2025")*(E10:E127="U")*D10:D127)</f>
        <v>257706.19000000006</v>
      </c>
      <c r="E9" s="46"/>
      <c r="F9" s="47"/>
      <c r="G9" s="24" t="s">
        <v>2509</v>
      </c>
      <c r="H9" s="26">
        <f>(H2+SUM(H4:H7))</f>
        <v>292.61999999999898</v>
      </c>
      <c r="I9" s="26">
        <f>I2+SUM(I4:I7)</f>
        <v>52.309999999999945</v>
      </c>
      <c r="J9" s="26">
        <f>J2+SUM(J4:J7)</f>
        <v>-3072.52</v>
      </c>
      <c r="K9" s="26">
        <f>(K2+SUM(K4:K7))</f>
        <v>12818.35</v>
      </c>
      <c r="L9" s="26">
        <f>L2+SUM(L4:L7)</f>
        <v>3536.56</v>
      </c>
      <c r="M9" s="26"/>
      <c r="N9" s="26">
        <f>SUM(H9:L9)</f>
        <v>13627.319999999998</v>
      </c>
      <c r="O9" s="35" t="s">
        <v>2522</v>
      </c>
      <c r="P9" s="14">
        <f>N2+K8</f>
        <v>13627.32</v>
      </c>
    </row>
    <row r="10" spans="1:17" ht="20.100000000000001" hidden="1" customHeight="1">
      <c r="A10" s="7" t="s">
        <v>2523</v>
      </c>
      <c r="B10" s="44">
        <v>45931</v>
      </c>
      <c r="C10" t="s">
        <v>2441</v>
      </c>
      <c r="D10" s="4">
        <f>8727.08+140.78+136.11</f>
        <v>9003.9700000000012</v>
      </c>
      <c r="E10" s="65" t="s">
        <v>2427</v>
      </c>
      <c r="F10" s="131" t="s">
        <v>49</v>
      </c>
      <c r="G10" t="s">
        <v>2435</v>
      </c>
      <c r="H10" s="19" t="str">
        <f t="shared" ref="H10:H41" si="0">IF(AND($F10="X",$G10="BCC"),IF($E10="U",-$D10,$D10),"")</f>
        <v/>
      </c>
      <c r="I10" s="19" t="str">
        <f t="shared" ref="I10:I41" si="1">IF(AND($F10="X",$G10="INTESA"),IF($E10="U",-$D10,$D10),"")</f>
        <v/>
      </c>
      <c r="J10" s="19" t="str">
        <f t="shared" ref="J10:J41" si="2">IF(AND($F10="X",$G10="BPM"),IF($E10="U",-$D10,$D10),"")</f>
        <v/>
      </c>
      <c r="K10" s="19">
        <f t="shared" ref="K10:K41" si="3">IF(AND($F10="X",$G10="SONDRIO"),IF($E10="U",-$D10,$D10),"")</f>
        <v>-9003.9700000000012</v>
      </c>
      <c r="L10" s="19" t="str">
        <f t="shared" ref="L10:L41" si="4">IF(AND($F10="X",$G10="BPER"),IF($E10="U",-$D10,$D10),"")</f>
        <v/>
      </c>
      <c r="M10" s="19" t="str">
        <f t="shared" ref="M10:M41" si="5">IF(AND($F10="X",$G10="CASSA"),IF($E10="U",-$D10,$D10),"")</f>
        <v/>
      </c>
      <c r="N10" s="22">
        <f t="shared" ref="N10:N41" si="6">IF(F10="X",IF(E10="U",-D10,D10),"non ancora confermato")</f>
        <v>-9003.9700000000012</v>
      </c>
      <c r="O10" s="31"/>
    </row>
    <row r="11" spans="1:17" ht="20.100000000000001" hidden="1" customHeight="1">
      <c r="A11" s="7" t="s">
        <v>2523</v>
      </c>
      <c r="B11" s="44">
        <v>45931</v>
      </c>
      <c r="C11" t="s">
        <v>2444</v>
      </c>
      <c r="D11" s="4">
        <v>502.6</v>
      </c>
      <c r="E11" s="65" t="s">
        <v>2427</v>
      </c>
      <c r="F11" s="131" t="s">
        <v>49</v>
      </c>
      <c r="G11" t="s">
        <v>2434</v>
      </c>
      <c r="H11" s="19" t="str">
        <f t="shared" si="0"/>
        <v/>
      </c>
      <c r="I11" s="19">
        <f t="shared" si="1"/>
        <v>-502.6</v>
      </c>
      <c r="J11" s="19" t="str">
        <f t="shared" si="2"/>
        <v/>
      </c>
      <c r="K11" s="19" t="str">
        <f t="shared" si="3"/>
        <v/>
      </c>
      <c r="L11" s="19" t="str">
        <f t="shared" si="4"/>
        <v/>
      </c>
      <c r="M11" s="19" t="str">
        <f t="shared" si="5"/>
        <v/>
      </c>
      <c r="N11" s="22">
        <f t="shared" si="6"/>
        <v>-502.6</v>
      </c>
      <c r="O11" s="31"/>
      <c r="P11" s="142" t="s">
        <v>49</v>
      </c>
      <c r="Q11" s="143" t="s">
        <v>2514</v>
      </c>
    </row>
    <row r="12" spans="1:17" ht="20.100000000000001" hidden="1" customHeight="1">
      <c r="A12" s="7" t="s">
        <v>2523</v>
      </c>
      <c r="B12" s="44">
        <v>45932</v>
      </c>
      <c r="C12" t="s">
        <v>2524</v>
      </c>
      <c r="D12" s="4">
        <v>1041.2</v>
      </c>
      <c r="E12" s="65" t="s">
        <v>2427</v>
      </c>
      <c r="F12" s="131" t="s">
        <v>49</v>
      </c>
      <c r="G12" t="s">
        <v>345</v>
      </c>
      <c r="H12" s="19">
        <f t="shared" si="0"/>
        <v>-1041.2</v>
      </c>
      <c r="I12" s="19" t="str">
        <f t="shared" si="1"/>
        <v/>
      </c>
      <c r="J12" s="19" t="str">
        <f t="shared" si="2"/>
        <v/>
      </c>
      <c r="K12" s="19" t="str">
        <f t="shared" si="3"/>
        <v/>
      </c>
      <c r="L12" s="19" t="str">
        <f t="shared" si="4"/>
        <v/>
      </c>
      <c r="M12" s="19" t="str">
        <f t="shared" si="5"/>
        <v/>
      </c>
      <c r="N12" s="22">
        <f t="shared" si="6"/>
        <v>-1041.2</v>
      </c>
      <c r="O12" s="31"/>
    </row>
    <row r="13" spans="1:17" ht="20.100000000000001" hidden="1" customHeight="1">
      <c r="A13" s="7" t="s">
        <v>2525</v>
      </c>
      <c r="B13" s="44">
        <v>45939</v>
      </c>
      <c r="C13" t="s">
        <v>2526</v>
      </c>
      <c r="D13" s="4">
        <v>3000</v>
      </c>
      <c r="E13" s="65" t="s">
        <v>2527</v>
      </c>
      <c r="F13" s="131" t="s">
        <v>49</v>
      </c>
      <c r="G13" t="s">
        <v>111</v>
      </c>
      <c r="H13" s="19" t="str">
        <f t="shared" si="0"/>
        <v/>
      </c>
      <c r="I13" s="19" t="str">
        <f t="shared" si="1"/>
        <v/>
      </c>
      <c r="J13" s="19">
        <f t="shared" si="2"/>
        <v>3000</v>
      </c>
      <c r="K13" s="19" t="str">
        <f t="shared" si="3"/>
        <v/>
      </c>
      <c r="L13" s="19" t="str">
        <f t="shared" si="4"/>
        <v/>
      </c>
      <c r="M13" s="19" t="str">
        <f t="shared" si="5"/>
        <v/>
      </c>
      <c r="N13" s="22">
        <f t="shared" si="6"/>
        <v>3000</v>
      </c>
      <c r="O13" s="31"/>
    </row>
    <row r="14" spans="1:17" ht="20.100000000000001" hidden="1" customHeight="1">
      <c r="A14" s="7" t="s">
        <v>2525</v>
      </c>
      <c r="B14" s="44">
        <v>45939</v>
      </c>
      <c r="C14" t="s">
        <v>2526</v>
      </c>
      <c r="D14" s="4">
        <v>3000</v>
      </c>
      <c r="E14" s="65" t="s">
        <v>2427</v>
      </c>
      <c r="F14" s="131" t="s">
        <v>49</v>
      </c>
      <c r="G14" t="s">
        <v>296</v>
      </c>
      <c r="H14" s="19" t="str">
        <f t="shared" si="0"/>
        <v/>
      </c>
      <c r="I14" s="19" t="str">
        <f t="shared" si="1"/>
        <v/>
      </c>
      <c r="J14" s="19" t="str">
        <f t="shared" si="2"/>
        <v/>
      </c>
      <c r="K14" s="19" t="str">
        <f t="shared" si="3"/>
        <v/>
      </c>
      <c r="L14" s="19">
        <f t="shared" si="4"/>
        <v>-3000</v>
      </c>
      <c r="M14" s="19" t="str">
        <f t="shared" si="5"/>
        <v/>
      </c>
      <c r="N14" s="22">
        <f t="shared" si="6"/>
        <v>-3000</v>
      </c>
      <c r="O14" s="31"/>
    </row>
    <row r="15" spans="1:17" ht="20.100000000000001" hidden="1" customHeight="1">
      <c r="A15" s="7" t="s">
        <v>2525</v>
      </c>
      <c r="B15" s="44">
        <v>45939</v>
      </c>
      <c r="C15" t="s">
        <v>2528</v>
      </c>
      <c r="D15" s="4">
        <v>100</v>
      </c>
      <c r="E15" s="65" t="s">
        <v>2527</v>
      </c>
      <c r="F15" s="131" t="s">
        <v>49</v>
      </c>
      <c r="G15" t="s">
        <v>111</v>
      </c>
      <c r="H15" s="19" t="str">
        <f t="shared" si="0"/>
        <v/>
      </c>
      <c r="I15" s="19" t="str">
        <f t="shared" si="1"/>
        <v/>
      </c>
      <c r="J15" s="19">
        <f t="shared" si="2"/>
        <v>100</v>
      </c>
      <c r="K15" s="19" t="str">
        <f t="shared" si="3"/>
        <v/>
      </c>
      <c r="L15" s="19" t="str">
        <f t="shared" si="4"/>
        <v/>
      </c>
      <c r="M15" s="19" t="str">
        <f t="shared" si="5"/>
        <v/>
      </c>
      <c r="N15" s="22">
        <f t="shared" si="6"/>
        <v>100</v>
      </c>
      <c r="O15" s="31"/>
    </row>
    <row r="16" spans="1:17" ht="20.100000000000001" hidden="1" customHeight="1">
      <c r="A16" s="7" t="s">
        <v>2525</v>
      </c>
      <c r="B16" s="44">
        <v>45939</v>
      </c>
      <c r="C16" t="s">
        <v>2528</v>
      </c>
      <c r="D16" s="4">
        <v>100</v>
      </c>
      <c r="E16" s="65" t="s">
        <v>2427</v>
      </c>
      <c r="F16" s="131" t="s">
        <v>49</v>
      </c>
      <c r="G16" t="s">
        <v>2435</v>
      </c>
      <c r="H16" s="19" t="str">
        <f t="shared" si="0"/>
        <v/>
      </c>
      <c r="I16" s="19" t="str">
        <f t="shared" si="1"/>
        <v/>
      </c>
      <c r="J16" s="19" t="str">
        <f t="shared" si="2"/>
        <v/>
      </c>
      <c r="K16" s="19">
        <f t="shared" si="3"/>
        <v>-100</v>
      </c>
      <c r="L16" s="19" t="str">
        <f t="shared" si="4"/>
        <v/>
      </c>
      <c r="M16" s="19" t="str">
        <f t="shared" si="5"/>
        <v/>
      </c>
      <c r="N16" s="22">
        <f t="shared" si="6"/>
        <v>-100</v>
      </c>
      <c r="O16" s="31"/>
    </row>
    <row r="17" spans="1:15" ht="20.100000000000001" hidden="1" customHeight="1">
      <c r="A17" s="7" t="s">
        <v>2523</v>
      </c>
      <c r="B17" s="44">
        <v>45932</v>
      </c>
      <c r="C17" t="s">
        <v>2446</v>
      </c>
      <c r="D17" s="4">
        <v>800</v>
      </c>
      <c r="E17" s="65" t="s">
        <v>2427</v>
      </c>
      <c r="F17" s="131" t="s">
        <v>49</v>
      </c>
      <c r="G17" t="s">
        <v>2435</v>
      </c>
      <c r="H17" s="19" t="str">
        <f t="shared" si="0"/>
        <v/>
      </c>
      <c r="I17" s="19" t="str">
        <f t="shared" si="1"/>
        <v/>
      </c>
      <c r="J17" s="19" t="str">
        <f t="shared" si="2"/>
        <v/>
      </c>
      <c r="K17" s="19">
        <f t="shared" si="3"/>
        <v>-800</v>
      </c>
      <c r="L17" s="19" t="str">
        <f t="shared" si="4"/>
        <v/>
      </c>
      <c r="M17" s="19" t="str">
        <f t="shared" si="5"/>
        <v/>
      </c>
      <c r="N17" s="22">
        <f t="shared" si="6"/>
        <v>-800</v>
      </c>
      <c r="O17" s="31" t="s">
        <v>2529</v>
      </c>
    </row>
    <row r="18" spans="1:15" ht="20.100000000000001" hidden="1" customHeight="1">
      <c r="A18" s="7" t="s">
        <v>2523</v>
      </c>
      <c r="B18" s="44">
        <v>45933</v>
      </c>
      <c r="C18" t="s">
        <v>2530</v>
      </c>
      <c r="D18" s="4">
        <v>140.44</v>
      </c>
      <c r="E18" s="65" t="s">
        <v>2427</v>
      </c>
      <c r="F18" s="131" t="s">
        <v>49</v>
      </c>
      <c r="G18" t="s">
        <v>111</v>
      </c>
      <c r="H18" s="19" t="str">
        <f t="shared" si="0"/>
        <v/>
      </c>
      <c r="I18" s="19" t="str">
        <f t="shared" si="1"/>
        <v/>
      </c>
      <c r="J18" s="19">
        <f t="shared" si="2"/>
        <v>-140.44</v>
      </c>
      <c r="K18" s="19" t="str">
        <f t="shared" si="3"/>
        <v/>
      </c>
      <c r="L18" s="19" t="str">
        <f t="shared" si="4"/>
        <v/>
      </c>
      <c r="M18" s="19" t="str">
        <f t="shared" si="5"/>
        <v/>
      </c>
      <c r="N18" s="22">
        <f t="shared" si="6"/>
        <v>-140.44</v>
      </c>
      <c r="O18" s="31"/>
    </row>
    <row r="19" spans="1:15" ht="20.100000000000001" hidden="1" customHeight="1">
      <c r="A19" s="7" t="s">
        <v>2531</v>
      </c>
      <c r="B19" s="44">
        <v>45936</v>
      </c>
      <c r="C19" t="s">
        <v>2183</v>
      </c>
      <c r="D19" s="4">
        <v>19000</v>
      </c>
      <c r="E19" s="65" t="s">
        <v>2527</v>
      </c>
      <c r="F19" s="131" t="s">
        <v>49</v>
      </c>
      <c r="G19" t="s">
        <v>2435</v>
      </c>
      <c r="H19" s="19" t="str">
        <f t="shared" si="0"/>
        <v/>
      </c>
      <c r="I19" s="19" t="str">
        <f t="shared" si="1"/>
        <v/>
      </c>
      <c r="J19" s="19" t="str">
        <f t="shared" si="2"/>
        <v/>
      </c>
      <c r="K19" s="19">
        <f t="shared" si="3"/>
        <v>19000</v>
      </c>
      <c r="L19" s="19" t="str">
        <f t="shared" si="4"/>
        <v/>
      </c>
      <c r="M19" s="19" t="str">
        <f t="shared" si="5"/>
        <v/>
      </c>
      <c r="N19" s="22">
        <f t="shared" si="6"/>
        <v>19000</v>
      </c>
      <c r="O19" s="31" t="s">
        <v>2532</v>
      </c>
    </row>
    <row r="20" spans="1:15" ht="20.100000000000001" hidden="1" customHeight="1">
      <c r="A20" s="7" t="s">
        <v>2523</v>
      </c>
      <c r="B20" s="44">
        <v>45932</v>
      </c>
      <c r="C20" t="s">
        <v>2533</v>
      </c>
      <c r="D20" s="4">
        <v>259.05</v>
      </c>
      <c r="E20" s="65" t="s">
        <v>2427</v>
      </c>
      <c r="F20" s="131" t="s">
        <v>49</v>
      </c>
      <c r="G20" t="s">
        <v>345</v>
      </c>
      <c r="H20" s="19">
        <f t="shared" si="0"/>
        <v>-259.05</v>
      </c>
      <c r="I20" s="19" t="str">
        <f t="shared" si="1"/>
        <v/>
      </c>
      <c r="J20" s="19" t="str">
        <f t="shared" si="2"/>
        <v/>
      </c>
      <c r="K20" s="19" t="str">
        <f t="shared" si="3"/>
        <v/>
      </c>
      <c r="L20" s="19" t="str">
        <f t="shared" si="4"/>
        <v/>
      </c>
      <c r="M20" s="19" t="str">
        <f t="shared" si="5"/>
        <v/>
      </c>
      <c r="N20" s="22">
        <f t="shared" si="6"/>
        <v>-259.05</v>
      </c>
      <c r="O20" s="31"/>
    </row>
    <row r="21" spans="1:15" ht="20.100000000000001" hidden="1" customHeight="1">
      <c r="A21" s="7" t="s">
        <v>2523</v>
      </c>
      <c r="B21" s="44" t="s">
        <v>2534</v>
      </c>
      <c r="C21" t="s">
        <v>2535</v>
      </c>
      <c r="D21" s="4">
        <v>18720</v>
      </c>
      <c r="E21" s="65" t="s">
        <v>2427</v>
      </c>
      <c r="F21" s="131" t="s">
        <v>49</v>
      </c>
      <c r="G21" t="s">
        <v>2435</v>
      </c>
      <c r="H21" s="19" t="str">
        <f t="shared" si="0"/>
        <v/>
      </c>
      <c r="I21" s="19" t="str">
        <f t="shared" si="1"/>
        <v/>
      </c>
      <c r="J21" s="19" t="str">
        <f t="shared" si="2"/>
        <v/>
      </c>
      <c r="K21" s="19">
        <f t="shared" si="3"/>
        <v>-18720</v>
      </c>
      <c r="L21" s="19" t="str">
        <f t="shared" si="4"/>
        <v/>
      </c>
      <c r="M21" s="19" t="str">
        <f t="shared" si="5"/>
        <v/>
      </c>
      <c r="N21" s="22">
        <f t="shared" si="6"/>
        <v>-18720</v>
      </c>
      <c r="O21" s="31"/>
    </row>
    <row r="22" spans="1:15" ht="20.100000000000001" hidden="1" customHeight="1">
      <c r="A22" s="7" t="s">
        <v>2523</v>
      </c>
      <c r="B22" s="44">
        <v>45938</v>
      </c>
      <c r="C22" t="s">
        <v>2536</v>
      </c>
      <c r="D22" s="4">
        <v>49920</v>
      </c>
      <c r="E22" s="65" t="s">
        <v>2427</v>
      </c>
      <c r="F22" s="131" t="s">
        <v>49</v>
      </c>
      <c r="G22" t="s">
        <v>345</v>
      </c>
      <c r="H22" s="19">
        <f t="shared" si="0"/>
        <v>-49920</v>
      </c>
      <c r="I22" s="19" t="str">
        <f t="shared" si="1"/>
        <v/>
      </c>
      <c r="J22" s="19" t="str">
        <f t="shared" si="2"/>
        <v/>
      </c>
      <c r="K22" s="19" t="str">
        <f t="shared" si="3"/>
        <v/>
      </c>
      <c r="L22" s="19" t="str">
        <f t="shared" si="4"/>
        <v/>
      </c>
      <c r="M22" s="19" t="str">
        <f t="shared" si="5"/>
        <v/>
      </c>
      <c r="N22" s="22">
        <f t="shared" si="6"/>
        <v>-49920</v>
      </c>
      <c r="O22" s="31"/>
    </row>
    <row r="23" spans="1:15" ht="20.100000000000001" hidden="1" customHeight="1">
      <c r="A23" s="7" t="s">
        <v>2523</v>
      </c>
      <c r="B23" s="44">
        <v>45936</v>
      </c>
      <c r="C23" t="s">
        <v>2213</v>
      </c>
      <c r="D23" s="4">
        <v>620.88</v>
      </c>
      <c r="E23" s="65" t="s">
        <v>2427</v>
      </c>
      <c r="F23" s="131" t="s">
        <v>49</v>
      </c>
      <c r="G23" t="s">
        <v>345</v>
      </c>
      <c r="H23" s="19">
        <f t="shared" si="0"/>
        <v>-620.88</v>
      </c>
      <c r="I23" s="19" t="str">
        <f t="shared" si="1"/>
        <v/>
      </c>
      <c r="J23" s="19" t="str">
        <f t="shared" si="2"/>
        <v/>
      </c>
      <c r="K23" s="19" t="str">
        <f t="shared" si="3"/>
        <v/>
      </c>
      <c r="L23" s="19" t="str">
        <f t="shared" si="4"/>
        <v/>
      </c>
      <c r="M23" s="19" t="str">
        <f t="shared" si="5"/>
        <v/>
      </c>
      <c r="N23" s="22">
        <f t="shared" si="6"/>
        <v>-620.88</v>
      </c>
      <c r="O23" s="31" t="s">
        <v>197</v>
      </c>
    </row>
    <row r="24" spans="1:15" ht="20.100000000000001" hidden="1" customHeight="1">
      <c r="A24" s="7" t="s">
        <v>2523</v>
      </c>
      <c r="B24" s="44">
        <v>45936</v>
      </c>
      <c r="C24" t="s">
        <v>2213</v>
      </c>
      <c r="D24" s="4">
        <v>662.09</v>
      </c>
      <c r="E24" s="65" t="s">
        <v>2427</v>
      </c>
      <c r="F24" s="131" t="s">
        <v>49</v>
      </c>
      <c r="G24" t="s">
        <v>345</v>
      </c>
      <c r="H24" s="19">
        <f t="shared" si="0"/>
        <v>-662.09</v>
      </c>
      <c r="I24" s="19" t="str">
        <f t="shared" si="1"/>
        <v/>
      </c>
      <c r="J24" s="19" t="str">
        <f t="shared" si="2"/>
        <v/>
      </c>
      <c r="K24" s="19" t="str">
        <f t="shared" si="3"/>
        <v/>
      </c>
      <c r="L24" s="19" t="str">
        <f t="shared" si="4"/>
        <v/>
      </c>
      <c r="M24" s="19" t="str">
        <f t="shared" si="5"/>
        <v/>
      </c>
      <c r="N24" s="22">
        <f t="shared" si="6"/>
        <v>-662.09</v>
      </c>
      <c r="O24" s="31" t="s">
        <v>197</v>
      </c>
    </row>
    <row r="25" spans="1:15" ht="20.100000000000001" hidden="1" customHeight="1">
      <c r="A25" s="7" t="s">
        <v>2523</v>
      </c>
      <c r="B25" s="44">
        <v>45936</v>
      </c>
      <c r="C25" t="s">
        <v>2537</v>
      </c>
      <c r="D25" s="4">
        <v>558.05999999999995</v>
      </c>
      <c r="E25" s="65" t="s">
        <v>2427</v>
      </c>
      <c r="F25" s="131" t="s">
        <v>49</v>
      </c>
      <c r="G25" t="s">
        <v>345</v>
      </c>
      <c r="H25" s="19">
        <f t="shared" si="0"/>
        <v>-558.05999999999995</v>
      </c>
      <c r="I25" s="19" t="str">
        <f t="shared" si="1"/>
        <v/>
      </c>
      <c r="J25" s="19" t="str">
        <f t="shared" si="2"/>
        <v/>
      </c>
      <c r="K25" s="19" t="str">
        <f t="shared" si="3"/>
        <v/>
      </c>
      <c r="L25" s="19" t="str">
        <f t="shared" si="4"/>
        <v/>
      </c>
      <c r="M25" s="19" t="str">
        <f t="shared" si="5"/>
        <v/>
      </c>
      <c r="N25" s="22">
        <f t="shared" si="6"/>
        <v>-558.05999999999995</v>
      </c>
      <c r="O25" s="31"/>
    </row>
    <row r="26" spans="1:15" ht="20.100000000000001" hidden="1" customHeight="1">
      <c r="A26" s="7" t="s">
        <v>2523</v>
      </c>
      <c r="B26" s="44">
        <v>45938</v>
      </c>
      <c r="C26" t="s">
        <v>2538</v>
      </c>
      <c r="D26" s="4">
        <v>364</v>
      </c>
      <c r="E26" s="65" t="s">
        <v>2427</v>
      </c>
      <c r="F26" s="131" t="s">
        <v>49</v>
      </c>
      <c r="G26" t="s">
        <v>296</v>
      </c>
      <c r="H26" s="19" t="str">
        <f t="shared" si="0"/>
        <v/>
      </c>
      <c r="I26" s="19" t="str">
        <f t="shared" si="1"/>
        <v/>
      </c>
      <c r="J26" s="19" t="str">
        <f t="shared" si="2"/>
        <v/>
      </c>
      <c r="K26" s="19" t="str">
        <f t="shared" si="3"/>
        <v/>
      </c>
      <c r="L26" s="19">
        <f t="shared" si="4"/>
        <v>-364</v>
      </c>
      <c r="M26" s="19" t="str">
        <f t="shared" si="5"/>
        <v/>
      </c>
      <c r="N26" s="22">
        <f t="shared" si="6"/>
        <v>-364</v>
      </c>
      <c r="O26" s="31"/>
    </row>
    <row r="27" spans="1:15" ht="20.100000000000001" hidden="1" customHeight="1">
      <c r="A27" s="7" t="s">
        <v>2523</v>
      </c>
      <c r="B27" s="44">
        <v>45938</v>
      </c>
      <c r="C27" t="s">
        <v>2539</v>
      </c>
      <c r="D27" s="4">
        <v>147975</v>
      </c>
      <c r="E27" s="65" t="s">
        <v>2527</v>
      </c>
      <c r="F27" s="131" t="s">
        <v>49</v>
      </c>
      <c r="G27" t="s">
        <v>296</v>
      </c>
      <c r="H27" s="19" t="str">
        <f t="shared" si="0"/>
        <v/>
      </c>
      <c r="I27" s="19" t="str">
        <f t="shared" si="1"/>
        <v/>
      </c>
      <c r="J27" s="19" t="str">
        <f t="shared" si="2"/>
        <v/>
      </c>
      <c r="K27" s="19" t="str">
        <f t="shared" si="3"/>
        <v/>
      </c>
      <c r="L27" s="19">
        <f t="shared" si="4"/>
        <v>147975</v>
      </c>
      <c r="M27" s="19" t="str">
        <f t="shared" si="5"/>
        <v/>
      </c>
      <c r="N27" s="22">
        <f t="shared" si="6"/>
        <v>147975</v>
      </c>
      <c r="O27" s="31"/>
    </row>
    <row r="28" spans="1:15" ht="20.100000000000001" hidden="1" customHeight="1">
      <c r="A28" s="7" t="s">
        <v>2525</v>
      </c>
      <c r="B28" s="44">
        <v>45936</v>
      </c>
      <c r="C28" t="s">
        <v>2540</v>
      </c>
      <c r="D28" s="4">
        <v>2250</v>
      </c>
      <c r="E28" s="65" t="s">
        <v>2527</v>
      </c>
      <c r="F28" s="131" t="s">
        <v>49</v>
      </c>
      <c r="G28" t="s">
        <v>345</v>
      </c>
      <c r="H28" s="19">
        <f t="shared" si="0"/>
        <v>2250</v>
      </c>
      <c r="I28" s="19" t="str">
        <f t="shared" si="1"/>
        <v/>
      </c>
      <c r="J28" s="19" t="str">
        <f t="shared" si="2"/>
        <v/>
      </c>
      <c r="K28" s="19" t="str">
        <f t="shared" si="3"/>
        <v/>
      </c>
      <c r="L28" s="19" t="str">
        <f t="shared" si="4"/>
        <v/>
      </c>
      <c r="M28" s="19" t="str">
        <f t="shared" si="5"/>
        <v/>
      </c>
      <c r="N28" s="22">
        <f t="shared" si="6"/>
        <v>2250</v>
      </c>
      <c r="O28" s="31"/>
    </row>
    <row r="29" spans="1:15" ht="20.100000000000001" hidden="1" customHeight="1">
      <c r="A29" s="7" t="s">
        <v>2525</v>
      </c>
      <c r="B29" s="44">
        <v>45936</v>
      </c>
      <c r="C29" t="s">
        <v>2540</v>
      </c>
      <c r="D29" s="4">
        <v>2250</v>
      </c>
      <c r="E29" s="65" t="s">
        <v>2427</v>
      </c>
      <c r="F29" s="131" t="s">
        <v>49</v>
      </c>
      <c r="G29" t="s">
        <v>2435</v>
      </c>
      <c r="H29" s="19" t="str">
        <f t="shared" si="0"/>
        <v/>
      </c>
      <c r="I29" s="19" t="str">
        <f t="shared" si="1"/>
        <v/>
      </c>
      <c r="J29" s="19" t="str">
        <f t="shared" si="2"/>
        <v/>
      </c>
      <c r="K29" s="19">
        <f t="shared" si="3"/>
        <v>-2250</v>
      </c>
      <c r="L29" s="19" t="str">
        <f t="shared" si="4"/>
        <v/>
      </c>
      <c r="M29" s="19" t="str">
        <f t="shared" si="5"/>
        <v/>
      </c>
      <c r="N29" s="22">
        <f t="shared" si="6"/>
        <v>-2250</v>
      </c>
      <c r="O29" s="31"/>
    </row>
    <row r="30" spans="1:15" ht="20.100000000000001" hidden="1" customHeight="1">
      <c r="A30" s="7" t="s">
        <v>2525</v>
      </c>
      <c r="B30" s="44">
        <v>45939</v>
      </c>
      <c r="C30" t="s">
        <v>2541</v>
      </c>
      <c r="D30" s="4">
        <v>100000</v>
      </c>
      <c r="E30" s="65" t="s">
        <v>2427</v>
      </c>
      <c r="F30" s="131" t="s">
        <v>49</v>
      </c>
      <c r="G30" t="s">
        <v>296</v>
      </c>
      <c r="H30" s="19" t="str">
        <f t="shared" si="0"/>
        <v/>
      </c>
      <c r="I30" s="19" t="str">
        <f t="shared" si="1"/>
        <v/>
      </c>
      <c r="J30" s="19" t="str">
        <f t="shared" si="2"/>
        <v/>
      </c>
      <c r="K30" s="19" t="str">
        <f t="shared" si="3"/>
        <v/>
      </c>
      <c r="L30" s="19">
        <f t="shared" si="4"/>
        <v>-100000</v>
      </c>
      <c r="M30" s="19" t="str">
        <f t="shared" si="5"/>
        <v/>
      </c>
      <c r="N30" s="22">
        <f t="shared" si="6"/>
        <v>-100000</v>
      </c>
      <c r="O30" s="31"/>
    </row>
    <row r="31" spans="1:15" ht="20.100000000000001" hidden="1" customHeight="1">
      <c r="A31" s="7" t="s">
        <v>2525</v>
      </c>
      <c r="B31" s="44">
        <v>45939</v>
      </c>
      <c r="C31" t="s">
        <v>2541</v>
      </c>
      <c r="D31" s="4">
        <v>100000</v>
      </c>
      <c r="E31" s="65" t="s">
        <v>2527</v>
      </c>
      <c r="F31" s="131" t="s">
        <v>49</v>
      </c>
      <c r="G31" t="s">
        <v>345</v>
      </c>
      <c r="H31" s="19">
        <f t="shared" si="0"/>
        <v>100000</v>
      </c>
      <c r="I31" s="19" t="str">
        <f t="shared" si="1"/>
        <v/>
      </c>
      <c r="J31" s="19" t="str">
        <f t="shared" si="2"/>
        <v/>
      </c>
      <c r="K31" s="19" t="str">
        <f t="shared" si="3"/>
        <v/>
      </c>
      <c r="L31" s="19" t="str">
        <f t="shared" si="4"/>
        <v/>
      </c>
      <c r="M31" s="19" t="str">
        <f t="shared" si="5"/>
        <v/>
      </c>
      <c r="N31" s="22">
        <f t="shared" si="6"/>
        <v>100000</v>
      </c>
      <c r="O31" s="31"/>
    </row>
    <row r="32" spans="1:15" ht="20.100000000000001" hidden="1" customHeight="1">
      <c r="A32" s="7" t="s">
        <v>2525</v>
      </c>
      <c r="B32" s="44">
        <v>45939</v>
      </c>
      <c r="C32" t="s">
        <v>2526</v>
      </c>
      <c r="D32" s="4">
        <v>1000</v>
      </c>
      <c r="E32" s="65" t="s">
        <v>2427</v>
      </c>
      <c r="F32" s="131" t="s">
        <v>49</v>
      </c>
      <c r="G32" t="s">
        <v>296</v>
      </c>
      <c r="H32" s="19" t="str">
        <f t="shared" si="0"/>
        <v/>
      </c>
      <c r="I32" s="19" t="str">
        <f t="shared" si="1"/>
        <v/>
      </c>
      <c r="J32" s="19" t="str">
        <f t="shared" si="2"/>
        <v/>
      </c>
      <c r="K32" s="19" t="str">
        <f t="shared" si="3"/>
        <v/>
      </c>
      <c r="L32" s="19">
        <f t="shared" si="4"/>
        <v>-1000</v>
      </c>
      <c r="M32" s="19" t="str">
        <f t="shared" si="5"/>
        <v/>
      </c>
      <c r="N32" s="22">
        <f t="shared" si="6"/>
        <v>-1000</v>
      </c>
      <c r="O32" s="31"/>
    </row>
    <row r="33" spans="1:15" ht="20.100000000000001" hidden="1" customHeight="1">
      <c r="A33" s="7" t="s">
        <v>2525</v>
      </c>
      <c r="B33" s="44">
        <v>45939</v>
      </c>
      <c r="C33" t="s">
        <v>2526</v>
      </c>
      <c r="D33" s="4">
        <v>1000</v>
      </c>
      <c r="E33" s="65" t="s">
        <v>2527</v>
      </c>
      <c r="F33" s="131" t="s">
        <v>49</v>
      </c>
      <c r="G33" t="s">
        <v>111</v>
      </c>
      <c r="H33" s="19" t="str">
        <f t="shared" si="0"/>
        <v/>
      </c>
      <c r="I33" s="19" t="str">
        <f t="shared" si="1"/>
        <v/>
      </c>
      <c r="J33" s="19">
        <f t="shared" si="2"/>
        <v>1000</v>
      </c>
      <c r="K33" s="19" t="str">
        <f t="shared" si="3"/>
        <v/>
      </c>
      <c r="L33" s="19" t="str">
        <f t="shared" si="4"/>
        <v/>
      </c>
      <c r="M33" s="19" t="str">
        <f t="shared" si="5"/>
        <v/>
      </c>
      <c r="N33" s="22">
        <f t="shared" si="6"/>
        <v>1000</v>
      </c>
      <c r="O33" s="31"/>
    </row>
    <row r="34" spans="1:15" ht="20.100000000000001" hidden="1" customHeight="1">
      <c r="A34" s="7" t="s">
        <v>2525</v>
      </c>
      <c r="B34" s="44">
        <v>45932</v>
      </c>
      <c r="C34" t="s">
        <v>2542</v>
      </c>
      <c r="D34" s="4">
        <v>500</v>
      </c>
      <c r="E34" s="65" t="s">
        <v>2427</v>
      </c>
      <c r="F34" s="131" t="s">
        <v>49</v>
      </c>
      <c r="G34" t="s">
        <v>2435</v>
      </c>
      <c r="H34" s="19" t="str">
        <f t="shared" si="0"/>
        <v/>
      </c>
      <c r="I34" s="19" t="str">
        <f t="shared" si="1"/>
        <v/>
      </c>
      <c r="J34" s="19" t="str">
        <f t="shared" si="2"/>
        <v/>
      </c>
      <c r="K34" s="19">
        <f t="shared" si="3"/>
        <v>-500</v>
      </c>
      <c r="L34" s="19" t="str">
        <f t="shared" si="4"/>
        <v/>
      </c>
      <c r="M34" s="19" t="str">
        <f t="shared" si="5"/>
        <v/>
      </c>
      <c r="N34" s="22">
        <f t="shared" si="6"/>
        <v>-500</v>
      </c>
      <c r="O34" s="31"/>
    </row>
    <row r="35" spans="1:15" ht="20.100000000000001" hidden="1" customHeight="1">
      <c r="A35" s="7" t="s">
        <v>2525</v>
      </c>
      <c r="B35" s="44">
        <v>45939</v>
      </c>
      <c r="C35" t="s">
        <v>2542</v>
      </c>
      <c r="D35" s="4">
        <v>500</v>
      </c>
      <c r="E35" s="65" t="s">
        <v>2527</v>
      </c>
      <c r="F35" s="131" t="s">
        <v>49</v>
      </c>
      <c r="G35" t="s">
        <v>2434</v>
      </c>
      <c r="H35" s="19" t="str">
        <f t="shared" si="0"/>
        <v/>
      </c>
      <c r="I35" s="19">
        <f t="shared" si="1"/>
        <v>500</v>
      </c>
      <c r="J35" s="19" t="str">
        <f t="shared" si="2"/>
        <v/>
      </c>
      <c r="K35" s="19" t="str">
        <f t="shared" si="3"/>
        <v/>
      </c>
      <c r="L35" s="19" t="str">
        <f t="shared" si="4"/>
        <v/>
      </c>
      <c r="M35" s="19" t="str">
        <f t="shared" si="5"/>
        <v/>
      </c>
      <c r="N35" s="22">
        <f t="shared" si="6"/>
        <v>500</v>
      </c>
      <c r="O35" s="31"/>
    </row>
    <row r="36" spans="1:15" ht="20.100000000000001" hidden="1" customHeight="1">
      <c r="A36" s="7" t="s">
        <v>2523</v>
      </c>
      <c r="B36" s="44">
        <v>45940</v>
      </c>
      <c r="C36" t="s">
        <v>2543</v>
      </c>
      <c r="D36" s="4">
        <v>260</v>
      </c>
      <c r="E36" s="65" t="s">
        <v>2427</v>
      </c>
      <c r="F36" s="131" t="s">
        <v>49</v>
      </c>
      <c r="G36" t="s">
        <v>111</v>
      </c>
      <c r="H36" s="19" t="str">
        <f t="shared" si="0"/>
        <v/>
      </c>
      <c r="I36" s="19" t="str">
        <f t="shared" si="1"/>
        <v/>
      </c>
      <c r="J36" s="19">
        <f t="shared" si="2"/>
        <v>-260</v>
      </c>
      <c r="K36" s="19" t="str">
        <f t="shared" si="3"/>
        <v/>
      </c>
      <c r="L36" s="19" t="str">
        <f t="shared" si="4"/>
        <v/>
      </c>
      <c r="M36" s="19" t="str">
        <f t="shared" si="5"/>
        <v/>
      </c>
      <c r="N36" s="22">
        <f t="shared" si="6"/>
        <v>-260</v>
      </c>
      <c r="O36" s="31"/>
    </row>
    <row r="37" spans="1:15" ht="20.100000000000001" hidden="1" customHeight="1">
      <c r="A37" s="7" t="s">
        <v>2523</v>
      </c>
      <c r="B37" s="44">
        <v>45940</v>
      </c>
      <c r="C37" t="s">
        <v>2446</v>
      </c>
      <c r="D37" s="4">
        <v>8120</v>
      </c>
      <c r="E37" s="65" t="s">
        <v>2427</v>
      </c>
      <c r="F37" s="131" t="s">
        <v>49</v>
      </c>
      <c r="G37" t="s">
        <v>345</v>
      </c>
      <c r="H37" s="19">
        <f t="shared" si="0"/>
        <v>-8120</v>
      </c>
      <c r="I37" s="19" t="str">
        <f t="shared" si="1"/>
        <v/>
      </c>
      <c r="J37" s="19" t="str">
        <f t="shared" si="2"/>
        <v/>
      </c>
      <c r="K37" s="19" t="str">
        <f t="shared" si="3"/>
        <v/>
      </c>
      <c r="L37" s="19" t="str">
        <f t="shared" si="4"/>
        <v/>
      </c>
      <c r="M37" s="19" t="str">
        <f t="shared" si="5"/>
        <v/>
      </c>
      <c r="N37" s="22">
        <f t="shared" si="6"/>
        <v>-8120</v>
      </c>
      <c r="O37" s="31" t="s">
        <v>2544</v>
      </c>
    </row>
    <row r="38" spans="1:15" ht="20.100000000000001" hidden="1" customHeight="1">
      <c r="A38" s="7" t="s">
        <v>2523</v>
      </c>
      <c r="B38" s="44">
        <v>45940</v>
      </c>
      <c r="C38" t="s">
        <v>2303</v>
      </c>
      <c r="D38" s="4">
        <v>366</v>
      </c>
      <c r="E38" s="65" t="s">
        <v>2427</v>
      </c>
      <c r="F38" s="131" t="s">
        <v>49</v>
      </c>
      <c r="G38" t="s">
        <v>345</v>
      </c>
      <c r="H38" s="19">
        <f t="shared" si="0"/>
        <v>-366</v>
      </c>
      <c r="I38" s="19" t="str">
        <f t="shared" si="1"/>
        <v/>
      </c>
      <c r="J38" s="19" t="str">
        <f t="shared" si="2"/>
        <v/>
      </c>
      <c r="K38" s="19" t="str">
        <f t="shared" si="3"/>
        <v/>
      </c>
      <c r="L38" s="19" t="str">
        <f t="shared" si="4"/>
        <v/>
      </c>
      <c r="M38" s="19" t="str">
        <f t="shared" si="5"/>
        <v/>
      </c>
      <c r="N38" s="22">
        <f t="shared" si="6"/>
        <v>-366</v>
      </c>
      <c r="O38" s="31" t="s">
        <v>125</v>
      </c>
    </row>
    <row r="39" spans="1:15" ht="20.100000000000001" hidden="1" customHeight="1">
      <c r="A39" s="7" t="s">
        <v>2523</v>
      </c>
      <c r="B39" s="44">
        <v>45940</v>
      </c>
      <c r="C39" t="s">
        <v>2152</v>
      </c>
      <c r="D39" s="4">
        <v>2522</v>
      </c>
      <c r="E39" s="65" t="s">
        <v>2427</v>
      </c>
      <c r="F39" s="131" t="s">
        <v>49</v>
      </c>
      <c r="G39" t="s">
        <v>345</v>
      </c>
      <c r="H39" s="19">
        <f t="shared" si="0"/>
        <v>-2522</v>
      </c>
      <c r="I39" s="19" t="str">
        <f t="shared" si="1"/>
        <v/>
      </c>
      <c r="J39" s="19" t="str">
        <f t="shared" si="2"/>
        <v/>
      </c>
      <c r="K39" s="19" t="str">
        <f t="shared" si="3"/>
        <v/>
      </c>
      <c r="L39" s="19" t="str">
        <f t="shared" si="4"/>
        <v/>
      </c>
      <c r="M39" s="19" t="str">
        <f t="shared" si="5"/>
        <v/>
      </c>
      <c r="N39" s="22">
        <f t="shared" si="6"/>
        <v>-2522</v>
      </c>
      <c r="O39" s="31" t="s">
        <v>2545</v>
      </c>
    </row>
    <row r="40" spans="1:15" ht="20.100000000000001" hidden="1" customHeight="1">
      <c r="A40" s="7" t="s">
        <v>2523</v>
      </c>
      <c r="B40" s="44">
        <v>45940</v>
      </c>
      <c r="C40" t="s">
        <v>2200</v>
      </c>
      <c r="D40" s="4">
        <v>3300</v>
      </c>
      <c r="E40" s="65" t="s">
        <v>2427</v>
      </c>
      <c r="F40" s="131" t="s">
        <v>49</v>
      </c>
      <c r="G40" t="s">
        <v>345</v>
      </c>
      <c r="H40" s="19">
        <f t="shared" si="0"/>
        <v>-3300</v>
      </c>
      <c r="I40" s="19" t="str">
        <f t="shared" si="1"/>
        <v/>
      </c>
      <c r="J40" s="19" t="str">
        <f t="shared" si="2"/>
        <v/>
      </c>
      <c r="K40" s="19" t="str">
        <f t="shared" si="3"/>
        <v/>
      </c>
      <c r="L40" s="19" t="str">
        <f t="shared" si="4"/>
        <v/>
      </c>
      <c r="M40" s="19" t="str">
        <f t="shared" si="5"/>
        <v/>
      </c>
      <c r="N40" s="22">
        <f t="shared" si="6"/>
        <v>-3300</v>
      </c>
      <c r="O40" s="31"/>
    </row>
    <row r="41" spans="1:15" ht="20.100000000000001" hidden="1" customHeight="1">
      <c r="A41" s="7" t="s">
        <v>2523</v>
      </c>
      <c r="B41" s="44">
        <v>45940</v>
      </c>
      <c r="C41" t="s">
        <v>2126</v>
      </c>
      <c r="D41" s="4">
        <f>8200/2</f>
        <v>4100</v>
      </c>
      <c r="E41" s="65" t="s">
        <v>2427</v>
      </c>
      <c r="F41" s="131" t="s">
        <v>49</v>
      </c>
      <c r="G41" t="s">
        <v>345</v>
      </c>
      <c r="H41" s="19">
        <f t="shared" si="0"/>
        <v>-4100</v>
      </c>
      <c r="I41" s="19" t="str">
        <f t="shared" si="1"/>
        <v/>
      </c>
      <c r="J41" s="19" t="str">
        <f t="shared" si="2"/>
        <v/>
      </c>
      <c r="K41" s="19" t="str">
        <f t="shared" si="3"/>
        <v/>
      </c>
      <c r="L41" s="19" t="str">
        <f t="shared" si="4"/>
        <v/>
      </c>
      <c r="M41" s="19" t="str">
        <f t="shared" si="5"/>
        <v/>
      </c>
      <c r="N41" s="22">
        <f t="shared" si="6"/>
        <v>-4100</v>
      </c>
      <c r="O41" s="31"/>
    </row>
    <row r="42" spans="1:15" ht="20.100000000000001" hidden="1" customHeight="1">
      <c r="A42" s="7" t="s">
        <v>2531</v>
      </c>
      <c r="B42" s="44">
        <v>45943</v>
      </c>
      <c r="C42" t="s">
        <v>2183</v>
      </c>
      <c r="D42" s="4">
        <v>19000</v>
      </c>
      <c r="E42" s="65" t="s">
        <v>2427</v>
      </c>
      <c r="F42" s="131" t="s">
        <v>49</v>
      </c>
      <c r="G42" t="s">
        <v>2435</v>
      </c>
      <c r="H42" s="19" t="str">
        <f t="shared" ref="H42:H73" si="7">IF(AND($F42="X",$G42="BCC"),IF($E42="U",-$D42,$D42),"")</f>
        <v/>
      </c>
      <c r="I42" s="19" t="str">
        <f t="shared" ref="I42:I73" si="8">IF(AND($F42="X",$G42="INTESA"),IF($E42="U",-$D42,$D42),"")</f>
        <v/>
      </c>
      <c r="J42" s="19" t="str">
        <f t="shared" ref="J42:J73" si="9">IF(AND($F42="X",$G42="BPM"),IF($E42="U",-$D42,$D42),"")</f>
        <v/>
      </c>
      <c r="K42" s="19">
        <f t="shared" ref="K42:K73" si="10">IF(AND($F42="X",$G42="SONDRIO"),IF($E42="U",-$D42,$D42),"")</f>
        <v>-19000</v>
      </c>
      <c r="L42" s="19" t="str">
        <f t="shared" ref="L42:L73" si="11">IF(AND($F42="X",$G42="BPER"),IF($E42="U",-$D42,$D42),"")</f>
        <v/>
      </c>
      <c r="M42" s="19" t="str">
        <f t="shared" ref="M42:M73" si="12">IF(AND($F42="X",$G42="CASSA"),IF($E42="U",-$D42,$D42),"")</f>
        <v/>
      </c>
      <c r="N42" s="22">
        <f t="shared" ref="N42:N73" si="13">IF(F42="X",IF(E42="U",-D42,D42),"non ancora confermato")</f>
        <v>-19000</v>
      </c>
      <c r="O42" s="31" t="s">
        <v>2546</v>
      </c>
    </row>
    <row r="43" spans="1:15" ht="20.100000000000001" hidden="1" customHeight="1">
      <c r="A43" s="7" t="s">
        <v>2523</v>
      </c>
      <c r="B43" s="44">
        <v>45945</v>
      </c>
      <c r="C43" t="s">
        <v>2547</v>
      </c>
      <c r="D43" s="4">
        <v>4731.1499999999996</v>
      </c>
      <c r="E43" s="65" t="s">
        <v>2527</v>
      </c>
      <c r="F43" s="131" t="s">
        <v>49</v>
      </c>
      <c r="G43" t="s">
        <v>2435</v>
      </c>
      <c r="H43" s="19" t="str">
        <f t="shared" si="7"/>
        <v/>
      </c>
      <c r="I43" s="19" t="str">
        <f t="shared" si="8"/>
        <v/>
      </c>
      <c r="J43" s="19" t="str">
        <f t="shared" si="9"/>
        <v/>
      </c>
      <c r="K43" s="19">
        <f t="shared" si="10"/>
        <v>4731.1499999999996</v>
      </c>
      <c r="L43" s="19" t="str">
        <f t="shared" si="11"/>
        <v/>
      </c>
      <c r="M43" s="19" t="str">
        <f t="shared" si="12"/>
        <v/>
      </c>
      <c r="N43" s="22">
        <f t="shared" si="13"/>
        <v>4731.1499999999996</v>
      </c>
      <c r="O43" s="31"/>
    </row>
    <row r="44" spans="1:15" ht="20.100000000000001" hidden="1" customHeight="1">
      <c r="A44" s="7" t="s">
        <v>2523</v>
      </c>
      <c r="B44" s="44">
        <v>45945</v>
      </c>
      <c r="C44" t="s">
        <v>2548</v>
      </c>
      <c r="D44" s="4">
        <v>5000</v>
      </c>
      <c r="E44" s="65" t="s">
        <v>2427</v>
      </c>
      <c r="F44" s="131" t="s">
        <v>49</v>
      </c>
      <c r="G44" t="s">
        <v>296</v>
      </c>
      <c r="H44" s="19" t="str">
        <f t="shared" si="7"/>
        <v/>
      </c>
      <c r="I44" s="19" t="str">
        <f t="shared" si="8"/>
        <v/>
      </c>
      <c r="J44" s="19" t="str">
        <f t="shared" si="9"/>
        <v/>
      </c>
      <c r="K44" s="19" t="str">
        <f t="shared" si="10"/>
        <v/>
      </c>
      <c r="L44" s="19">
        <f t="shared" si="11"/>
        <v>-5000</v>
      </c>
      <c r="M44" s="19" t="str">
        <f t="shared" si="12"/>
        <v/>
      </c>
      <c r="N44" s="22">
        <f t="shared" si="13"/>
        <v>-5000</v>
      </c>
      <c r="O44" s="31"/>
    </row>
    <row r="45" spans="1:15" ht="20.100000000000001" hidden="1" customHeight="1">
      <c r="A45" s="7" t="s">
        <v>2523</v>
      </c>
      <c r="B45" s="44">
        <v>45936</v>
      </c>
      <c r="C45" t="s">
        <v>2549</v>
      </c>
      <c r="D45" s="4">
        <v>4000</v>
      </c>
      <c r="E45" s="65" t="s">
        <v>2427</v>
      </c>
      <c r="F45" s="131" t="s">
        <v>49</v>
      </c>
      <c r="G45" t="s">
        <v>345</v>
      </c>
      <c r="H45" s="19">
        <f t="shared" si="7"/>
        <v>-4000</v>
      </c>
      <c r="I45" s="19" t="str">
        <f t="shared" si="8"/>
        <v/>
      </c>
      <c r="J45" s="19" t="str">
        <f t="shared" si="9"/>
        <v/>
      </c>
      <c r="K45" s="19" t="str">
        <f t="shared" si="10"/>
        <v/>
      </c>
      <c r="L45" s="19" t="str">
        <f t="shared" si="11"/>
        <v/>
      </c>
      <c r="M45" s="19" t="str">
        <f t="shared" si="12"/>
        <v/>
      </c>
      <c r="N45" s="22">
        <f t="shared" si="13"/>
        <v>-4000</v>
      </c>
      <c r="O45" s="31"/>
    </row>
    <row r="46" spans="1:15" ht="20.100000000000001" hidden="1" customHeight="1">
      <c r="A46" s="7" t="s">
        <v>2523</v>
      </c>
      <c r="B46" s="44">
        <v>45936</v>
      </c>
      <c r="C46" t="s">
        <v>2550</v>
      </c>
      <c r="D46" s="4">
        <f>250000-3275</f>
        <v>246725</v>
      </c>
      <c r="E46" s="65" t="s">
        <v>2527</v>
      </c>
      <c r="F46" s="131" t="s">
        <v>49</v>
      </c>
      <c r="G46" t="s">
        <v>2435</v>
      </c>
      <c r="H46" s="19" t="str">
        <f t="shared" si="7"/>
        <v/>
      </c>
      <c r="I46" s="19" t="str">
        <f t="shared" si="8"/>
        <v/>
      </c>
      <c r="J46" s="19" t="str">
        <f t="shared" si="9"/>
        <v/>
      </c>
      <c r="K46" s="19">
        <f t="shared" si="10"/>
        <v>246725</v>
      </c>
      <c r="L46" s="19" t="str">
        <f t="shared" si="11"/>
        <v/>
      </c>
      <c r="M46" s="19" t="str">
        <f t="shared" si="12"/>
        <v/>
      </c>
      <c r="N46" s="22">
        <f t="shared" si="13"/>
        <v>246725</v>
      </c>
      <c r="O46" s="33"/>
    </row>
    <row r="47" spans="1:15" ht="20.100000000000001" hidden="1" customHeight="1">
      <c r="A47" s="7" t="s">
        <v>2523</v>
      </c>
      <c r="B47" s="44">
        <v>45947</v>
      </c>
      <c r="C47" t="s">
        <v>2548</v>
      </c>
      <c r="D47" s="4">
        <v>5000</v>
      </c>
      <c r="E47" s="65" t="s">
        <v>2427</v>
      </c>
      <c r="F47" s="131" t="s">
        <v>49</v>
      </c>
      <c r="G47" t="s">
        <v>296</v>
      </c>
      <c r="H47" s="19" t="str">
        <f t="shared" si="7"/>
        <v/>
      </c>
      <c r="I47" s="19" t="str">
        <f t="shared" si="8"/>
        <v/>
      </c>
      <c r="J47" s="19" t="str">
        <f t="shared" si="9"/>
        <v/>
      </c>
      <c r="K47" s="19" t="str">
        <f t="shared" si="10"/>
        <v/>
      </c>
      <c r="L47" s="19">
        <f t="shared" si="11"/>
        <v>-5000</v>
      </c>
      <c r="M47" s="19" t="str">
        <f t="shared" si="12"/>
        <v/>
      </c>
      <c r="N47" s="22">
        <f t="shared" si="13"/>
        <v>-5000</v>
      </c>
      <c r="O47" s="31"/>
    </row>
    <row r="48" spans="1:15" ht="20.100000000000001" hidden="1" customHeight="1">
      <c r="A48" s="7" t="s">
        <v>2523</v>
      </c>
      <c r="B48" s="44">
        <v>45950</v>
      </c>
      <c r="C48" t="s">
        <v>2355</v>
      </c>
      <c r="D48" s="4">
        <v>295.8</v>
      </c>
      <c r="E48" s="65" t="s">
        <v>2427</v>
      </c>
      <c r="F48" s="131" t="s">
        <v>49</v>
      </c>
      <c r="G48" t="s">
        <v>345</v>
      </c>
      <c r="H48" s="19">
        <f t="shared" si="7"/>
        <v>-295.8</v>
      </c>
      <c r="I48" s="19" t="str">
        <f t="shared" si="8"/>
        <v/>
      </c>
      <c r="J48" s="19" t="str">
        <f t="shared" si="9"/>
        <v/>
      </c>
      <c r="K48" s="19" t="str">
        <f t="shared" si="10"/>
        <v/>
      </c>
      <c r="L48" s="19" t="str">
        <f t="shared" si="11"/>
        <v/>
      </c>
      <c r="M48" s="19" t="str">
        <f t="shared" si="12"/>
        <v/>
      </c>
      <c r="N48" s="22">
        <f t="shared" si="13"/>
        <v>-295.8</v>
      </c>
      <c r="O48" s="33"/>
    </row>
    <row r="49" spans="1:15" ht="20.100000000000001" hidden="1" customHeight="1">
      <c r="A49" s="7" t="s">
        <v>2523</v>
      </c>
      <c r="B49" s="44">
        <v>45947</v>
      </c>
      <c r="C49" t="s">
        <v>2551</v>
      </c>
      <c r="D49" s="4">
        <f>701.77</f>
        <v>701.77</v>
      </c>
      <c r="E49" s="65" t="s">
        <v>2427</v>
      </c>
      <c r="F49" s="131" t="s">
        <v>49</v>
      </c>
      <c r="G49" t="s">
        <v>345</v>
      </c>
      <c r="H49" s="19">
        <f t="shared" si="7"/>
        <v>-701.77</v>
      </c>
      <c r="I49" s="19" t="str">
        <f t="shared" si="8"/>
        <v/>
      </c>
      <c r="J49" s="19" t="str">
        <f t="shared" si="9"/>
        <v/>
      </c>
      <c r="K49" s="19" t="str">
        <f t="shared" si="10"/>
        <v/>
      </c>
      <c r="L49" s="19" t="str">
        <f t="shared" si="11"/>
        <v/>
      </c>
      <c r="M49" s="19" t="str">
        <f t="shared" si="12"/>
        <v/>
      </c>
      <c r="N49" s="22">
        <f t="shared" si="13"/>
        <v>-701.77</v>
      </c>
      <c r="O49" s="33"/>
    </row>
    <row r="50" spans="1:15" ht="20.100000000000001" hidden="1" customHeight="1">
      <c r="A50" s="7" t="s">
        <v>2523</v>
      </c>
      <c r="B50" s="44">
        <v>45946</v>
      </c>
      <c r="C50" t="s">
        <v>2180</v>
      </c>
      <c r="D50" s="4">
        <v>10000</v>
      </c>
      <c r="E50" s="65" t="s">
        <v>2427</v>
      </c>
      <c r="F50" s="131" t="s">
        <v>16</v>
      </c>
      <c r="G50" t="s">
        <v>345</v>
      </c>
      <c r="H50" s="19">
        <f t="shared" si="7"/>
        <v>-10000</v>
      </c>
      <c r="I50" s="19" t="str">
        <f t="shared" si="8"/>
        <v/>
      </c>
      <c r="J50" s="19" t="str">
        <f t="shared" si="9"/>
        <v/>
      </c>
      <c r="K50" s="19" t="str">
        <f t="shared" si="10"/>
        <v/>
      </c>
      <c r="L50" s="19" t="str">
        <f t="shared" si="11"/>
        <v/>
      </c>
      <c r="M50" s="19" t="str">
        <f t="shared" si="12"/>
        <v/>
      </c>
      <c r="N50" s="22">
        <f t="shared" si="13"/>
        <v>-10000</v>
      </c>
      <c r="O50" s="31"/>
    </row>
    <row r="51" spans="1:15" ht="20.100000000000001" hidden="1" customHeight="1">
      <c r="A51" s="7" t="s">
        <v>2523</v>
      </c>
      <c r="B51" s="44">
        <v>45947</v>
      </c>
      <c r="C51" t="s">
        <v>2547</v>
      </c>
      <c r="D51" s="4">
        <f>5200-468.85</f>
        <v>4731.1499999999996</v>
      </c>
      <c r="E51" s="65" t="s">
        <v>2527</v>
      </c>
      <c r="F51" s="131" t="s">
        <v>49</v>
      </c>
      <c r="G51" t="s">
        <v>345</v>
      </c>
      <c r="H51" s="19">
        <f t="shared" si="7"/>
        <v>4731.1499999999996</v>
      </c>
      <c r="I51" s="19" t="str">
        <f t="shared" si="8"/>
        <v/>
      </c>
      <c r="J51" s="19" t="str">
        <f t="shared" si="9"/>
        <v/>
      </c>
      <c r="K51" s="19" t="str">
        <f t="shared" si="10"/>
        <v/>
      </c>
      <c r="L51" s="19" t="str">
        <f t="shared" si="11"/>
        <v/>
      </c>
      <c r="M51" s="19" t="str">
        <f t="shared" si="12"/>
        <v/>
      </c>
      <c r="N51" s="22">
        <f t="shared" si="13"/>
        <v>4731.1499999999996</v>
      </c>
      <c r="O51" s="33"/>
    </row>
    <row r="52" spans="1:15" ht="20.100000000000001" hidden="1" customHeight="1">
      <c r="A52" s="7" t="s">
        <v>2525</v>
      </c>
      <c r="B52" s="44">
        <v>45946</v>
      </c>
      <c r="C52" t="s">
        <v>2541</v>
      </c>
      <c r="D52" s="4">
        <v>15000</v>
      </c>
      <c r="E52" s="65" t="s">
        <v>2527</v>
      </c>
      <c r="F52" s="131" t="s">
        <v>49</v>
      </c>
      <c r="G52" t="s">
        <v>345</v>
      </c>
      <c r="H52" s="19">
        <f t="shared" si="7"/>
        <v>15000</v>
      </c>
      <c r="I52" s="19" t="str">
        <f t="shared" si="8"/>
        <v/>
      </c>
      <c r="J52" s="19" t="str">
        <f t="shared" si="9"/>
        <v/>
      </c>
      <c r="K52" s="19" t="str">
        <f t="shared" si="10"/>
        <v/>
      </c>
      <c r="L52" s="19" t="str">
        <f t="shared" si="11"/>
        <v/>
      </c>
      <c r="M52" s="19" t="str">
        <f t="shared" si="12"/>
        <v/>
      </c>
      <c r="N52" s="22">
        <f t="shared" si="13"/>
        <v>15000</v>
      </c>
      <c r="O52" s="31"/>
    </row>
    <row r="53" spans="1:15" ht="20.100000000000001" hidden="1" customHeight="1">
      <c r="A53" s="7" t="s">
        <v>2525</v>
      </c>
      <c r="B53" s="44">
        <v>45946</v>
      </c>
      <c r="C53" t="s">
        <v>2541</v>
      </c>
      <c r="D53" s="4">
        <v>15000</v>
      </c>
      <c r="E53" s="65" t="s">
        <v>2427</v>
      </c>
      <c r="F53" s="131" t="s">
        <v>49</v>
      </c>
      <c r="G53" t="s">
        <v>296</v>
      </c>
      <c r="H53" s="19" t="str">
        <f t="shared" si="7"/>
        <v/>
      </c>
      <c r="I53" s="19" t="str">
        <f t="shared" si="8"/>
        <v/>
      </c>
      <c r="J53" s="19" t="str">
        <f t="shared" si="9"/>
        <v/>
      </c>
      <c r="K53" s="19" t="str">
        <f t="shared" si="10"/>
        <v/>
      </c>
      <c r="L53" s="19">
        <f t="shared" si="11"/>
        <v>-15000</v>
      </c>
      <c r="M53" s="19" t="str">
        <f t="shared" si="12"/>
        <v/>
      </c>
      <c r="N53" s="22">
        <f t="shared" si="13"/>
        <v>-15000</v>
      </c>
      <c r="O53" s="31"/>
    </row>
    <row r="54" spans="1:15" ht="20.100000000000001" hidden="1" customHeight="1">
      <c r="A54" s="7" t="s">
        <v>2523</v>
      </c>
      <c r="B54" s="44">
        <v>45946</v>
      </c>
      <c r="C54" t="s">
        <v>2378</v>
      </c>
      <c r="D54" s="4">
        <v>7000</v>
      </c>
      <c r="E54" s="65" t="s">
        <v>2427</v>
      </c>
      <c r="F54" s="131" t="s">
        <v>49</v>
      </c>
      <c r="G54" t="s">
        <v>2435</v>
      </c>
      <c r="H54" s="19" t="str">
        <f t="shared" si="7"/>
        <v/>
      </c>
      <c r="I54" s="19" t="str">
        <f t="shared" si="8"/>
        <v/>
      </c>
      <c r="J54" s="19" t="str">
        <f t="shared" si="9"/>
        <v/>
      </c>
      <c r="K54" s="19">
        <f t="shared" si="10"/>
        <v>-7000</v>
      </c>
      <c r="L54" s="19" t="str">
        <f t="shared" si="11"/>
        <v/>
      </c>
      <c r="M54" s="19" t="str">
        <f t="shared" si="12"/>
        <v/>
      </c>
      <c r="N54" s="22">
        <f t="shared" si="13"/>
        <v>-7000</v>
      </c>
      <c r="O54" s="31"/>
    </row>
    <row r="55" spans="1:15" ht="20.100000000000001" hidden="1" customHeight="1">
      <c r="A55" s="7" t="s">
        <v>2523</v>
      </c>
      <c r="B55" s="44">
        <v>45946</v>
      </c>
      <c r="C55" s="42" t="s">
        <v>1047</v>
      </c>
      <c r="D55" s="4">
        <v>4500</v>
      </c>
      <c r="E55" s="65" t="s">
        <v>2427</v>
      </c>
      <c r="F55" s="131" t="s">
        <v>49</v>
      </c>
      <c r="G55" t="s">
        <v>2435</v>
      </c>
      <c r="H55" s="19" t="str">
        <f t="shared" si="7"/>
        <v/>
      </c>
      <c r="I55" s="19" t="str">
        <f t="shared" si="8"/>
        <v/>
      </c>
      <c r="J55" s="19" t="str">
        <f t="shared" si="9"/>
        <v/>
      </c>
      <c r="K55" s="19">
        <f t="shared" si="10"/>
        <v>-4500</v>
      </c>
      <c r="L55" s="19" t="str">
        <f t="shared" si="11"/>
        <v/>
      </c>
      <c r="M55" s="19" t="str">
        <f t="shared" si="12"/>
        <v/>
      </c>
      <c r="N55" s="22">
        <f t="shared" si="13"/>
        <v>-4500</v>
      </c>
      <c r="O55" s="31"/>
    </row>
    <row r="56" spans="1:15" ht="20.100000000000001" hidden="1" customHeight="1">
      <c r="A56" s="7" t="s">
        <v>2523</v>
      </c>
      <c r="B56" s="44" t="s">
        <v>2552</v>
      </c>
      <c r="C56" t="s">
        <v>2553</v>
      </c>
      <c r="D56" s="4">
        <v>1100</v>
      </c>
      <c r="E56" s="65" t="s">
        <v>2427</v>
      </c>
      <c r="F56" s="131" t="s">
        <v>49</v>
      </c>
      <c r="G56" t="s">
        <v>2435</v>
      </c>
      <c r="H56" s="19" t="str">
        <f t="shared" si="7"/>
        <v/>
      </c>
      <c r="I56" s="19" t="str">
        <f t="shared" si="8"/>
        <v/>
      </c>
      <c r="J56" s="19" t="str">
        <f t="shared" si="9"/>
        <v/>
      </c>
      <c r="K56" s="19">
        <f t="shared" si="10"/>
        <v>-1100</v>
      </c>
      <c r="L56" s="19" t="str">
        <f t="shared" si="11"/>
        <v/>
      </c>
      <c r="M56" s="19" t="str">
        <f t="shared" si="12"/>
        <v/>
      </c>
      <c r="N56" s="22">
        <f t="shared" si="13"/>
        <v>-1100</v>
      </c>
      <c r="O56" s="31"/>
    </row>
    <row r="57" spans="1:15" ht="20.100000000000001" hidden="1" customHeight="1">
      <c r="A57" s="7" t="s">
        <v>2523</v>
      </c>
      <c r="B57" s="44">
        <v>45946</v>
      </c>
      <c r="C57" t="s">
        <v>2270</v>
      </c>
      <c r="D57" s="4">
        <v>13000</v>
      </c>
      <c r="E57" s="65" t="s">
        <v>2427</v>
      </c>
      <c r="F57" s="131" t="s">
        <v>49</v>
      </c>
      <c r="G57" t="s">
        <v>2435</v>
      </c>
      <c r="H57" s="19" t="str">
        <f t="shared" si="7"/>
        <v/>
      </c>
      <c r="I57" s="19" t="str">
        <f t="shared" si="8"/>
        <v/>
      </c>
      <c r="J57" s="19" t="str">
        <f t="shared" si="9"/>
        <v/>
      </c>
      <c r="K57" s="19">
        <f t="shared" si="10"/>
        <v>-13000</v>
      </c>
      <c r="L57" s="19" t="str">
        <f t="shared" si="11"/>
        <v/>
      </c>
      <c r="M57" s="19" t="str">
        <f t="shared" si="12"/>
        <v/>
      </c>
      <c r="N57" s="22">
        <f t="shared" si="13"/>
        <v>-13000</v>
      </c>
      <c r="O57" s="31"/>
    </row>
    <row r="58" spans="1:15" ht="20.100000000000001" hidden="1" customHeight="1">
      <c r="A58" s="7" t="s">
        <v>2523</v>
      </c>
      <c r="B58" s="44">
        <v>45946</v>
      </c>
      <c r="C58" t="s">
        <v>2098</v>
      </c>
      <c r="D58" s="4">
        <v>1560</v>
      </c>
      <c r="E58" s="65" t="s">
        <v>2427</v>
      </c>
      <c r="F58" s="131" t="s">
        <v>49</v>
      </c>
      <c r="G58" t="s">
        <v>2435</v>
      </c>
      <c r="H58" s="19" t="str">
        <f t="shared" si="7"/>
        <v/>
      </c>
      <c r="I58" s="19" t="str">
        <f t="shared" si="8"/>
        <v/>
      </c>
      <c r="J58" s="19" t="str">
        <f t="shared" si="9"/>
        <v/>
      </c>
      <c r="K58" s="19">
        <f t="shared" si="10"/>
        <v>-1560</v>
      </c>
      <c r="L58" s="19" t="str">
        <f t="shared" si="11"/>
        <v/>
      </c>
      <c r="M58" s="19" t="str">
        <f t="shared" si="12"/>
        <v/>
      </c>
      <c r="N58" s="22">
        <f t="shared" si="13"/>
        <v>-1560</v>
      </c>
      <c r="O58" s="31"/>
    </row>
    <row r="59" spans="1:15" ht="20.100000000000001" hidden="1" customHeight="1">
      <c r="A59" s="7" t="s">
        <v>2523</v>
      </c>
      <c r="B59" s="44">
        <v>45946</v>
      </c>
      <c r="C59" t="s">
        <v>2323</v>
      </c>
      <c r="D59" s="4">
        <f>12180/4</f>
        <v>3045</v>
      </c>
      <c r="E59" s="65" t="s">
        <v>2427</v>
      </c>
      <c r="F59" s="131" t="s">
        <v>49</v>
      </c>
      <c r="G59" t="s">
        <v>2435</v>
      </c>
      <c r="H59" s="19" t="str">
        <f t="shared" si="7"/>
        <v/>
      </c>
      <c r="I59" s="19" t="str">
        <f t="shared" si="8"/>
        <v/>
      </c>
      <c r="J59" s="19" t="str">
        <f t="shared" si="9"/>
        <v/>
      </c>
      <c r="K59" s="19">
        <f t="shared" si="10"/>
        <v>-3045</v>
      </c>
      <c r="L59" s="19" t="str">
        <f t="shared" si="11"/>
        <v/>
      </c>
      <c r="M59" s="19" t="str">
        <f t="shared" si="12"/>
        <v/>
      </c>
      <c r="N59" s="22">
        <f t="shared" si="13"/>
        <v>-3045</v>
      </c>
      <c r="O59" s="31"/>
    </row>
    <row r="60" spans="1:15" ht="20.100000000000001" hidden="1" customHeight="1">
      <c r="A60" s="7" t="s">
        <v>2523</v>
      </c>
      <c r="B60" s="44">
        <v>45946</v>
      </c>
      <c r="C60" t="s">
        <v>2554</v>
      </c>
      <c r="D60" s="4">
        <v>870</v>
      </c>
      <c r="E60" s="65" t="s">
        <v>2427</v>
      </c>
      <c r="F60" s="131" t="s">
        <v>49</v>
      </c>
      <c r="G60" t="s">
        <v>2435</v>
      </c>
      <c r="H60" s="19" t="str">
        <f t="shared" si="7"/>
        <v/>
      </c>
      <c r="I60" s="19" t="str">
        <f t="shared" si="8"/>
        <v/>
      </c>
      <c r="J60" s="19" t="str">
        <f t="shared" si="9"/>
        <v/>
      </c>
      <c r="K60" s="19">
        <f t="shared" si="10"/>
        <v>-870</v>
      </c>
      <c r="L60" s="19" t="str">
        <f t="shared" si="11"/>
        <v/>
      </c>
      <c r="M60" s="19" t="str">
        <f t="shared" si="12"/>
        <v/>
      </c>
      <c r="N60" s="22">
        <f t="shared" si="13"/>
        <v>-870</v>
      </c>
      <c r="O60" s="31"/>
    </row>
    <row r="61" spans="1:15" ht="20.100000000000001" hidden="1" customHeight="1">
      <c r="A61" s="7" t="s">
        <v>2523</v>
      </c>
      <c r="B61" s="44">
        <v>45946</v>
      </c>
      <c r="C61" t="s">
        <v>2090</v>
      </c>
      <c r="D61" s="4">
        <v>811.3</v>
      </c>
      <c r="E61" s="65" t="s">
        <v>2427</v>
      </c>
      <c r="F61" s="131" t="s">
        <v>49</v>
      </c>
      <c r="G61" t="s">
        <v>2435</v>
      </c>
      <c r="H61" s="19" t="str">
        <f t="shared" si="7"/>
        <v/>
      </c>
      <c r="I61" s="19" t="str">
        <f t="shared" si="8"/>
        <v/>
      </c>
      <c r="J61" s="19" t="str">
        <f t="shared" si="9"/>
        <v/>
      </c>
      <c r="K61" s="19">
        <f t="shared" si="10"/>
        <v>-811.3</v>
      </c>
      <c r="L61" s="19" t="str">
        <f t="shared" si="11"/>
        <v/>
      </c>
      <c r="M61" s="19" t="str">
        <f t="shared" si="12"/>
        <v/>
      </c>
      <c r="N61" s="22">
        <f t="shared" si="13"/>
        <v>-811.3</v>
      </c>
      <c r="O61" s="31"/>
    </row>
    <row r="62" spans="1:15" ht="20.100000000000001" hidden="1" customHeight="1">
      <c r="A62" s="7" t="s">
        <v>2523</v>
      </c>
      <c r="B62" s="44">
        <v>45946</v>
      </c>
      <c r="C62" t="s">
        <v>2229</v>
      </c>
      <c r="D62" s="4">
        <v>2210</v>
      </c>
      <c r="E62" s="65" t="s">
        <v>2427</v>
      </c>
      <c r="F62" s="131" t="s">
        <v>49</v>
      </c>
      <c r="G62" t="s">
        <v>2435</v>
      </c>
      <c r="H62" s="19" t="str">
        <f t="shared" si="7"/>
        <v/>
      </c>
      <c r="I62" s="19" t="str">
        <f t="shared" si="8"/>
        <v/>
      </c>
      <c r="J62" s="19" t="str">
        <f t="shared" si="9"/>
        <v/>
      </c>
      <c r="K62" s="19">
        <f t="shared" si="10"/>
        <v>-2210</v>
      </c>
      <c r="L62" s="19" t="str">
        <f t="shared" si="11"/>
        <v/>
      </c>
      <c r="M62" s="19" t="str">
        <f t="shared" si="12"/>
        <v/>
      </c>
      <c r="N62" s="22">
        <f t="shared" si="13"/>
        <v>-2210</v>
      </c>
      <c r="O62" s="31"/>
    </row>
    <row r="63" spans="1:15" ht="20.100000000000001" hidden="1" customHeight="1">
      <c r="A63" s="7" t="s">
        <v>2523</v>
      </c>
      <c r="B63" s="44">
        <v>45946</v>
      </c>
      <c r="C63" t="s">
        <v>2142</v>
      </c>
      <c r="D63" s="4">
        <v>2065.71</v>
      </c>
      <c r="E63" s="65" t="s">
        <v>2427</v>
      </c>
      <c r="F63" s="131" t="s">
        <v>49</v>
      </c>
      <c r="G63" t="s">
        <v>2435</v>
      </c>
      <c r="H63" s="19" t="str">
        <f t="shared" si="7"/>
        <v/>
      </c>
      <c r="I63" s="19" t="str">
        <f t="shared" si="8"/>
        <v/>
      </c>
      <c r="J63" s="19" t="str">
        <f t="shared" si="9"/>
        <v/>
      </c>
      <c r="K63" s="19">
        <f t="shared" si="10"/>
        <v>-2065.71</v>
      </c>
      <c r="L63" s="19" t="str">
        <f t="shared" si="11"/>
        <v/>
      </c>
      <c r="M63" s="19" t="str">
        <f t="shared" si="12"/>
        <v/>
      </c>
      <c r="N63" s="22">
        <f t="shared" si="13"/>
        <v>-2065.71</v>
      </c>
      <c r="O63" s="31"/>
    </row>
    <row r="64" spans="1:15" ht="20.100000000000001" hidden="1" customHeight="1">
      <c r="A64" s="7" t="s">
        <v>2523</v>
      </c>
      <c r="B64" s="44">
        <v>45945</v>
      </c>
      <c r="C64" t="s">
        <v>2555</v>
      </c>
      <c r="D64" s="4">
        <v>16000</v>
      </c>
      <c r="E64" s="65" t="s">
        <v>2427</v>
      </c>
      <c r="F64" s="131" t="s">
        <v>49</v>
      </c>
      <c r="G64" t="s">
        <v>345</v>
      </c>
      <c r="H64" s="19">
        <f t="shared" si="7"/>
        <v>-16000</v>
      </c>
      <c r="I64" s="19" t="str">
        <f t="shared" si="8"/>
        <v/>
      </c>
      <c r="J64" s="19" t="str">
        <f t="shared" si="9"/>
        <v/>
      </c>
      <c r="K64" s="19" t="str">
        <f t="shared" si="10"/>
        <v/>
      </c>
      <c r="L64" s="19" t="str">
        <f t="shared" si="11"/>
        <v/>
      </c>
      <c r="M64" s="19" t="str">
        <f t="shared" si="12"/>
        <v/>
      </c>
      <c r="N64" s="22">
        <f t="shared" si="13"/>
        <v>-16000</v>
      </c>
      <c r="O64" s="31"/>
    </row>
    <row r="65" spans="1:15" ht="20.100000000000001" hidden="1" customHeight="1">
      <c r="A65" s="7" t="s">
        <v>2523</v>
      </c>
      <c r="B65" s="44">
        <v>45945</v>
      </c>
      <c r="C65" t="s">
        <v>2556</v>
      </c>
      <c r="D65" s="4">
        <v>9000</v>
      </c>
      <c r="E65" s="65" t="s">
        <v>2427</v>
      </c>
      <c r="F65" s="131" t="s">
        <v>49</v>
      </c>
      <c r="G65" t="s">
        <v>345</v>
      </c>
      <c r="H65" s="19">
        <f t="shared" si="7"/>
        <v>-9000</v>
      </c>
      <c r="I65" s="19" t="str">
        <f t="shared" si="8"/>
        <v/>
      </c>
      <c r="J65" s="19" t="str">
        <f t="shared" si="9"/>
        <v/>
      </c>
      <c r="K65" s="19" t="str">
        <f t="shared" si="10"/>
        <v/>
      </c>
      <c r="L65" s="19" t="str">
        <f t="shared" si="11"/>
        <v/>
      </c>
      <c r="M65" s="19" t="str">
        <f t="shared" si="12"/>
        <v/>
      </c>
      <c r="N65" s="22">
        <f t="shared" si="13"/>
        <v>-9000</v>
      </c>
      <c r="O65" s="31" t="s">
        <v>2557</v>
      </c>
    </row>
    <row r="66" spans="1:15" ht="20.100000000000001" hidden="1" customHeight="1">
      <c r="A66" s="7" t="s">
        <v>2523</v>
      </c>
      <c r="B66" s="44">
        <v>45946</v>
      </c>
      <c r="C66" t="s">
        <v>2558</v>
      </c>
      <c r="D66" s="4">
        <v>329</v>
      </c>
      <c r="E66" s="65" t="s">
        <v>2427</v>
      </c>
      <c r="F66" s="131" t="s">
        <v>49</v>
      </c>
      <c r="G66" t="s">
        <v>2435</v>
      </c>
      <c r="H66" s="19" t="str">
        <f t="shared" si="7"/>
        <v/>
      </c>
      <c r="I66" s="19" t="str">
        <f t="shared" si="8"/>
        <v/>
      </c>
      <c r="J66" s="19" t="str">
        <f t="shared" si="9"/>
        <v/>
      </c>
      <c r="K66" s="19">
        <f t="shared" si="10"/>
        <v>-329</v>
      </c>
      <c r="L66" s="19" t="str">
        <f t="shared" si="11"/>
        <v/>
      </c>
      <c r="M66" s="19" t="str">
        <f t="shared" si="12"/>
        <v/>
      </c>
      <c r="N66" s="22">
        <f t="shared" si="13"/>
        <v>-329</v>
      </c>
      <c r="O66" s="31"/>
    </row>
    <row r="67" spans="1:15" s="9" customFormat="1" hidden="1">
      <c r="A67" s="7" t="s">
        <v>2523</v>
      </c>
      <c r="B67" s="44">
        <v>45946</v>
      </c>
      <c r="C67" t="s">
        <v>2559</v>
      </c>
      <c r="D67" s="4">
        <v>1162</v>
      </c>
      <c r="E67" s="65" t="s">
        <v>2427</v>
      </c>
      <c r="F67" s="131" t="s">
        <v>49</v>
      </c>
      <c r="G67" t="s">
        <v>2435</v>
      </c>
      <c r="H67" s="19" t="str">
        <f t="shared" si="7"/>
        <v/>
      </c>
      <c r="I67" s="19" t="str">
        <f t="shared" si="8"/>
        <v/>
      </c>
      <c r="J67" s="19" t="str">
        <f t="shared" si="9"/>
        <v/>
      </c>
      <c r="K67" s="19">
        <f t="shared" si="10"/>
        <v>-1162</v>
      </c>
      <c r="L67" s="19" t="str">
        <f t="shared" si="11"/>
        <v/>
      </c>
      <c r="M67" s="19" t="str">
        <f t="shared" si="12"/>
        <v/>
      </c>
      <c r="N67" s="22">
        <f t="shared" si="13"/>
        <v>-1162</v>
      </c>
      <c r="O67" s="31"/>
    </row>
    <row r="68" spans="1:15" ht="30" hidden="1" customHeight="1">
      <c r="A68" s="7" t="s">
        <v>2523</v>
      </c>
      <c r="B68" s="44">
        <v>45946</v>
      </c>
      <c r="C68" t="s">
        <v>2177</v>
      </c>
      <c r="D68" s="4">
        <v>6000</v>
      </c>
      <c r="E68" s="65" t="s">
        <v>2427</v>
      </c>
      <c r="F68" s="131" t="s">
        <v>49</v>
      </c>
      <c r="G68" t="s">
        <v>2435</v>
      </c>
      <c r="H68" s="19" t="str">
        <f t="shared" si="7"/>
        <v/>
      </c>
      <c r="I68" s="19" t="str">
        <f t="shared" si="8"/>
        <v/>
      </c>
      <c r="J68" s="19" t="str">
        <f t="shared" si="9"/>
        <v/>
      </c>
      <c r="K68" s="19">
        <f t="shared" si="10"/>
        <v>-6000</v>
      </c>
      <c r="L68" s="19" t="str">
        <f t="shared" si="11"/>
        <v/>
      </c>
      <c r="M68" s="19" t="str">
        <f t="shared" si="12"/>
        <v/>
      </c>
      <c r="N68" s="22">
        <f t="shared" si="13"/>
        <v>-6000</v>
      </c>
      <c r="O68" s="145" t="s">
        <v>2560</v>
      </c>
    </row>
    <row r="69" spans="1:15" ht="20.100000000000001" hidden="1" customHeight="1">
      <c r="A69" s="7" t="s">
        <v>2523</v>
      </c>
      <c r="B69" s="44">
        <v>45945</v>
      </c>
      <c r="C69" t="s">
        <v>2074</v>
      </c>
      <c r="D69" s="4">
        <v>2000</v>
      </c>
      <c r="E69" s="65" t="s">
        <v>2427</v>
      </c>
      <c r="F69" s="131" t="s">
        <v>49</v>
      </c>
      <c r="G69" t="s">
        <v>2435</v>
      </c>
      <c r="H69" s="19" t="str">
        <f t="shared" si="7"/>
        <v/>
      </c>
      <c r="I69" s="19" t="str">
        <f t="shared" si="8"/>
        <v/>
      </c>
      <c r="J69" s="19" t="str">
        <f t="shared" si="9"/>
        <v/>
      </c>
      <c r="K69" s="19">
        <f t="shared" si="10"/>
        <v>-2000</v>
      </c>
      <c r="L69" s="19" t="str">
        <f t="shared" si="11"/>
        <v/>
      </c>
      <c r="M69" s="19" t="str">
        <f t="shared" si="12"/>
        <v/>
      </c>
      <c r="N69" s="22">
        <f t="shared" si="13"/>
        <v>-2000</v>
      </c>
      <c r="O69" s="31"/>
    </row>
    <row r="70" spans="1:15" ht="20.100000000000001" hidden="1" customHeight="1">
      <c r="A70" s="7" t="s">
        <v>2523</v>
      </c>
      <c r="B70" s="44">
        <v>45945</v>
      </c>
      <c r="C70" t="s">
        <v>2144</v>
      </c>
      <c r="D70" s="4">
        <v>2458.96</v>
      </c>
      <c r="E70" s="65" t="s">
        <v>2427</v>
      </c>
      <c r="F70" s="131" t="s">
        <v>49</v>
      </c>
      <c r="G70" t="s">
        <v>2435</v>
      </c>
      <c r="H70" s="19" t="str">
        <f t="shared" si="7"/>
        <v/>
      </c>
      <c r="I70" s="19" t="str">
        <f t="shared" si="8"/>
        <v/>
      </c>
      <c r="J70" s="19" t="str">
        <f t="shared" si="9"/>
        <v/>
      </c>
      <c r="K70" s="19">
        <f t="shared" si="10"/>
        <v>-2458.96</v>
      </c>
      <c r="L70" s="19" t="str">
        <f t="shared" si="11"/>
        <v/>
      </c>
      <c r="M70" s="19" t="str">
        <f t="shared" si="12"/>
        <v/>
      </c>
      <c r="N70" s="22">
        <f t="shared" si="13"/>
        <v>-2458.96</v>
      </c>
      <c r="O70" s="31"/>
    </row>
    <row r="71" spans="1:15" ht="20.100000000000001" hidden="1" customHeight="1">
      <c r="A71" s="7" t="s">
        <v>2523</v>
      </c>
      <c r="B71" s="44">
        <v>45945</v>
      </c>
      <c r="C71" t="s">
        <v>2561</v>
      </c>
      <c r="D71" s="4">
        <v>582</v>
      </c>
      <c r="E71" s="65" t="s">
        <v>2427</v>
      </c>
      <c r="F71" s="131" t="s">
        <v>49</v>
      </c>
      <c r="G71" t="s">
        <v>2435</v>
      </c>
      <c r="H71" s="19" t="str">
        <f t="shared" si="7"/>
        <v/>
      </c>
      <c r="I71" s="19" t="str">
        <f t="shared" si="8"/>
        <v/>
      </c>
      <c r="J71" s="19" t="str">
        <f t="shared" si="9"/>
        <v/>
      </c>
      <c r="K71" s="19">
        <f t="shared" si="10"/>
        <v>-582</v>
      </c>
      <c r="L71" s="19" t="str">
        <f t="shared" si="11"/>
        <v/>
      </c>
      <c r="M71" s="19" t="str">
        <f t="shared" si="12"/>
        <v/>
      </c>
      <c r="N71" s="22">
        <f t="shared" si="13"/>
        <v>-582</v>
      </c>
      <c r="O71" s="149" t="s">
        <v>2562</v>
      </c>
    </row>
    <row r="72" spans="1:15" ht="20.100000000000001" hidden="1" customHeight="1">
      <c r="A72" s="7" t="s">
        <v>2523</v>
      </c>
      <c r="B72" s="44">
        <v>45946</v>
      </c>
      <c r="C72" t="s">
        <v>2124</v>
      </c>
      <c r="D72" s="4">
        <v>3206.4</v>
      </c>
      <c r="E72" s="65" t="s">
        <v>2427</v>
      </c>
      <c r="F72" s="131" t="s">
        <v>49</v>
      </c>
      <c r="G72" t="s">
        <v>2435</v>
      </c>
      <c r="H72" s="19" t="str">
        <f t="shared" si="7"/>
        <v/>
      </c>
      <c r="I72" s="19" t="str">
        <f t="shared" si="8"/>
        <v/>
      </c>
      <c r="J72" s="19" t="str">
        <f t="shared" si="9"/>
        <v/>
      </c>
      <c r="K72" s="19">
        <f t="shared" si="10"/>
        <v>-3206.4</v>
      </c>
      <c r="L72" s="19" t="str">
        <f t="shared" si="11"/>
        <v/>
      </c>
      <c r="M72" s="19" t="str">
        <f t="shared" si="12"/>
        <v/>
      </c>
      <c r="N72" s="22">
        <f t="shared" si="13"/>
        <v>-3206.4</v>
      </c>
      <c r="O72" s="31" t="s">
        <v>2563</v>
      </c>
    </row>
    <row r="73" spans="1:15" ht="20.100000000000001" hidden="1" customHeight="1">
      <c r="A73" s="7" t="s">
        <v>2523</v>
      </c>
      <c r="B73" s="44">
        <v>45951</v>
      </c>
      <c r="C73" t="s">
        <v>2564</v>
      </c>
      <c r="D73" s="4">
        <v>2409.5500000000002</v>
      </c>
      <c r="E73" s="65" t="s">
        <v>2427</v>
      </c>
      <c r="F73" s="131" t="s">
        <v>49</v>
      </c>
      <c r="G73" t="s">
        <v>2435</v>
      </c>
      <c r="H73" s="19" t="str">
        <f t="shared" si="7"/>
        <v/>
      </c>
      <c r="I73" s="19" t="str">
        <f t="shared" si="8"/>
        <v/>
      </c>
      <c r="J73" s="19" t="str">
        <f t="shared" si="9"/>
        <v/>
      </c>
      <c r="K73" s="19">
        <f t="shared" si="10"/>
        <v>-2409.5500000000002</v>
      </c>
      <c r="L73" s="19" t="str">
        <f t="shared" si="11"/>
        <v/>
      </c>
      <c r="M73" s="19" t="str">
        <f t="shared" si="12"/>
        <v/>
      </c>
      <c r="N73" s="22">
        <f t="shared" si="13"/>
        <v>-2409.5500000000002</v>
      </c>
      <c r="O73" s="31"/>
    </row>
    <row r="74" spans="1:15" ht="20.100000000000001" hidden="1" customHeight="1">
      <c r="A74" s="7" t="s">
        <v>2523</v>
      </c>
      <c r="B74" s="44">
        <v>45951</v>
      </c>
      <c r="C74" t="s">
        <v>2327</v>
      </c>
      <c r="D74" s="4">
        <v>2215.7600000000002</v>
      </c>
      <c r="E74" s="65" t="s">
        <v>2427</v>
      </c>
      <c r="F74" s="131" t="s">
        <v>49</v>
      </c>
      <c r="G74" t="s">
        <v>2435</v>
      </c>
      <c r="H74" s="19" t="str">
        <f t="shared" ref="H74:H105" si="14">IF(AND($F74="X",$G74="BCC"),IF($E74="U",-$D74,$D74),"")</f>
        <v/>
      </c>
      <c r="I74" s="19" t="str">
        <f t="shared" ref="I74:I105" si="15">IF(AND($F74="X",$G74="INTESA"),IF($E74="U",-$D74,$D74),"")</f>
        <v/>
      </c>
      <c r="J74" s="19" t="str">
        <f t="shared" ref="J74:J105" si="16">IF(AND($F74="X",$G74="BPM"),IF($E74="U",-$D74,$D74),"")</f>
        <v/>
      </c>
      <c r="K74" s="19">
        <f t="shared" ref="K74:K105" si="17">IF(AND($F74="X",$G74="SONDRIO"),IF($E74="U",-$D74,$D74),"")</f>
        <v>-2215.7600000000002</v>
      </c>
      <c r="L74" s="19" t="str">
        <f t="shared" ref="L74:L105" si="18">IF(AND($F74="X",$G74="BPER"),IF($E74="U",-$D74,$D74),"")</f>
        <v/>
      </c>
      <c r="M74" s="19" t="str">
        <f t="shared" ref="M74:M107" si="19">IF(AND($F74="X",$G74="CASSA"),IF($E74="U",-$D74,$D74),"")</f>
        <v/>
      </c>
      <c r="N74" s="22">
        <f t="shared" ref="N74:N105" si="20">IF(F74="X",IF(E74="U",-D74,D74),"non ancora confermato")</f>
        <v>-2215.7600000000002</v>
      </c>
      <c r="O74" s="31"/>
    </row>
    <row r="75" spans="1:15" ht="20.100000000000001" hidden="1" customHeight="1">
      <c r="A75" s="7" t="s">
        <v>2523</v>
      </c>
      <c r="B75" s="44">
        <v>45951</v>
      </c>
      <c r="C75" t="s">
        <v>2565</v>
      </c>
      <c r="D75" s="4">
        <v>1070.6400000000001</v>
      </c>
      <c r="E75" s="65" t="s">
        <v>2427</v>
      </c>
      <c r="F75" s="131" t="s">
        <v>49</v>
      </c>
      <c r="G75" t="s">
        <v>2435</v>
      </c>
      <c r="H75" s="19" t="str">
        <f t="shared" si="14"/>
        <v/>
      </c>
      <c r="I75" s="19" t="str">
        <f t="shared" si="15"/>
        <v/>
      </c>
      <c r="J75" s="19" t="str">
        <f t="shared" si="16"/>
        <v/>
      </c>
      <c r="K75" s="19">
        <f t="shared" si="17"/>
        <v>-1070.6400000000001</v>
      </c>
      <c r="L75" s="19" t="str">
        <f t="shared" si="18"/>
        <v/>
      </c>
      <c r="M75" s="19" t="str">
        <f t="shared" si="19"/>
        <v/>
      </c>
      <c r="N75" s="22">
        <f t="shared" si="20"/>
        <v>-1070.6400000000001</v>
      </c>
      <c r="O75" s="31" t="s">
        <v>2566</v>
      </c>
    </row>
    <row r="76" spans="1:15" ht="20.100000000000001" hidden="1" customHeight="1">
      <c r="A76" s="7" t="s">
        <v>2523</v>
      </c>
      <c r="B76" s="44">
        <v>45951</v>
      </c>
      <c r="C76" t="s">
        <v>2567</v>
      </c>
      <c r="D76" s="4">
        <v>3395</v>
      </c>
      <c r="E76" s="65" t="s">
        <v>2427</v>
      </c>
      <c r="F76" s="131" t="s">
        <v>49</v>
      </c>
      <c r="G76" t="s">
        <v>2435</v>
      </c>
      <c r="H76" s="19" t="str">
        <f t="shared" si="14"/>
        <v/>
      </c>
      <c r="I76" s="19" t="str">
        <f t="shared" si="15"/>
        <v/>
      </c>
      <c r="J76" s="19" t="str">
        <f t="shared" si="16"/>
        <v/>
      </c>
      <c r="K76" s="19">
        <f t="shared" si="17"/>
        <v>-3395</v>
      </c>
      <c r="L76" s="19" t="str">
        <f t="shared" si="18"/>
        <v/>
      </c>
      <c r="M76" s="19" t="str">
        <f t="shared" si="19"/>
        <v/>
      </c>
      <c r="N76" s="22">
        <f t="shared" si="20"/>
        <v>-3395</v>
      </c>
      <c r="O76" s="31"/>
    </row>
    <row r="77" spans="1:15" ht="20.100000000000001" hidden="1" customHeight="1">
      <c r="A77" s="7" t="s">
        <v>2523</v>
      </c>
      <c r="B77" s="44">
        <v>45951</v>
      </c>
      <c r="C77" t="s">
        <v>2446</v>
      </c>
      <c r="D77" s="4">
        <v>2221</v>
      </c>
      <c r="E77" s="65" t="s">
        <v>2427</v>
      </c>
      <c r="F77" s="131" t="s">
        <v>49</v>
      </c>
      <c r="G77" t="s">
        <v>2435</v>
      </c>
      <c r="H77" s="19" t="str">
        <f t="shared" si="14"/>
        <v/>
      </c>
      <c r="I77" s="19" t="str">
        <f t="shared" si="15"/>
        <v/>
      </c>
      <c r="J77" s="19" t="str">
        <f t="shared" si="16"/>
        <v/>
      </c>
      <c r="K77" s="19">
        <f t="shared" si="17"/>
        <v>-2221</v>
      </c>
      <c r="L77" s="19" t="str">
        <f t="shared" si="18"/>
        <v/>
      </c>
      <c r="M77" s="19" t="str">
        <f t="shared" si="19"/>
        <v/>
      </c>
      <c r="N77" s="22">
        <f t="shared" si="20"/>
        <v>-2221</v>
      </c>
      <c r="O77" s="31" t="s">
        <v>2568</v>
      </c>
    </row>
    <row r="78" spans="1:15" ht="20.100000000000001" hidden="1" customHeight="1">
      <c r="A78" s="7" t="s">
        <v>2523</v>
      </c>
      <c r="B78" s="44">
        <v>45951</v>
      </c>
      <c r="C78" t="s">
        <v>2446</v>
      </c>
      <c r="D78" s="4">
        <v>3000</v>
      </c>
      <c r="E78" s="65" t="s">
        <v>2427</v>
      </c>
      <c r="F78" s="131" t="s">
        <v>49</v>
      </c>
      <c r="G78" t="s">
        <v>2435</v>
      </c>
      <c r="H78" s="19" t="str">
        <f t="shared" si="14"/>
        <v/>
      </c>
      <c r="I78" s="19" t="str">
        <f t="shared" si="15"/>
        <v/>
      </c>
      <c r="J78" s="19" t="str">
        <f t="shared" si="16"/>
        <v/>
      </c>
      <c r="K78" s="19">
        <f t="shared" si="17"/>
        <v>-3000</v>
      </c>
      <c r="L78" s="19" t="str">
        <f t="shared" si="18"/>
        <v/>
      </c>
      <c r="M78" s="19" t="str">
        <f t="shared" si="19"/>
        <v/>
      </c>
      <c r="N78" s="22">
        <f t="shared" si="20"/>
        <v>-3000</v>
      </c>
      <c r="O78" s="31" t="s">
        <v>2569</v>
      </c>
    </row>
    <row r="79" spans="1:15" ht="20.100000000000001" hidden="1" customHeight="1">
      <c r="A79" s="7" t="s">
        <v>2523</v>
      </c>
      <c r="B79" s="44">
        <v>45951</v>
      </c>
      <c r="C79" t="s">
        <v>2446</v>
      </c>
      <c r="D79" s="4">
        <v>1400</v>
      </c>
      <c r="E79" s="65" t="s">
        <v>2427</v>
      </c>
      <c r="F79" s="131" t="s">
        <v>49</v>
      </c>
      <c r="G79" t="s">
        <v>2435</v>
      </c>
      <c r="H79" s="19" t="str">
        <f t="shared" si="14"/>
        <v/>
      </c>
      <c r="I79" s="19" t="str">
        <f t="shared" si="15"/>
        <v/>
      </c>
      <c r="J79" s="19" t="str">
        <f t="shared" si="16"/>
        <v/>
      </c>
      <c r="K79" s="19">
        <f t="shared" si="17"/>
        <v>-1400</v>
      </c>
      <c r="L79" s="19" t="str">
        <f t="shared" si="18"/>
        <v/>
      </c>
      <c r="M79" s="19" t="str">
        <f t="shared" si="19"/>
        <v/>
      </c>
      <c r="N79" s="22">
        <f t="shared" si="20"/>
        <v>-1400</v>
      </c>
      <c r="O79" s="31" t="s">
        <v>2570</v>
      </c>
    </row>
    <row r="80" spans="1:15" ht="20.100000000000001" hidden="1" customHeight="1">
      <c r="A80" s="7" t="s">
        <v>2523</v>
      </c>
      <c r="B80" s="44">
        <v>45951</v>
      </c>
      <c r="C80" t="s">
        <v>2446</v>
      </c>
      <c r="D80" s="4">
        <v>1084</v>
      </c>
      <c r="E80" s="65" t="s">
        <v>2427</v>
      </c>
      <c r="F80" s="131" t="s">
        <v>49</v>
      </c>
      <c r="G80" t="s">
        <v>2435</v>
      </c>
      <c r="H80" s="19" t="str">
        <f t="shared" si="14"/>
        <v/>
      </c>
      <c r="I80" s="19" t="str">
        <f t="shared" si="15"/>
        <v/>
      </c>
      <c r="J80" s="19" t="str">
        <f t="shared" si="16"/>
        <v/>
      </c>
      <c r="K80" s="19">
        <f t="shared" si="17"/>
        <v>-1084</v>
      </c>
      <c r="L80" s="19" t="str">
        <f t="shared" si="18"/>
        <v/>
      </c>
      <c r="M80" s="19" t="str">
        <f t="shared" si="19"/>
        <v/>
      </c>
      <c r="N80" s="22">
        <f t="shared" si="20"/>
        <v>-1084</v>
      </c>
      <c r="O80" s="31" t="s">
        <v>2571</v>
      </c>
    </row>
    <row r="81" spans="1:15" ht="20.100000000000001" hidden="1" customHeight="1">
      <c r="A81" s="7" t="s">
        <v>2523</v>
      </c>
      <c r="B81" s="44">
        <v>45945</v>
      </c>
      <c r="C81" t="s">
        <v>2572</v>
      </c>
      <c r="D81" s="4">
        <v>299</v>
      </c>
      <c r="E81" s="65" t="s">
        <v>2427</v>
      </c>
      <c r="F81" s="131" t="s">
        <v>49</v>
      </c>
      <c r="G81" t="s">
        <v>345</v>
      </c>
      <c r="H81" s="19">
        <f t="shared" si="14"/>
        <v>-299</v>
      </c>
      <c r="I81" s="19" t="str">
        <f t="shared" si="15"/>
        <v/>
      </c>
      <c r="J81" s="19" t="str">
        <f t="shared" si="16"/>
        <v/>
      </c>
      <c r="K81" s="19" t="str">
        <f t="shared" si="17"/>
        <v/>
      </c>
      <c r="L81" s="19" t="str">
        <f t="shared" si="18"/>
        <v/>
      </c>
      <c r="M81" s="19" t="str">
        <f t="shared" si="19"/>
        <v/>
      </c>
      <c r="N81" s="22">
        <f t="shared" si="20"/>
        <v>-299</v>
      </c>
      <c r="O81" s="31"/>
    </row>
    <row r="82" spans="1:15" ht="20.100000000000001" hidden="1" customHeight="1">
      <c r="A82" s="7" t="s">
        <v>2523</v>
      </c>
      <c r="B82" s="44">
        <v>45951</v>
      </c>
      <c r="C82" t="s">
        <v>2573</v>
      </c>
      <c r="D82" s="4">
        <v>284.89999999999998</v>
      </c>
      <c r="E82" s="65" t="s">
        <v>2427</v>
      </c>
      <c r="F82" s="131" t="s">
        <v>49</v>
      </c>
      <c r="G82" t="s">
        <v>345</v>
      </c>
      <c r="H82" s="19">
        <f t="shared" si="14"/>
        <v>-284.89999999999998</v>
      </c>
      <c r="I82" s="19" t="str">
        <f t="shared" si="15"/>
        <v/>
      </c>
      <c r="J82" s="19" t="str">
        <f t="shared" si="16"/>
        <v/>
      </c>
      <c r="K82" s="19" t="str">
        <f t="shared" si="17"/>
        <v/>
      </c>
      <c r="L82" s="19" t="str">
        <f t="shared" si="18"/>
        <v/>
      </c>
      <c r="M82" s="19" t="str">
        <f t="shared" si="19"/>
        <v/>
      </c>
      <c r="N82" s="22">
        <f t="shared" si="20"/>
        <v>-284.89999999999998</v>
      </c>
      <c r="O82" s="31"/>
    </row>
    <row r="83" spans="1:15" ht="20.100000000000001" hidden="1" customHeight="1">
      <c r="A83" s="7" t="s">
        <v>2523</v>
      </c>
      <c r="B83" s="44">
        <v>45951</v>
      </c>
      <c r="C83" t="s">
        <v>2574</v>
      </c>
      <c r="D83" s="4">
        <v>2500</v>
      </c>
      <c r="E83" s="65" t="s">
        <v>2427</v>
      </c>
      <c r="F83" s="131" t="s">
        <v>49</v>
      </c>
      <c r="G83" t="s">
        <v>345</v>
      </c>
      <c r="H83" s="19">
        <f t="shared" si="14"/>
        <v>-2500</v>
      </c>
      <c r="I83" s="19" t="str">
        <f t="shared" si="15"/>
        <v/>
      </c>
      <c r="J83" s="19" t="str">
        <f t="shared" si="16"/>
        <v/>
      </c>
      <c r="K83" s="19" t="str">
        <f t="shared" si="17"/>
        <v/>
      </c>
      <c r="L83" s="19" t="str">
        <f t="shared" si="18"/>
        <v/>
      </c>
      <c r="M83" s="19" t="str">
        <f t="shared" si="19"/>
        <v/>
      </c>
      <c r="N83" s="22">
        <f t="shared" si="20"/>
        <v>-2500</v>
      </c>
      <c r="O83" s="31"/>
    </row>
    <row r="84" spans="1:15" ht="20.100000000000001" hidden="1" customHeight="1">
      <c r="A84" s="7" t="s">
        <v>2523</v>
      </c>
      <c r="B84" s="44">
        <v>45950</v>
      </c>
      <c r="C84" t="s">
        <v>2057</v>
      </c>
      <c r="D84" s="4">
        <v>1923.2</v>
      </c>
      <c r="E84" s="65" t="s">
        <v>2427</v>
      </c>
      <c r="F84" s="131" t="s">
        <v>49</v>
      </c>
      <c r="G84" t="s">
        <v>345</v>
      </c>
      <c r="H84" s="19">
        <f t="shared" si="14"/>
        <v>-1923.2</v>
      </c>
      <c r="I84" s="19" t="str">
        <f t="shared" si="15"/>
        <v/>
      </c>
      <c r="J84" s="19" t="str">
        <f t="shared" si="16"/>
        <v/>
      </c>
      <c r="K84" s="19" t="str">
        <f t="shared" si="17"/>
        <v/>
      </c>
      <c r="L84" s="19" t="str">
        <f t="shared" si="18"/>
        <v/>
      </c>
      <c r="M84" s="19" t="str">
        <f t="shared" si="19"/>
        <v/>
      </c>
      <c r="N84" s="22">
        <f t="shared" si="20"/>
        <v>-1923.2</v>
      </c>
      <c r="O84" s="31" t="s">
        <v>2575</v>
      </c>
    </row>
    <row r="85" spans="1:15" ht="20.100000000000001" hidden="1" customHeight="1">
      <c r="A85" s="7" t="s">
        <v>2523</v>
      </c>
      <c r="B85" s="44">
        <v>45950</v>
      </c>
      <c r="C85" t="s">
        <v>2576</v>
      </c>
      <c r="D85" s="4">
        <v>474.24</v>
      </c>
      <c r="E85" s="65" t="s">
        <v>2427</v>
      </c>
      <c r="F85" s="131" t="s">
        <v>49</v>
      </c>
      <c r="G85" t="s">
        <v>345</v>
      </c>
      <c r="H85" s="19">
        <f t="shared" si="14"/>
        <v>-474.24</v>
      </c>
      <c r="I85" s="19" t="str">
        <f t="shared" si="15"/>
        <v/>
      </c>
      <c r="J85" s="19" t="str">
        <f t="shared" si="16"/>
        <v/>
      </c>
      <c r="K85" s="19" t="str">
        <f t="shared" si="17"/>
        <v/>
      </c>
      <c r="L85" s="19" t="str">
        <f t="shared" si="18"/>
        <v/>
      </c>
      <c r="M85" s="19" t="str">
        <f t="shared" si="19"/>
        <v/>
      </c>
      <c r="N85" s="22">
        <f t="shared" si="20"/>
        <v>-474.24</v>
      </c>
      <c r="O85" s="31" t="s">
        <v>2577</v>
      </c>
    </row>
    <row r="86" spans="1:15" ht="20.100000000000001" hidden="1" customHeight="1">
      <c r="A86" s="7" t="s">
        <v>2523</v>
      </c>
      <c r="B86" s="44">
        <v>45950</v>
      </c>
      <c r="C86" t="s">
        <v>2576</v>
      </c>
      <c r="D86" s="4">
        <v>21.92</v>
      </c>
      <c r="E86" s="65" t="s">
        <v>2427</v>
      </c>
      <c r="F86" s="131" t="s">
        <v>49</v>
      </c>
      <c r="G86" t="s">
        <v>111</v>
      </c>
      <c r="H86" s="19" t="str">
        <f t="shared" si="14"/>
        <v/>
      </c>
      <c r="I86" s="19" t="str">
        <f t="shared" si="15"/>
        <v/>
      </c>
      <c r="J86" s="19">
        <f t="shared" si="16"/>
        <v>-21.92</v>
      </c>
      <c r="K86" s="19" t="str">
        <f t="shared" si="17"/>
        <v/>
      </c>
      <c r="L86" s="19" t="str">
        <f t="shared" si="18"/>
        <v/>
      </c>
      <c r="M86" s="19" t="str">
        <f t="shared" si="19"/>
        <v/>
      </c>
      <c r="N86" s="22">
        <f t="shared" si="20"/>
        <v>-21.92</v>
      </c>
      <c r="O86" s="31" t="s">
        <v>2577</v>
      </c>
    </row>
    <row r="87" spans="1:15" ht="20.100000000000001" hidden="1" customHeight="1">
      <c r="A87" s="7" t="s">
        <v>2523</v>
      </c>
      <c r="B87" s="44">
        <v>45950</v>
      </c>
      <c r="C87" t="s">
        <v>2576</v>
      </c>
      <c r="D87" s="4">
        <v>71.78</v>
      </c>
      <c r="E87" s="65" t="s">
        <v>2427</v>
      </c>
      <c r="F87" s="131" t="s">
        <v>49</v>
      </c>
      <c r="G87" t="s">
        <v>2435</v>
      </c>
      <c r="H87" s="19" t="str">
        <f t="shared" si="14"/>
        <v/>
      </c>
      <c r="I87" s="19" t="str">
        <f t="shared" si="15"/>
        <v/>
      </c>
      <c r="J87" s="19" t="str">
        <f t="shared" si="16"/>
        <v/>
      </c>
      <c r="K87" s="19">
        <f t="shared" si="17"/>
        <v>-71.78</v>
      </c>
      <c r="L87" s="19" t="str">
        <f t="shared" si="18"/>
        <v/>
      </c>
      <c r="M87" s="19" t="str">
        <f t="shared" si="19"/>
        <v/>
      </c>
      <c r="N87" s="22">
        <f t="shared" si="20"/>
        <v>-71.78</v>
      </c>
      <c r="O87" s="31" t="s">
        <v>2577</v>
      </c>
    </row>
    <row r="88" spans="1:15" ht="20.100000000000001" hidden="1" customHeight="1">
      <c r="A88" s="7" t="s">
        <v>2523</v>
      </c>
      <c r="B88" s="44">
        <v>45950</v>
      </c>
      <c r="C88" t="s">
        <v>2576</v>
      </c>
      <c r="D88" s="4">
        <v>215.91</v>
      </c>
      <c r="E88" s="65" t="s">
        <v>2427</v>
      </c>
      <c r="F88" s="131" t="s">
        <v>49</v>
      </c>
      <c r="G88" t="s">
        <v>296</v>
      </c>
      <c r="H88" s="19" t="str">
        <f t="shared" si="14"/>
        <v/>
      </c>
      <c r="I88" s="19" t="str">
        <f t="shared" si="15"/>
        <v/>
      </c>
      <c r="J88" s="19" t="str">
        <f t="shared" si="16"/>
        <v/>
      </c>
      <c r="K88" s="19" t="str">
        <f t="shared" si="17"/>
        <v/>
      </c>
      <c r="L88" s="19">
        <f t="shared" si="18"/>
        <v>-215.91</v>
      </c>
      <c r="M88" s="19" t="str">
        <f t="shared" si="19"/>
        <v/>
      </c>
      <c r="N88" s="22">
        <f t="shared" si="20"/>
        <v>-215.91</v>
      </c>
      <c r="O88" s="31" t="s">
        <v>2577</v>
      </c>
    </row>
    <row r="89" spans="1:15" ht="20.100000000000001" hidden="1" customHeight="1">
      <c r="A89" s="7" t="s">
        <v>2523</v>
      </c>
      <c r="B89" s="44">
        <v>45950</v>
      </c>
      <c r="C89" t="s">
        <v>2576</v>
      </c>
      <c r="D89" s="4">
        <v>49.42</v>
      </c>
      <c r="E89" s="65" t="s">
        <v>2427</v>
      </c>
      <c r="F89" s="131" t="s">
        <v>49</v>
      </c>
      <c r="G89" t="s">
        <v>2434</v>
      </c>
      <c r="H89" s="19" t="str">
        <f t="shared" si="14"/>
        <v/>
      </c>
      <c r="I89" s="19">
        <f t="shared" si="15"/>
        <v>-49.42</v>
      </c>
      <c r="J89" s="19" t="str">
        <f t="shared" si="16"/>
        <v/>
      </c>
      <c r="K89" s="19" t="str">
        <f t="shared" si="17"/>
        <v/>
      </c>
      <c r="L89" s="19" t="str">
        <f t="shared" si="18"/>
        <v/>
      </c>
      <c r="M89" s="19" t="str">
        <f t="shared" si="19"/>
        <v/>
      </c>
      <c r="N89" s="22">
        <f t="shared" si="20"/>
        <v>-49.42</v>
      </c>
      <c r="O89" s="31" t="s">
        <v>2577</v>
      </c>
    </row>
    <row r="90" spans="1:15" ht="20.100000000000001" hidden="1" customHeight="1">
      <c r="A90" s="7" t="s">
        <v>2523</v>
      </c>
      <c r="B90" s="44">
        <v>45952</v>
      </c>
      <c r="C90" t="s">
        <v>2578</v>
      </c>
      <c r="D90" s="4">
        <v>2110</v>
      </c>
      <c r="E90" s="65" t="s">
        <v>2427</v>
      </c>
      <c r="F90" s="131" t="s">
        <v>49</v>
      </c>
      <c r="G90" t="s">
        <v>345</v>
      </c>
      <c r="H90" s="19">
        <f t="shared" si="14"/>
        <v>-2110</v>
      </c>
      <c r="I90" s="19" t="str">
        <f t="shared" si="15"/>
        <v/>
      </c>
      <c r="J90" s="19" t="str">
        <f t="shared" si="16"/>
        <v/>
      </c>
      <c r="K90" s="19" t="str">
        <f t="shared" si="17"/>
        <v/>
      </c>
      <c r="L90" s="19" t="str">
        <f t="shared" si="18"/>
        <v/>
      </c>
      <c r="M90" s="19" t="str">
        <f t="shared" si="19"/>
        <v/>
      </c>
      <c r="N90" s="22">
        <f t="shared" si="20"/>
        <v>-2110</v>
      </c>
      <c r="O90" s="31"/>
    </row>
    <row r="91" spans="1:15" ht="20.100000000000001" hidden="1" customHeight="1">
      <c r="A91" s="7" t="s">
        <v>2523</v>
      </c>
      <c r="B91" s="44">
        <v>45950</v>
      </c>
      <c r="C91" t="s">
        <v>2543</v>
      </c>
      <c r="D91" s="4">
        <v>200</v>
      </c>
      <c r="E91" s="65" t="s">
        <v>2427</v>
      </c>
      <c r="F91" s="131" t="s">
        <v>49</v>
      </c>
      <c r="G91" t="s">
        <v>111</v>
      </c>
      <c r="H91" s="19" t="str">
        <f t="shared" si="14"/>
        <v/>
      </c>
      <c r="I91" s="19" t="str">
        <f t="shared" si="15"/>
        <v/>
      </c>
      <c r="J91" s="19">
        <f t="shared" si="16"/>
        <v>-200</v>
      </c>
      <c r="K91" s="19" t="str">
        <f t="shared" si="17"/>
        <v/>
      </c>
      <c r="L91" s="19" t="str">
        <f t="shared" si="18"/>
        <v/>
      </c>
      <c r="M91" s="19" t="str">
        <f t="shared" si="19"/>
        <v/>
      </c>
      <c r="N91" s="22">
        <f t="shared" si="20"/>
        <v>-200</v>
      </c>
      <c r="O91" s="31"/>
    </row>
    <row r="92" spans="1:15" ht="30" hidden="1">
      <c r="A92" s="7" t="s">
        <v>2523</v>
      </c>
      <c r="B92" s="44">
        <v>45952</v>
      </c>
      <c r="C92" t="s">
        <v>2579</v>
      </c>
      <c r="D92" s="4">
        <v>2690</v>
      </c>
      <c r="E92" s="65" t="s">
        <v>2427</v>
      </c>
      <c r="F92" s="131" t="s">
        <v>49</v>
      </c>
      <c r="G92" t="s">
        <v>345</v>
      </c>
      <c r="H92" s="19">
        <f t="shared" si="14"/>
        <v>-2690</v>
      </c>
      <c r="I92" s="19" t="str">
        <f t="shared" si="15"/>
        <v/>
      </c>
      <c r="J92" s="19" t="str">
        <f t="shared" si="16"/>
        <v/>
      </c>
      <c r="K92" s="19" t="str">
        <f t="shared" si="17"/>
        <v/>
      </c>
      <c r="L92" s="19" t="str">
        <f t="shared" si="18"/>
        <v/>
      </c>
      <c r="M92" s="19" t="str">
        <f t="shared" si="19"/>
        <v/>
      </c>
      <c r="N92" s="22">
        <f t="shared" si="20"/>
        <v>-2690</v>
      </c>
      <c r="O92" s="319" t="s">
        <v>4220</v>
      </c>
    </row>
    <row r="93" spans="1:15" ht="20.100000000000001" hidden="1" customHeight="1">
      <c r="A93" s="7" t="s">
        <v>2525</v>
      </c>
      <c r="B93" s="44">
        <v>45957</v>
      </c>
      <c r="C93" t="s">
        <v>2580</v>
      </c>
      <c r="D93" s="4">
        <v>4600</v>
      </c>
      <c r="E93" s="65" t="s">
        <v>2527</v>
      </c>
      <c r="F93" s="131" t="s">
        <v>49</v>
      </c>
      <c r="G93" t="s">
        <v>111</v>
      </c>
      <c r="H93" s="19" t="str">
        <f t="shared" si="14"/>
        <v/>
      </c>
      <c r="I93" s="19" t="str">
        <f t="shared" si="15"/>
        <v/>
      </c>
      <c r="J93" s="19">
        <f t="shared" si="16"/>
        <v>4600</v>
      </c>
      <c r="K93" s="19" t="str">
        <f t="shared" si="17"/>
        <v/>
      </c>
      <c r="L93" s="19" t="str">
        <f t="shared" si="18"/>
        <v/>
      </c>
      <c r="M93" s="19" t="str">
        <f t="shared" si="19"/>
        <v/>
      </c>
      <c r="N93" s="22">
        <f t="shared" si="20"/>
        <v>4600</v>
      </c>
      <c r="O93" s="31"/>
    </row>
    <row r="94" spans="1:15" ht="20.100000000000001" hidden="1" customHeight="1">
      <c r="A94" s="7" t="s">
        <v>2525</v>
      </c>
      <c r="B94" s="44">
        <v>45957</v>
      </c>
      <c r="C94" t="s">
        <v>2580</v>
      </c>
      <c r="D94" s="4">
        <v>4600</v>
      </c>
      <c r="E94" s="65" t="s">
        <v>2427</v>
      </c>
      <c r="F94" s="131" t="s">
        <v>49</v>
      </c>
      <c r="G94" t="s">
        <v>345</v>
      </c>
      <c r="H94" s="19">
        <f t="shared" si="14"/>
        <v>-4600</v>
      </c>
      <c r="I94" s="19" t="str">
        <f t="shared" si="15"/>
        <v/>
      </c>
      <c r="J94" s="19" t="str">
        <f t="shared" si="16"/>
        <v/>
      </c>
      <c r="K94" s="19" t="str">
        <f t="shared" si="17"/>
        <v/>
      </c>
      <c r="L94" s="19" t="str">
        <f t="shared" si="18"/>
        <v/>
      </c>
      <c r="M94" s="19" t="str">
        <f t="shared" si="19"/>
        <v/>
      </c>
      <c r="N94" s="22">
        <f t="shared" si="20"/>
        <v>-4600</v>
      </c>
      <c r="O94" s="31"/>
    </row>
    <row r="95" spans="1:15" ht="20.100000000000001" hidden="1" customHeight="1">
      <c r="A95" s="7" t="s">
        <v>2523</v>
      </c>
      <c r="B95" s="44">
        <v>45952</v>
      </c>
      <c r="C95" t="s">
        <v>2547</v>
      </c>
      <c r="D95" s="4">
        <v>4732</v>
      </c>
      <c r="E95" s="65" t="s">
        <v>2527</v>
      </c>
      <c r="F95" s="131" t="s">
        <v>49</v>
      </c>
      <c r="G95" t="s">
        <v>345</v>
      </c>
      <c r="H95" s="19">
        <f t="shared" si="14"/>
        <v>4732</v>
      </c>
      <c r="I95" s="19" t="str">
        <f t="shared" si="15"/>
        <v/>
      </c>
      <c r="J95" s="19" t="str">
        <f t="shared" si="16"/>
        <v/>
      </c>
      <c r="K95" s="19" t="str">
        <f t="shared" si="17"/>
        <v/>
      </c>
      <c r="L95" s="19" t="str">
        <f t="shared" si="18"/>
        <v/>
      </c>
      <c r="M95" s="19" t="str">
        <f t="shared" si="19"/>
        <v/>
      </c>
      <c r="N95" s="22">
        <f t="shared" si="20"/>
        <v>4732</v>
      </c>
      <c r="O95" s="31"/>
    </row>
    <row r="96" spans="1:15" ht="20.100000000000001" hidden="1" customHeight="1">
      <c r="A96" s="7" t="s">
        <v>2523</v>
      </c>
      <c r="B96" s="44">
        <v>45951</v>
      </c>
      <c r="C96" t="s">
        <v>2581</v>
      </c>
      <c r="D96" s="4">
        <v>78000</v>
      </c>
      <c r="E96" s="65" t="s">
        <v>2527</v>
      </c>
      <c r="F96" s="131" t="s">
        <v>49</v>
      </c>
      <c r="G96" t="s">
        <v>345</v>
      </c>
      <c r="H96" s="19">
        <f t="shared" si="14"/>
        <v>78000</v>
      </c>
      <c r="I96" s="19" t="str">
        <f t="shared" si="15"/>
        <v/>
      </c>
      <c r="J96" s="19" t="str">
        <f t="shared" si="16"/>
        <v/>
      </c>
      <c r="K96" s="19" t="str">
        <f t="shared" si="17"/>
        <v/>
      </c>
      <c r="L96" s="19" t="str">
        <f t="shared" si="18"/>
        <v/>
      </c>
      <c r="M96" s="19" t="str">
        <f t="shared" si="19"/>
        <v/>
      </c>
      <c r="N96" s="22">
        <f t="shared" si="20"/>
        <v>78000</v>
      </c>
      <c r="O96" s="31"/>
    </row>
    <row r="97" spans="1:15" ht="20.100000000000001" hidden="1" customHeight="1">
      <c r="A97" s="7" t="s">
        <v>2523</v>
      </c>
      <c r="B97" s="44">
        <v>45951</v>
      </c>
      <c r="C97" t="s">
        <v>2582</v>
      </c>
      <c r="D97" s="4">
        <v>42220</v>
      </c>
      <c r="E97" s="65" t="s">
        <v>2527</v>
      </c>
      <c r="F97" s="131" t="s">
        <v>49</v>
      </c>
      <c r="G97" t="s">
        <v>345</v>
      </c>
      <c r="H97" s="19">
        <f t="shared" si="14"/>
        <v>42220</v>
      </c>
      <c r="I97" s="19" t="str">
        <f t="shared" si="15"/>
        <v/>
      </c>
      <c r="J97" s="19" t="str">
        <f t="shared" si="16"/>
        <v/>
      </c>
      <c r="K97" s="19" t="str">
        <f t="shared" si="17"/>
        <v/>
      </c>
      <c r="L97" s="19" t="str">
        <f t="shared" si="18"/>
        <v/>
      </c>
      <c r="M97" s="19" t="str">
        <f t="shared" si="19"/>
        <v/>
      </c>
      <c r="N97" s="22">
        <f t="shared" si="20"/>
        <v>42220</v>
      </c>
      <c r="O97" s="31"/>
    </row>
    <row r="98" spans="1:15" ht="20.100000000000001" hidden="1" customHeight="1">
      <c r="A98" s="7" t="s">
        <v>2523</v>
      </c>
      <c r="B98" s="44">
        <v>45951</v>
      </c>
      <c r="C98" t="s">
        <v>2583</v>
      </c>
      <c r="D98" s="4">
        <v>1989</v>
      </c>
      <c r="E98" s="65" t="s">
        <v>2427</v>
      </c>
      <c r="F98" s="131" t="s">
        <v>49</v>
      </c>
      <c r="G98" t="s">
        <v>111</v>
      </c>
      <c r="H98" s="19" t="str">
        <f t="shared" si="14"/>
        <v/>
      </c>
      <c r="I98" s="19" t="str">
        <f t="shared" si="15"/>
        <v/>
      </c>
      <c r="J98" s="19">
        <f t="shared" si="16"/>
        <v>-1989</v>
      </c>
      <c r="K98" s="19" t="str">
        <f t="shared" si="17"/>
        <v/>
      </c>
      <c r="L98" s="19" t="str">
        <f t="shared" si="18"/>
        <v/>
      </c>
      <c r="M98" s="19" t="str">
        <f t="shared" si="19"/>
        <v/>
      </c>
      <c r="N98" s="22">
        <f t="shared" si="20"/>
        <v>-1989</v>
      </c>
      <c r="O98" s="31"/>
    </row>
    <row r="99" spans="1:15" ht="20.100000000000001" hidden="1" customHeight="1">
      <c r="A99" s="7" t="s">
        <v>2523</v>
      </c>
      <c r="B99" s="44">
        <v>45951</v>
      </c>
      <c r="C99" t="s">
        <v>2584</v>
      </c>
      <c r="D99" s="4">
        <v>2850</v>
      </c>
      <c r="E99" s="65" t="s">
        <v>2427</v>
      </c>
      <c r="F99" s="131" t="s">
        <v>49</v>
      </c>
      <c r="G99" t="s">
        <v>111</v>
      </c>
      <c r="H99" s="19" t="str">
        <f t="shared" si="14"/>
        <v/>
      </c>
      <c r="I99" s="19" t="str">
        <f t="shared" si="15"/>
        <v/>
      </c>
      <c r="J99" s="19">
        <f t="shared" si="16"/>
        <v>-2850</v>
      </c>
      <c r="K99" s="19" t="str">
        <f t="shared" si="17"/>
        <v/>
      </c>
      <c r="L99" s="19" t="str">
        <f t="shared" si="18"/>
        <v/>
      </c>
      <c r="M99" s="19" t="str">
        <f t="shared" si="19"/>
        <v/>
      </c>
      <c r="N99" s="22">
        <f t="shared" si="20"/>
        <v>-2850</v>
      </c>
      <c r="O99" s="31"/>
    </row>
    <row r="100" spans="1:15" ht="20.100000000000001" hidden="1" customHeight="1">
      <c r="A100" s="7" t="s">
        <v>2525</v>
      </c>
      <c r="B100" s="44">
        <v>45953</v>
      </c>
      <c r="C100" t="s">
        <v>2526</v>
      </c>
      <c r="D100" s="4">
        <v>5000</v>
      </c>
      <c r="E100" s="65" t="s">
        <v>2527</v>
      </c>
      <c r="F100" s="131" t="s">
        <v>49</v>
      </c>
      <c r="G100" t="s">
        <v>111</v>
      </c>
      <c r="H100" s="19" t="str">
        <f t="shared" si="14"/>
        <v/>
      </c>
      <c r="I100" s="19" t="str">
        <f t="shared" si="15"/>
        <v/>
      </c>
      <c r="J100" s="19">
        <f t="shared" si="16"/>
        <v>5000</v>
      </c>
      <c r="K100" s="19" t="str">
        <f t="shared" si="17"/>
        <v/>
      </c>
      <c r="L100" s="19" t="str">
        <f t="shared" si="18"/>
        <v/>
      </c>
      <c r="M100" s="19" t="str">
        <f t="shared" si="19"/>
        <v/>
      </c>
      <c r="N100" s="22">
        <f t="shared" si="20"/>
        <v>5000</v>
      </c>
      <c r="O100" s="31"/>
    </row>
    <row r="101" spans="1:15" ht="20.100000000000001" hidden="1" customHeight="1">
      <c r="A101" s="7" t="s">
        <v>2525</v>
      </c>
      <c r="B101" s="44">
        <v>45953</v>
      </c>
      <c r="C101" t="s">
        <v>2526</v>
      </c>
      <c r="D101" s="4">
        <v>5000</v>
      </c>
      <c r="E101" s="65" t="s">
        <v>2427</v>
      </c>
      <c r="F101" s="131" t="s">
        <v>49</v>
      </c>
      <c r="G101" t="s">
        <v>296</v>
      </c>
      <c r="H101" s="19" t="str">
        <f t="shared" si="14"/>
        <v/>
      </c>
      <c r="I101" s="19" t="str">
        <f t="shared" si="15"/>
        <v/>
      </c>
      <c r="J101" s="19" t="str">
        <f t="shared" si="16"/>
        <v/>
      </c>
      <c r="K101" s="19" t="str">
        <f t="shared" si="17"/>
        <v/>
      </c>
      <c r="L101" s="19">
        <f t="shared" si="18"/>
        <v>-5000</v>
      </c>
      <c r="M101" s="19" t="str">
        <f t="shared" si="19"/>
        <v/>
      </c>
      <c r="N101" s="22">
        <f t="shared" si="20"/>
        <v>-5000</v>
      </c>
      <c r="O101" s="31"/>
    </row>
    <row r="102" spans="1:15" ht="20.100000000000001" hidden="1" customHeight="1">
      <c r="A102" s="7" t="s">
        <v>2523</v>
      </c>
      <c r="B102" s="44">
        <v>45957</v>
      </c>
      <c r="C102" t="s">
        <v>2585</v>
      </c>
      <c r="D102" s="4">
        <v>690.14</v>
      </c>
      <c r="E102" s="65" t="s">
        <v>2427</v>
      </c>
      <c r="F102" s="131" t="s">
        <v>49</v>
      </c>
      <c r="G102" t="s">
        <v>111</v>
      </c>
      <c r="H102" s="19" t="str">
        <f t="shared" si="14"/>
        <v/>
      </c>
      <c r="I102" s="19" t="str">
        <f t="shared" si="15"/>
        <v/>
      </c>
      <c r="J102" s="19">
        <f t="shared" si="16"/>
        <v>-690.14</v>
      </c>
      <c r="K102" s="19" t="str">
        <f t="shared" si="17"/>
        <v/>
      </c>
      <c r="L102" s="19" t="str">
        <f t="shared" si="18"/>
        <v/>
      </c>
      <c r="M102" s="19" t="str">
        <f t="shared" si="19"/>
        <v/>
      </c>
      <c r="N102" s="22">
        <f t="shared" si="20"/>
        <v>-690.14</v>
      </c>
      <c r="O102" s="31"/>
    </row>
    <row r="103" spans="1:15" ht="20.100000000000001" hidden="1" customHeight="1">
      <c r="A103" s="7" t="s">
        <v>2523</v>
      </c>
      <c r="B103" s="44">
        <v>45951</v>
      </c>
      <c r="C103" t="s">
        <v>2548</v>
      </c>
      <c r="D103" s="4">
        <v>10000</v>
      </c>
      <c r="E103" s="65" t="s">
        <v>2427</v>
      </c>
      <c r="F103" s="131" t="s">
        <v>49</v>
      </c>
      <c r="G103" t="s">
        <v>296</v>
      </c>
      <c r="H103" s="19" t="str">
        <f t="shared" si="14"/>
        <v/>
      </c>
      <c r="I103" s="19" t="str">
        <f t="shared" si="15"/>
        <v/>
      </c>
      <c r="J103" s="19" t="str">
        <f t="shared" si="16"/>
        <v/>
      </c>
      <c r="K103" s="19" t="str">
        <f t="shared" si="17"/>
        <v/>
      </c>
      <c r="L103" s="19">
        <f t="shared" si="18"/>
        <v>-10000</v>
      </c>
      <c r="M103" s="19" t="str">
        <f t="shared" si="19"/>
        <v/>
      </c>
      <c r="N103" s="22">
        <f t="shared" si="20"/>
        <v>-10000</v>
      </c>
      <c r="O103" s="31"/>
    </row>
    <row r="104" spans="1:15" ht="20.100000000000001" hidden="1" customHeight="1">
      <c r="A104" s="7" t="s">
        <v>2523</v>
      </c>
      <c r="B104" s="44">
        <v>45951</v>
      </c>
      <c r="C104" t="s">
        <v>2551</v>
      </c>
      <c r="D104" s="4">
        <v>98.48</v>
      </c>
      <c r="E104" s="65" t="s">
        <v>2427</v>
      </c>
      <c r="F104" s="131" t="s">
        <v>49</v>
      </c>
      <c r="G104" t="s">
        <v>296</v>
      </c>
      <c r="H104" s="19" t="str">
        <f t="shared" si="14"/>
        <v/>
      </c>
      <c r="I104" s="19" t="str">
        <f t="shared" si="15"/>
        <v/>
      </c>
      <c r="J104" s="19" t="str">
        <f t="shared" si="16"/>
        <v/>
      </c>
      <c r="K104" s="19" t="str">
        <f t="shared" si="17"/>
        <v/>
      </c>
      <c r="L104" s="19">
        <f t="shared" si="18"/>
        <v>-98.48</v>
      </c>
      <c r="M104" s="19" t="str">
        <f t="shared" si="19"/>
        <v/>
      </c>
      <c r="N104" s="22">
        <f t="shared" si="20"/>
        <v>-98.48</v>
      </c>
      <c r="O104" s="31"/>
    </row>
    <row r="105" spans="1:15" ht="20.100000000000001" hidden="1" customHeight="1">
      <c r="A105" s="7" t="s">
        <v>2523</v>
      </c>
      <c r="B105" s="44">
        <v>45957</v>
      </c>
      <c r="C105" t="s">
        <v>2567</v>
      </c>
      <c r="D105" s="4">
        <v>2300</v>
      </c>
      <c r="E105" s="65" t="s">
        <v>2427</v>
      </c>
      <c r="F105" s="131" t="s">
        <v>49</v>
      </c>
      <c r="G105" t="s">
        <v>296</v>
      </c>
      <c r="H105" s="19" t="str">
        <f t="shared" si="14"/>
        <v/>
      </c>
      <c r="I105" s="19" t="str">
        <f t="shared" si="15"/>
        <v/>
      </c>
      <c r="J105" s="19" t="str">
        <f t="shared" si="16"/>
        <v/>
      </c>
      <c r="K105" s="19" t="str">
        <f t="shared" si="17"/>
        <v/>
      </c>
      <c r="L105" s="19">
        <f t="shared" si="18"/>
        <v>-2300</v>
      </c>
      <c r="M105" s="19" t="str">
        <f t="shared" si="19"/>
        <v/>
      </c>
      <c r="N105" s="22">
        <f t="shared" si="20"/>
        <v>-2300</v>
      </c>
      <c r="O105" s="31"/>
    </row>
    <row r="106" spans="1:15" ht="20.100000000000001" hidden="1" customHeight="1">
      <c r="A106" s="7" t="s">
        <v>2523</v>
      </c>
      <c r="B106" s="44">
        <v>45957</v>
      </c>
      <c r="C106" t="s">
        <v>2586</v>
      </c>
      <c r="D106" s="4">
        <v>604.53</v>
      </c>
      <c r="E106" s="65" t="s">
        <v>2427</v>
      </c>
      <c r="F106" s="131" t="s">
        <v>49</v>
      </c>
      <c r="G106" t="s">
        <v>345</v>
      </c>
      <c r="H106" s="19">
        <f t="shared" ref="H106:H111" si="21">IF(AND($F106="X",$G106="BCC"),IF($E106="U",-$D106,$D106),"")</f>
        <v>-604.53</v>
      </c>
      <c r="I106" s="19" t="str">
        <f t="shared" ref="I106:I111" si="22">IF(AND($F106="X",$G106="INTESA"),IF($E106="U",-$D106,$D106),"")</f>
        <v/>
      </c>
      <c r="J106" s="19" t="str">
        <f t="shared" ref="J106:J127" si="23">IF(AND($F106="X",$G106="BPM"),IF($E106="U",-$D106,$D106),"")</f>
        <v/>
      </c>
      <c r="K106" s="19" t="str">
        <f t="shared" ref="K106:K111" si="24">IF(AND($F106="X",$G106="SONDRIO"),IF($E106="U",-$D106,$D106),"")</f>
        <v/>
      </c>
      <c r="L106" s="19" t="str">
        <f t="shared" ref="L106:L111" si="25">IF(AND($F106="X",$G106="BPER"),IF($E106="U",-$D106,$D106),"")</f>
        <v/>
      </c>
      <c r="M106" s="19" t="str">
        <f t="shared" si="19"/>
        <v/>
      </c>
      <c r="N106" s="22">
        <f t="shared" ref="N106:N111" si="26">IF(F106="X",IF(E106="U",-D106,D106),"non ancora confermato")</f>
        <v>-604.53</v>
      </c>
      <c r="O106" s="31"/>
    </row>
    <row r="107" spans="1:15" ht="20.100000000000001" hidden="1" customHeight="1">
      <c r="A107" s="7" t="s">
        <v>2523</v>
      </c>
      <c r="B107" s="44">
        <v>45957</v>
      </c>
      <c r="C107" s="42" t="s">
        <v>2133</v>
      </c>
      <c r="D107" s="4">
        <v>2000</v>
      </c>
      <c r="E107" s="65" t="s">
        <v>2427</v>
      </c>
      <c r="F107" s="131" t="s">
        <v>49</v>
      </c>
      <c r="G107" t="s">
        <v>2435</v>
      </c>
      <c r="H107" s="19" t="str">
        <f t="shared" si="21"/>
        <v/>
      </c>
      <c r="I107" s="19" t="str">
        <f t="shared" si="22"/>
        <v/>
      </c>
      <c r="J107" s="19" t="str">
        <f t="shared" si="23"/>
        <v/>
      </c>
      <c r="K107" s="19">
        <f t="shared" si="24"/>
        <v>-2000</v>
      </c>
      <c r="L107" s="19" t="str">
        <f t="shared" si="25"/>
        <v/>
      </c>
      <c r="M107" s="19" t="str">
        <f t="shared" si="19"/>
        <v/>
      </c>
      <c r="N107" s="22">
        <f t="shared" si="26"/>
        <v>-2000</v>
      </c>
      <c r="O107" s="31" t="s">
        <v>2587</v>
      </c>
    </row>
    <row r="108" spans="1:15" ht="20.100000000000001" hidden="1" customHeight="1">
      <c r="A108" s="7" t="s">
        <v>2523</v>
      </c>
      <c r="B108" s="44">
        <v>45957</v>
      </c>
      <c r="C108" t="s">
        <v>2588</v>
      </c>
      <c r="D108" s="4">
        <v>1236.81</v>
      </c>
      <c r="E108" s="65" t="s">
        <v>2427</v>
      </c>
      <c r="F108" s="131" t="s">
        <v>49</v>
      </c>
      <c r="G108" t="s">
        <v>2435</v>
      </c>
      <c r="H108" s="19" t="str">
        <f t="shared" si="21"/>
        <v/>
      </c>
      <c r="I108" s="19" t="str">
        <f t="shared" si="22"/>
        <v/>
      </c>
      <c r="J108" s="19" t="str">
        <f t="shared" si="23"/>
        <v/>
      </c>
      <c r="K108" s="19">
        <f t="shared" si="24"/>
        <v>-1236.81</v>
      </c>
      <c r="L108" s="19" t="str">
        <f t="shared" si="25"/>
        <v/>
      </c>
      <c r="M108" s="19"/>
      <c r="N108" s="22">
        <f t="shared" si="26"/>
        <v>-1236.81</v>
      </c>
      <c r="O108" s="31" t="s">
        <v>2587</v>
      </c>
    </row>
    <row r="109" spans="1:15" ht="20.100000000000001" hidden="1" customHeight="1">
      <c r="A109" s="7" t="s">
        <v>2523</v>
      </c>
      <c r="B109" s="44">
        <v>45957</v>
      </c>
      <c r="C109" t="s">
        <v>2589</v>
      </c>
      <c r="D109" s="4">
        <v>4200</v>
      </c>
      <c r="E109" s="65" t="s">
        <v>2427</v>
      </c>
      <c r="F109" s="131" t="s">
        <v>49</v>
      </c>
      <c r="G109" t="s">
        <v>2435</v>
      </c>
      <c r="H109" s="19" t="str">
        <f t="shared" si="21"/>
        <v/>
      </c>
      <c r="I109" s="19" t="str">
        <f t="shared" si="22"/>
        <v/>
      </c>
      <c r="J109" s="19" t="str">
        <f t="shared" si="23"/>
        <v/>
      </c>
      <c r="K109" s="19">
        <f t="shared" si="24"/>
        <v>-4200</v>
      </c>
      <c r="L109" s="19" t="str">
        <f t="shared" si="25"/>
        <v/>
      </c>
      <c r="M109" s="19" t="str">
        <f>IF(AND($F109="X",$G109="CASSA"),IF($E109="U",-$D109,$D109),"")</f>
        <v/>
      </c>
      <c r="N109" s="22">
        <f t="shared" si="26"/>
        <v>-4200</v>
      </c>
      <c r="O109" s="31" t="s">
        <v>2587</v>
      </c>
    </row>
    <row r="110" spans="1:15" ht="20.100000000000001" hidden="1" customHeight="1">
      <c r="A110" s="7" t="s">
        <v>2523</v>
      </c>
      <c r="B110" s="44">
        <v>45957</v>
      </c>
      <c r="C110" t="s">
        <v>2590</v>
      </c>
      <c r="D110" s="4">
        <v>400</v>
      </c>
      <c r="E110" s="65" t="s">
        <v>2427</v>
      </c>
      <c r="F110" s="131" t="s">
        <v>49</v>
      </c>
      <c r="G110" t="s">
        <v>2435</v>
      </c>
      <c r="H110" s="19" t="str">
        <f t="shared" si="21"/>
        <v/>
      </c>
      <c r="I110" s="19" t="str">
        <f t="shared" si="22"/>
        <v/>
      </c>
      <c r="J110" s="19" t="str">
        <f t="shared" si="23"/>
        <v/>
      </c>
      <c r="K110" s="19">
        <f t="shared" si="24"/>
        <v>-400</v>
      </c>
      <c r="L110" s="19" t="str">
        <f t="shared" si="25"/>
        <v/>
      </c>
      <c r="M110" s="19" t="str">
        <f>IF(AND($F110="X",$G110="CASSA"),IF($E110="U",-$D110,$D110),"")</f>
        <v/>
      </c>
      <c r="N110" s="22">
        <f t="shared" si="26"/>
        <v>-400</v>
      </c>
      <c r="O110" s="31" t="s">
        <v>2587</v>
      </c>
    </row>
    <row r="111" spans="1:15" ht="20.100000000000001" hidden="1" customHeight="1">
      <c r="A111" s="7" t="s">
        <v>2525</v>
      </c>
      <c r="B111" s="44">
        <v>45957</v>
      </c>
      <c r="C111" t="s">
        <v>2591</v>
      </c>
      <c r="D111" s="4">
        <v>550</v>
      </c>
      <c r="E111" s="65" t="s">
        <v>2527</v>
      </c>
      <c r="F111" s="131" t="s">
        <v>49</v>
      </c>
      <c r="G111" t="s">
        <v>2434</v>
      </c>
      <c r="H111" s="19" t="str">
        <f t="shared" si="21"/>
        <v/>
      </c>
      <c r="I111" s="19">
        <f t="shared" si="22"/>
        <v>550</v>
      </c>
      <c r="J111" s="19" t="str">
        <f t="shared" si="23"/>
        <v/>
      </c>
      <c r="K111" s="19" t="str">
        <f t="shared" si="24"/>
        <v/>
      </c>
      <c r="L111" s="19" t="str">
        <f t="shared" si="25"/>
        <v/>
      </c>
      <c r="M111" s="19" t="str">
        <f>IF(AND($F111="X",$G111="CASSA"),IF($E111="U",-$D111,$D111),"")</f>
        <v/>
      </c>
      <c r="N111" s="22">
        <f t="shared" si="26"/>
        <v>550</v>
      </c>
      <c r="O111" s="31"/>
    </row>
    <row r="112" spans="1:15" ht="20.100000000000001" hidden="1" customHeight="1">
      <c r="A112" s="7" t="s">
        <v>2525</v>
      </c>
      <c r="B112" s="44">
        <v>45957</v>
      </c>
      <c r="C112" t="s">
        <v>2591</v>
      </c>
      <c r="D112" s="4">
        <v>550</v>
      </c>
      <c r="E112" s="65" t="s">
        <v>2427</v>
      </c>
      <c r="F112" s="131" t="s">
        <v>49</v>
      </c>
      <c r="G112" t="s">
        <v>2435</v>
      </c>
      <c r="H112" s="19" t="str">
        <f>IF(AND($F114="X",$G112="BCC"),IF($E112="U",-$D112,$D112),"")</f>
        <v/>
      </c>
      <c r="I112" s="19" t="str">
        <f>IF(AND($F114="X",$G112="INTESA"),IF($E112="U",-$D112,$D112),"")</f>
        <v/>
      </c>
      <c r="J112" s="19" t="str">
        <f t="shared" si="23"/>
        <v/>
      </c>
      <c r="K112" s="19">
        <f>IF(AND($F114="X",$G112="SONDRIO"),IF($E112="U",-$D112,$D112),"")</f>
        <v>-550</v>
      </c>
      <c r="L112" s="19" t="str">
        <f>IF(AND($F114="X",$G112="BPER"),IF($E112="U",-$D112,$D112),"")</f>
        <v/>
      </c>
      <c r="M112" s="19" t="str">
        <f>IF(AND($F114="X",$G112="CASSA"),IF($E112="U",-$D112,$D112),"")</f>
        <v/>
      </c>
      <c r="N112" s="22">
        <f>IF(F114="X",IF(E112="U",-D112,D112),"non ancora confermato")</f>
        <v>-550</v>
      </c>
      <c r="O112" s="31"/>
    </row>
    <row r="113" spans="1:17" ht="20.100000000000001" hidden="1" customHeight="1">
      <c r="A113" s="7" t="s">
        <v>2523</v>
      </c>
      <c r="B113" s="44">
        <v>45957</v>
      </c>
      <c r="C113" t="s">
        <v>2547</v>
      </c>
      <c r="D113" s="4">
        <v>4731.1499999999996</v>
      </c>
      <c r="E113" s="65" t="s">
        <v>2527</v>
      </c>
      <c r="F113" s="131" t="s">
        <v>49</v>
      </c>
      <c r="G113" t="s">
        <v>345</v>
      </c>
      <c r="H113" s="19">
        <f>IF(AND($F115="X",$G113="BCC"),IF($E113="U",-$D113,$D113),"")</f>
        <v>4731.1499999999996</v>
      </c>
      <c r="I113" s="19" t="str">
        <f>IF(AND($F115="X",$G113="INTESA"),IF($E113="U",-$D113,$D113),"")</f>
        <v/>
      </c>
      <c r="J113" s="19" t="str">
        <f t="shared" si="23"/>
        <v/>
      </c>
      <c r="K113" s="19" t="str">
        <f>IF(AND($F115="X",$G113="SONDRIO"),IF($E113="U",-$D113,$D113),"")</f>
        <v/>
      </c>
      <c r="L113" s="19" t="str">
        <f>IF(AND($F115="X",$G113="BPER"),IF($E113="U",-$D113,$D113),"")</f>
        <v/>
      </c>
      <c r="M113" s="19" t="str">
        <f>IF(AND($F115="X",$G113="CASSA"),IF($E113="U",-$D113,$D113),"")</f>
        <v/>
      </c>
      <c r="N113" s="22">
        <f>IF(F115="X",IF(E113="U",-D113,D113),"non ancora confermato")</f>
        <v>4731.1499999999996</v>
      </c>
      <c r="O113" s="31"/>
    </row>
    <row r="114" spans="1:17" ht="20.100000000000001" hidden="1" customHeight="1">
      <c r="A114" s="7" t="s">
        <v>2523</v>
      </c>
      <c r="B114" s="44">
        <v>45959</v>
      </c>
      <c r="C114" t="s">
        <v>2592</v>
      </c>
      <c r="D114" s="4">
        <v>210.49</v>
      </c>
      <c r="E114" s="65" t="s">
        <v>2427</v>
      </c>
      <c r="F114" s="131" t="s">
        <v>49</v>
      </c>
      <c r="G114" t="s">
        <v>345</v>
      </c>
      <c r="H114" s="19">
        <f t="shared" ref="H114:H127" si="27">IF(AND($F114="X",$G114="BCC"),IF($E114="U",-$D114,$D114),"")</f>
        <v>-210.49</v>
      </c>
      <c r="I114" s="19" t="str">
        <f>IF(AND($F115="X",$G114="INTESA"),IF($E114="U",-$D114,$D114),"")</f>
        <v/>
      </c>
      <c r="J114" s="19" t="str">
        <f t="shared" si="23"/>
        <v/>
      </c>
      <c r="K114" s="19" t="str">
        <f>IF(AND($F115="X",$G114="SONDRIO"),IF($E114="U",-$D114,$D114),"")</f>
        <v/>
      </c>
      <c r="L114" s="19" t="str">
        <f>IF(AND($F115="X",$G114="BPER"),IF($E114="U",-$D114,$D114),"")</f>
        <v/>
      </c>
      <c r="M114" s="19" t="str">
        <f>IF(AND($F115="X",$G114="CASSA"),IF($E114="U",-$D114,$D114),"")</f>
        <v/>
      </c>
      <c r="N114" s="22">
        <f>IF(F115="X",IF(E114="U",-D114,D114),"non ancora confermato")</f>
        <v>-210.49</v>
      </c>
      <c r="O114" s="31"/>
    </row>
    <row r="115" spans="1:17" ht="20.100000000000001" hidden="1" customHeight="1">
      <c r="A115" s="7" t="s">
        <v>2523</v>
      </c>
      <c r="B115" s="44">
        <v>45959</v>
      </c>
      <c r="C115" t="s">
        <v>2593</v>
      </c>
      <c r="D115" s="4">
        <v>4397.03</v>
      </c>
      <c r="E115" s="65" t="s">
        <v>2427</v>
      </c>
      <c r="F115" s="131" t="s">
        <v>49</v>
      </c>
      <c r="G115" t="s">
        <v>345</v>
      </c>
      <c r="H115" s="19">
        <f t="shared" si="27"/>
        <v>-4397.03</v>
      </c>
      <c r="I115" s="19" t="str">
        <f>IF(AND($F502="X",$G115="INTESA"),IF($E115="U",-$D115,$D115),"")</f>
        <v/>
      </c>
      <c r="J115" s="19" t="str">
        <f t="shared" si="23"/>
        <v/>
      </c>
      <c r="K115" s="19" t="str">
        <f>IF(AND($F502="X",$G115="SONDRIO"),IF($E115="U",-$D115,$D115),"")</f>
        <v/>
      </c>
      <c r="L115" s="19" t="str">
        <f>IF(AND($F502="X",$G115="BPER"),IF($E115="U",-$D115,$D115),"")</f>
        <v/>
      </c>
      <c r="M115" s="19" t="str">
        <f>IF(AND($F502="X",$G115="CASSA"),IF($E115="U",-$D115,$D115),"")</f>
        <v/>
      </c>
      <c r="N115" s="22" t="str">
        <f>IF(F502="X",IF(E115="U",-D115,D115),"non ancora confermato")</f>
        <v>non ancora confermato</v>
      </c>
      <c r="O115" s="31"/>
    </row>
    <row r="116" spans="1:17" ht="20.100000000000001" hidden="1" customHeight="1">
      <c r="A116" s="7" t="s">
        <v>2523</v>
      </c>
      <c r="B116" s="44">
        <v>45959</v>
      </c>
      <c r="C116" t="s">
        <v>2585</v>
      </c>
      <c r="D116" s="4">
        <v>4041.96</v>
      </c>
      <c r="E116" s="65" t="s">
        <v>2427</v>
      </c>
      <c r="F116" s="131" t="s">
        <v>49</v>
      </c>
      <c r="G116" t="s">
        <v>111</v>
      </c>
      <c r="H116" s="19" t="str">
        <f t="shared" si="27"/>
        <v/>
      </c>
      <c r="I116" s="19" t="str">
        <f>IF(AND($F503="X",$G116="INTESA"),IF($E116="U",-$D116,$D116),"")</f>
        <v/>
      </c>
      <c r="J116" s="19">
        <f t="shared" si="23"/>
        <v>-4041.96</v>
      </c>
      <c r="K116" s="19" t="str">
        <f>IF(AND($F503="X",$G116="SONDRIO"),IF($E116="U",-$D116,$D116),"")</f>
        <v/>
      </c>
      <c r="L116" s="19" t="str">
        <f>IF(AND($F503="X",$G116="BPER"),IF($E116="U",-$D116,$D116),"")</f>
        <v/>
      </c>
      <c r="M116" s="19" t="str">
        <f>IF(AND($F503="X",$G116="CASSA"),IF($E116="U",-$D116,$D116),"")</f>
        <v/>
      </c>
      <c r="N116" s="22" t="str">
        <f>IF(F503="X",IF(E116="U",-D116,D116),"non ancora confermato")</f>
        <v>non ancora confermato</v>
      </c>
      <c r="O116" s="31"/>
    </row>
    <row r="117" spans="1:17" ht="20.100000000000001" hidden="1" customHeight="1">
      <c r="A117" s="7" t="s">
        <v>2523</v>
      </c>
      <c r="B117" s="44">
        <v>45961</v>
      </c>
      <c r="C117" t="s">
        <v>2594</v>
      </c>
      <c r="D117" s="4">
        <f>26966.5-2431.4</f>
        <v>24535.1</v>
      </c>
      <c r="E117" s="65" t="s">
        <v>2527</v>
      </c>
      <c r="F117" s="131" t="s">
        <v>49</v>
      </c>
      <c r="G117" t="s">
        <v>296</v>
      </c>
      <c r="H117" s="19" t="str">
        <f t="shared" si="27"/>
        <v/>
      </c>
      <c r="I117" s="19" t="str">
        <f t="shared" ref="I117:I127" si="28">IF(AND($F117="X",$G117="INTESA"),IF($E117="U",-$D117,$D117),"")</f>
        <v/>
      </c>
      <c r="J117" s="19" t="str">
        <f t="shared" si="23"/>
        <v/>
      </c>
      <c r="K117" s="19" t="str">
        <f t="shared" ref="K117:K127" si="29">IF(AND($F117="X",$G117="SONDRIO"),IF($E117="U",-$D117,$D117),"")</f>
        <v/>
      </c>
      <c r="L117" s="19">
        <f t="shared" ref="L117:L127" si="30">IF(AND($F117="X",$G117="BPER"),IF($E117="U",-$D117,$D117),"")</f>
        <v>24535.1</v>
      </c>
      <c r="M117" s="19" t="str">
        <f>IF(AND($F117="X",$G117="CASSA"),IF($E117="U",-$D117,$D117),"")</f>
        <v/>
      </c>
      <c r="N117" s="22">
        <f t="shared" ref="N117:N127" si="31">IF(F117="X",IF(E117="U",-D117,D117),"non ancora confermato")</f>
        <v>24535.1</v>
      </c>
      <c r="O117" s="31" t="s">
        <v>2595</v>
      </c>
    </row>
    <row r="118" spans="1:17" ht="20.100000000000001" hidden="1" customHeight="1">
      <c r="A118" s="7" t="s">
        <v>2523</v>
      </c>
      <c r="B118" s="44">
        <v>45961</v>
      </c>
      <c r="C118" t="s">
        <v>2538</v>
      </c>
      <c r="D118" s="4">
        <v>3075.74</v>
      </c>
      <c r="E118" s="65" t="s">
        <v>2427</v>
      </c>
      <c r="F118" s="131" t="s">
        <v>49</v>
      </c>
      <c r="G118" t="s">
        <v>2435</v>
      </c>
      <c r="H118" s="19" t="str">
        <f t="shared" si="27"/>
        <v/>
      </c>
      <c r="I118" s="19" t="str">
        <f t="shared" si="28"/>
        <v/>
      </c>
      <c r="J118" s="19" t="str">
        <f t="shared" si="23"/>
        <v/>
      </c>
      <c r="K118" s="19">
        <f t="shared" si="29"/>
        <v>-3075.74</v>
      </c>
      <c r="L118" s="19" t="str">
        <f t="shared" si="30"/>
        <v/>
      </c>
      <c r="M118" s="19" t="str">
        <f>IF(AND($F118="X",$G118="CASSA"),IF($E118="U",-$D118,$D118),"")</f>
        <v/>
      </c>
      <c r="N118" s="22">
        <f t="shared" si="31"/>
        <v>-3075.74</v>
      </c>
      <c r="O118" s="31"/>
    </row>
    <row r="119" spans="1:17" ht="20.100000000000001" hidden="1" customHeight="1">
      <c r="A119" s="7" t="s">
        <v>2523</v>
      </c>
      <c r="B119" s="44">
        <v>45961</v>
      </c>
      <c r="C119" t="s">
        <v>2446</v>
      </c>
      <c r="D119" s="4">
        <v>460</v>
      </c>
      <c r="E119" s="65" t="s">
        <v>2427</v>
      </c>
      <c r="F119" s="131" t="s">
        <v>49</v>
      </c>
      <c r="G119" t="s">
        <v>2435</v>
      </c>
      <c r="H119" s="19" t="str">
        <f t="shared" si="27"/>
        <v/>
      </c>
      <c r="I119" s="19" t="str">
        <f t="shared" si="28"/>
        <v/>
      </c>
      <c r="J119" s="19" t="str">
        <f t="shared" si="23"/>
        <v/>
      </c>
      <c r="K119" s="19">
        <f t="shared" si="29"/>
        <v>-460</v>
      </c>
      <c r="L119" s="19" t="str">
        <f t="shared" si="30"/>
        <v/>
      </c>
      <c r="M119" s="19" t="str">
        <f>IF(AND($F119="X",$G119="CASSA"),IF($E119="U",-$D119,$D119),"")</f>
        <v/>
      </c>
      <c r="N119" s="22">
        <f t="shared" si="31"/>
        <v>-460</v>
      </c>
      <c r="O119" s="31" t="s">
        <v>2570</v>
      </c>
    </row>
    <row r="120" spans="1:17" ht="20.100000000000001" hidden="1" customHeight="1">
      <c r="A120" s="7" t="s">
        <v>2523</v>
      </c>
      <c r="B120" s="44">
        <v>45961</v>
      </c>
      <c r="C120" t="s">
        <v>2130</v>
      </c>
      <c r="D120" s="4">
        <v>36.6</v>
      </c>
      <c r="E120" s="65" t="s">
        <v>2427</v>
      </c>
      <c r="F120" s="131" t="s">
        <v>49</v>
      </c>
      <c r="G120" t="s">
        <v>345</v>
      </c>
      <c r="H120" s="19">
        <f t="shared" si="27"/>
        <v>-36.6</v>
      </c>
      <c r="I120" s="19" t="str">
        <f t="shared" si="28"/>
        <v/>
      </c>
      <c r="J120" s="19" t="str">
        <f t="shared" si="23"/>
        <v/>
      </c>
      <c r="K120" s="19" t="str">
        <f t="shared" si="29"/>
        <v/>
      </c>
      <c r="L120" s="19" t="str">
        <f t="shared" si="30"/>
        <v/>
      </c>
      <c r="M120" s="19"/>
      <c r="N120" s="22">
        <f t="shared" si="31"/>
        <v>-36.6</v>
      </c>
      <c r="O120" s="31"/>
    </row>
    <row r="121" spans="1:17" ht="20.100000000000001" hidden="1" customHeight="1">
      <c r="A121" s="7" t="s">
        <v>2523</v>
      </c>
      <c r="B121" s="44">
        <v>45961</v>
      </c>
      <c r="C121" t="s">
        <v>2596</v>
      </c>
      <c r="D121" s="4">
        <v>30.19</v>
      </c>
      <c r="E121" s="65" t="s">
        <v>2427</v>
      </c>
      <c r="F121" s="131" t="s">
        <v>49</v>
      </c>
      <c r="G121" t="s">
        <v>345</v>
      </c>
      <c r="H121" s="19">
        <f t="shared" si="27"/>
        <v>-30.19</v>
      </c>
      <c r="I121" s="19" t="str">
        <f t="shared" si="28"/>
        <v/>
      </c>
      <c r="J121" s="19" t="str">
        <f t="shared" si="23"/>
        <v/>
      </c>
      <c r="K121" s="19" t="str">
        <f t="shared" si="29"/>
        <v/>
      </c>
      <c r="L121" s="19" t="str">
        <f t="shared" si="30"/>
        <v/>
      </c>
      <c r="M121" s="19"/>
      <c r="N121" s="22">
        <f t="shared" si="31"/>
        <v>-30.19</v>
      </c>
      <c r="O121" s="31" t="s">
        <v>2597</v>
      </c>
    </row>
    <row r="122" spans="1:17" ht="20.100000000000001" hidden="1" customHeight="1">
      <c r="A122" s="7" t="s">
        <v>2523</v>
      </c>
      <c r="B122" s="44" t="s">
        <v>2552</v>
      </c>
      <c r="C122" t="s">
        <v>2303</v>
      </c>
      <c r="D122" s="4">
        <v>13000</v>
      </c>
      <c r="E122" s="65" t="s">
        <v>2427</v>
      </c>
      <c r="F122" s="131" t="s">
        <v>49</v>
      </c>
      <c r="G122" t="s">
        <v>345</v>
      </c>
      <c r="H122" s="19">
        <f t="shared" si="27"/>
        <v>-13000</v>
      </c>
      <c r="I122" s="19" t="str">
        <f t="shared" si="28"/>
        <v/>
      </c>
      <c r="J122" s="19" t="str">
        <f t="shared" si="23"/>
        <v/>
      </c>
      <c r="K122" s="19" t="str">
        <f t="shared" si="29"/>
        <v/>
      </c>
      <c r="L122" s="19" t="str">
        <f t="shared" si="30"/>
        <v/>
      </c>
      <c r="M122" s="19" t="str">
        <f t="shared" ref="M122:M127" si="32">IF(AND($F122="X",$G122="CASSA"),IF($E122="U",-$D122,$D122),"")</f>
        <v/>
      </c>
      <c r="N122" s="22">
        <f t="shared" si="31"/>
        <v>-13000</v>
      </c>
      <c r="O122" s="31"/>
    </row>
    <row r="123" spans="1:17" ht="20.100000000000001" hidden="1" customHeight="1">
      <c r="A123" s="7" t="s">
        <v>2523</v>
      </c>
      <c r="B123" s="44" t="s">
        <v>2552</v>
      </c>
      <c r="C123" t="s">
        <v>2444</v>
      </c>
      <c r="D123" s="4">
        <v>502.42</v>
      </c>
      <c r="E123" s="65" t="s">
        <v>2427</v>
      </c>
      <c r="F123" s="131" t="s">
        <v>49</v>
      </c>
      <c r="G123" t="s">
        <v>2434</v>
      </c>
      <c r="H123" s="19" t="str">
        <f t="shared" si="27"/>
        <v/>
      </c>
      <c r="I123" s="19">
        <f t="shared" si="28"/>
        <v>-502.42</v>
      </c>
      <c r="J123" s="19" t="str">
        <f t="shared" si="23"/>
        <v/>
      </c>
      <c r="K123" s="19" t="str">
        <f t="shared" si="29"/>
        <v/>
      </c>
      <c r="L123" s="19" t="str">
        <f t="shared" si="30"/>
        <v/>
      </c>
      <c r="M123" s="19" t="str">
        <f t="shared" si="32"/>
        <v/>
      </c>
      <c r="N123" s="22">
        <f t="shared" si="31"/>
        <v>-502.42</v>
      </c>
      <c r="O123" s="31"/>
    </row>
    <row r="124" spans="1:17" ht="20.100000000000001" hidden="1" customHeight="1">
      <c r="A124" s="7" t="s">
        <v>2523</v>
      </c>
      <c r="B124" s="44" t="s">
        <v>2552</v>
      </c>
      <c r="C124" t="s">
        <v>2554</v>
      </c>
      <c r="D124" s="4">
        <v>580</v>
      </c>
      <c r="E124" s="65" t="s">
        <v>2427</v>
      </c>
      <c r="F124" s="131" t="s">
        <v>49</v>
      </c>
      <c r="G124" t="s">
        <v>2435</v>
      </c>
      <c r="H124" s="19" t="str">
        <f t="shared" si="27"/>
        <v/>
      </c>
      <c r="I124" s="19" t="str">
        <f t="shared" si="28"/>
        <v/>
      </c>
      <c r="J124" s="19" t="str">
        <f t="shared" si="23"/>
        <v/>
      </c>
      <c r="K124" s="19">
        <f t="shared" si="29"/>
        <v>-580</v>
      </c>
      <c r="L124" s="19" t="str">
        <f t="shared" si="30"/>
        <v/>
      </c>
      <c r="M124" s="19" t="str">
        <f t="shared" si="32"/>
        <v/>
      </c>
      <c r="N124" s="22">
        <f t="shared" si="31"/>
        <v>-580</v>
      </c>
      <c r="O124" s="31" t="s">
        <v>2598</v>
      </c>
    </row>
    <row r="125" spans="1:17" ht="20.100000000000001" hidden="1" customHeight="1">
      <c r="A125" s="7" t="s">
        <v>2523</v>
      </c>
      <c r="B125" s="44" t="s">
        <v>2552</v>
      </c>
      <c r="C125" t="s">
        <v>2599</v>
      </c>
      <c r="D125" s="4">
        <v>1000</v>
      </c>
      <c r="E125" s="65" t="s">
        <v>2427</v>
      </c>
      <c r="F125" s="131" t="s">
        <v>49</v>
      </c>
      <c r="G125" t="s">
        <v>2435</v>
      </c>
      <c r="H125" s="19" t="str">
        <f t="shared" si="27"/>
        <v/>
      </c>
      <c r="I125" s="19" t="str">
        <f t="shared" si="28"/>
        <v/>
      </c>
      <c r="J125" s="19" t="str">
        <f t="shared" si="23"/>
        <v/>
      </c>
      <c r="K125" s="19">
        <f t="shared" si="29"/>
        <v>-1000</v>
      </c>
      <c r="L125" s="19" t="str">
        <f t="shared" si="30"/>
        <v/>
      </c>
      <c r="M125" s="19" t="str">
        <f t="shared" si="32"/>
        <v/>
      </c>
      <c r="N125" s="22">
        <f t="shared" si="31"/>
        <v>-1000</v>
      </c>
      <c r="O125" s="31"/>
    </row>
    <row r="126" spans="1:17" ht="20.100000000000001" hidden="1" customHeight="1">
      <c r="A126" s="7" t="s">
        <v>2523</v>
      </c>
      <c r="B126" s="44" t="s">
        <v>2552</v>
      </c>
      <c r="C126" t="s">
        <v>2515</v>
      </c>
      <c r="D126" s="4">
        <v>176.42</v>
      </c>
      <c r="E126" s="65" t="s">
        <v>2427</v>
      </c>
      <c r="F126" s="131" t="s">
        <v>49</v>
      </c>
      <c r="G126" t="s">
        <v>2435</v>
      </c>
      <c r="H126" s="19" t="str">
        <f t="shared" si="27"/>
        <v/>
      </c>
      <c r="I126" s="19" t="str">
        <f t="shared" si="28"/>
        <v/>
      </c>
      <c r="J126" s="19" t="str">
        <f t="shared" si="23"/>
        <v/>
      </c>
      <c r="K126" s="19">
        <f t="shared" si="29"/>
        <v>-176.42</v>
      </c>
      <c r="L126" s="19" t="str">
        <f t="shared" si="30"/>
        <v/>
      </c>
      <c r="M126" s="19" t="str">
        <f t="shared" si="32"/>
        <v/>
      </c>
      <c r="N126" s="22">
        <f t="shared" si="31"/>
        <v>-176.42</v>
      </c>
      <c r="O126" s="31"/>
    </row>
    <row r="127" spans="1:17" ht="20.100000000000001" hidden="1" customHeight="1">
      <c r="A127" s="7" t="s">
        <v>2523</v>
      </c>
      <c r="B127" s="44" t="s">
        <v>2552</v>
      </c>
      <c r="C127" t="s">
        <v>2600</v>
      </c>
      <c r="D127" s="4">
        <v>16000</v>
      </c>
      <c r="E127" s="65" t="s">
        <v>2427</v>
      </c>
      <c r="F127" s="131" t="s">
        <v>49</v>
      </c>
      <c r="G127" t="s">
        <v>345</v>
      </c>
      <c r="H127" s="19">
        <f t="shared" si="27"/>
        <v>-16000</v>
      </c>
      <c r="I127" s="19" t="str">
        <f t="shared" si="28"/>
        <v/>
      </c>
      <c r="J127" s="19" t="str">
        <f t="shared" si="23"/>
        <v/>
      </c>
      <c r="K127" s="19" t="str">
        <f t="shared" si="29"/>
        <v/>
      </c>
      <c r="L127" s="19" t="str">
        <f t="shared" si="30"/>
        <v/>
      </c>
      <c r="M127" s="19" t="str">
        <f t="shared" si="32"/>
        <v/>
      </c>
      <c r="N127" s="22">
        <f t="shared" si="31"/>
        <v>-16000</v>
      </c>
      <c r="O127" s="31" t="s">
        <v>2601</v>
      </c>
    </row>
    <row r="128" spans="1:17" s="16" customFormat="1" ht="33" hidden="1" customHeight="1">
      <c r="A128" s="15"/>
      <c r="B128" s="54"/>
      <c r="D128" s="17"/>
      <c r="E128" s="65"/>
      <c r="F128" s="45" t="s">
        <v>2516</v>
      </c>
      <c r="G128" s="19">
        <f>SUMIF(E10:E127, "E", D10:D127)</f>
        <v>709380.55</v>
      </c>
      <c r="H128" s="18" t="s">
        <v>2517</v>
      </c>
      <c r="I128" s="12">
        <f>SUMIF(E10:E127, "U", D10:D127)</f>
        <v>451674.36000000004</v>
      </c>
      <c r="J128" s="16" t="s">
        <v>2518</v>
      </c>
      <c r="K128" s="19">
        <f>G128-I128</f>
        <v>257706.19</v>
      </c>
      <c r="M128" s="18" t="s">
        <v>2519</v>
      </c>
      <c r="N128" s="19">
        <f>N9+D9</f>
        <v>271333.51000000007</v>
      </c>
      <c r="O128" s="32"/>
      <c r="Q128" s="18"/>
    </row>
    <row r="129" spans="1:16" ht="20.100000000000001" hidden="1" customHeight="1">
      <c r="A129" s="23" t="s">
        <v>2602</v>
      </c>
      <c r="B129" s="52"/>
      <c r="C129" s="24"/>
      <c r="D129" s="27">
        <f>SUMPRODUCT((A130:A217="November 2025")*(E130:E217="E")*D130:D217) - SUMPRODUCT((A130:A217="November 2025")*(E130:E217="U")*D130:D217)</f>
        <v>-184263.03</v>
      </c>
      <c r="E129" s="46"/>
      <c r="F129" s="47"/>
      <c r="G129" s="24" t="s">
        <v>2509</v>
      </c>
      <c r="H129" s="26">
        <f t="shared" ref="H129:M129" si="33">SUM(H9:H127)</f>
        <v>91329.889999999985</v>
      </c>
      <c r="I129" s="26">
        <f t="shared" si="33"/>
        <v>47.869999999999948</v>
      </c>
      <c r="J129" s="26">
        <f t="shared" si="33"/>
        <v>434.01999999999953</v>
      </c>
      <c r="K129" s="26">
        <f t="shared" si="33"/>
        <v>150453.46000000002</v>
      </c>
      <c r="L129" s="26">
        <f t="shared" si="33"/>
        <v>29068.269999999997</v>
      </c>
      <c r="M129" s="26">
        <f t="shared" si="33"/>
        <v>0</v>
      </c>
      <c r="N129" s="26">
        <f>SUM(H129:M129)</f>
        <v>271333.51</v>
      </c>
      <c r="O129" s="35" t="s">
        <v>2522</v>
      </c>
      <c r="P129" s="14">
        <f>N9+K128</f>
        <v>271333.51</v>
      </c>
    </row>
    <row r="130" spans="1:16" ht="20.100000000000001" hidden="1" customHeight="1">
      <c r="A130" s="7" t="s">
        <v>2603</v>
      </c>
      <c r="B130" s="44" t="s">
        <v>2604</v>
      </c>
      <c r="C130" t="s">
        <v>2441</v>
      </c>
      <c r="D130" s="4">
        <v>8741.92</v>
      </c>
      <c r="E130" s="65" t="s">
        <v>2427</v>
      </c>
      <c r="F130" s="131" t="s">
        <v>49</v>
      </c>
      <c r="G130" t="s">
        <v>2435</v>
      </c>
      <c r="H130" s="19" t="str">
        <f t="shared" ref="H130:H161" si="34">IF(AND($F130="X",$G130="BCC"),IF($E130="U",-$D130,$D130),"")</f>
        <v/>
      </c>
      <c r="I130" s="19" t="str">
        <f t="shared" ref="I130:I161" si="35">IF(AND($F130="X",$G130="INTESA"),IF($E130="U",-$D130,$D130),"")</f>
        <v/>
      </c>
      <c r="J130" s="19" t="str">
        <f t="shared" ref="J130:J161" si="36">IF(AND($F130="X",$G130="BPM"),IF($E130="U",-$D130,$D130),"")</f>
        <v/>
      </c>
      <c r="K130" s="19">
        <f t="shared" ref="K130:K161" si="37">IF(AND($F130="X",$G130="SONDRIO"),IF($E130="U",-$D130,$D130),"")</f>
        <v>-8741.92</v>
      </c>
      <c r="L130" s="19" t="str">
        <f t="shared" ref="L130:L161" si="38">IF(AND($F130="X",$G130="BPER"),IF($E130="U",-$D130,$D130),"")</f>
        <v/>
      </c>
      <c r="M130" s="19"/>
      <c r="N130" s="22">
        <f t="shared" ref="N130:N161" si="39">IF(F130="X",IF(E130="U",-D130,D130),"non ancora confermato")</f>
        <v>-8741.92</v>
      </c>
      <c r="O130" s="31"/>
    </row>
    <row r="131" spans="1:16" ht="20.100000000000001" hidden="1" customHeight="1">
      <c r="A131" s="7" t="s">
        <v>2603</v>
      </c>
      <c r="B131" s="44" t="s">
        <v>2604</v>
      </c>
      <c r="C131" s="42" t="s">
        <v>1047</v>
      </c>
      <c r="D131" s="4">
        <v>4500</v>
      </c>
      <c r="E131" s="65" t="s">
        <v>2427</v>
      </c>
      <c r="F131" s="131" t="s">
        <v>49</v>
      </c>
      <c r="G131" t="s">
        <v>2435</v>
      </c>
      <c r="H131" s="19" t="str">
        <f t="shared" si="34"/>
        <v/>
      </c>
      <c r="I131" s="19" t="str">
        <f t="shared" si="35"/>
        <v/>
      </c>
      <c r="J131" s="19" t="str">
        <f t="shared" si="36"/>
        <v/>
      </c>
      <c r="K131" s="19">
        <f t="shared" si="37"/>
        <v>-4500</v>
      </c>
      <c r="L131" s="19" t="str">
        <f t="shared" si="38"/>
        <v/>
      </c>
      <c r="M131" s="19"/>
      <c r="N131" s="22">
        <f t="shared" si="39"/>
        <v>-4500</v>
      </c>
      <c r="O131" s="31"/>
    </row>
    <row r="132" spans="1:16" ht="20.100000000000001" hidden="1" customHeight="1">
      <c r="A132" s="7" t="s">
        <v>2603</v>
      </c>
      <c r="B132" s="44" t="s">
        <v>2604</v>
      </c>
      <c r="C132" t="s">
        <v>2229</v>
      </c>
      <c r="D132" s="4">
        <v>2024</v>
      </c>
      <c r="E132" s="65" t="s">
        <v>2427</v>
      </c>
      <c r="F132" s="131" t="s">
        <v>49</v>
      </c>
      <c r="G132" t="s">
        <v>2435</v>
      </c>
      <c r="H132" s="19" t="str">
        <f t="shared" si="34"/>
        <v/>
      </c>
      <c r="I132" s="19" t="str">
        <f t="shared" si="35"/>
        <v/>
      </c>
      <c r="J132" s="19" t="str">
        <f t="shared" si="36"/>
        <v/>
      </c>
      <c r="K132" s="19">
        <f t="shared" si="37"/>
        <v>-2024</v>
      </c>
      <c r="L132" s="19" t="str">
        <f t="shared" si="38"/>
        <v/>
      </c>
      <c r="M132" s="19"/>
      <c r="N132" s="22">
        <f t="shared" si="39"/>
        <v>-2024</v>
      </c>
      <c r="O132" s="31"/>
    </row>
    <row r="133" spans="1:16" hidden="1">
      <c r="A133" s="7" t="s">
        <v>2603</v>
      </c>
      <c r="B133" s="44" t="s">
        <v>2604</v>
      </c>
      <c r="C133" t="s">
        <v>2074</v>
      </c>
      <c r="D133" s="4">
        <v>2000</v>
      </c>
      <c r="E133" s="65" t="s">
        <v>2427</v>
      </c>
      <c r="F133" s="131" t="s">
        <v>49</v>
      </c>
      <c r="G133" t="s">
        <v>2435</v>
      </c>
      <c r="H133" s="19" t="str">
        <f t="shared" si="34"/>
        <v/>
      </c>
      <c r="I133" s="19" t="str">
        <f t="shared" si="35"/>
        <v/>
      </c>
      <c r="J133" s="19" t="str">
        <f t="shared" si="36"/>
        <v/>
      </c>
      <c r="K133" s="19">
        <f t="shared" si="37"/>
        <v>-2000</v>
      </c>
      <c r="L133" s="19" t="str">
        <f t="shared" si="38"/>
        <v/>
      </c>
      <c r="M133" s="19"/>
      <c r="N133" s="22">
        <f t="shared" si="39"/>
        <v>-2000</v>
      </c>
      <c r="O133" s="31"/>
    </row>
    <row r="134" spans="1:16" ht="20.100000000000001" hidden="1" customHeight="1">
      <c r="A134" s="7" t="s">
        <v>2603</v>
      </c>
      <c r="B134" s="44" t="s">
        <v>2604</v>
      </c>
      <c r="C134" t="s">
        <v>2177</v>
      </c>
      <c r="D134" s="4">
        <v>4000</v>
      </c>
      <c r="E134" s="65" t="s">
        <v>2427</v>
      </c>
      <c r="F134" s="131" t="s">
        <v>49</v>
      </c>
      <c r="G134" t="s">
        <v>296</v>
      </c>
      <c r="H134" s="19" t="str">
        <f t="shared" si="34"/>
        <v/>
      </c>
      <c r="I134" s="19" t="str">
        <f t="shared" si="35"/>
        <v/>
      </c>
      <c r="J134" s="19" t="str">
        <f t="shared" si="36"/>
        <v/>
      </c>
      <c r="K134" s="19" t="str">
        <f t="shared" si="37"/>
        <v/>
      </c>
      <c r="L134" s="19">
        <f t="shared" si="38"/>
        <v>-4000</v>
      </c>
      <c r="M134" s="19"/>
      <c r="N134" s="22">
        <f t="shared" si="39"/>
        <v>-4000</v>
      </c>
      <c r="O134" s="31"/>
    </row>
    <row r="135" spans="1:16" ht="20.100000000000001" hidden="1" customHeight="1">
      <c r="A135" s="7" t="s">
        <v>2603</v>
      </c>
      <c r="B135" s="44">
        <v>45965</v>
      </c>
      <c r="C135" t="s">
        <v>2543</v>
      </c>
      <c r="D135" s="4">
        <v>230</v>
      </c>
      <c r="E135" s="65" t="s">
        <v>2427</v>
      </c>
      <c r="F135" s="131" t="s">
        <v>49</v>
      </c>
      <c r="G135" t="s">
        <v>111</v>
      </c>
      <c r="H135" s="19" t="str">
        <f t="shared" si="34"/>
        <v/>
      </c>
      <c r="I135" s="19" t="str">
        <f t="shared" si="35"/>
        <v/>
      </c>
      <c r="J135" s="19">
        <f t="shared" si="36"/>
        <v>-230</v>
      </c>
      <c r="K135" s="19" t="str">
        <f t="shared" si="37"/>
        <v/>
      </c>
      <c r="L135" s="19" t="str">
        <f t="shared" si="38"/>
        <v/>
      </c>
      <c r="M135" s="19" t="str">
        <f>IF(AND($F135="X",$G135="CASSA"),IF($E135="U",-$D135,$D135),"")</f>
        <v/>
      </c>
      <c r="N135" s="22">
        <f t="shared" si="39"/>
        <v>-230</v>
      </c>
      <c r="O135" s="31"/>
    </row>
    <row r="136" spans="1:16" ht="20.100000000000001" hidden="1" customHeight="1">
      <c r="A136" s="7" t="s">
        <v>2603</v>
      </c>
      <c r="B136" s="44">
        <v>45964</v>
      </c>
      <c r="C136" t="s">
        <v>2533</v>
      </c>
      <c r="D136" s="4">
        <v>196.26</v>
      </c>
      <c r="E136" s="65" t="s">
        <v>2427</v>
      </c>
      <c r="F136" s="131" t="s">
        <v>49</v>
      </c>
      <c r="G136" t="s">
        <v>345</v>
      </c>
      <c r="H136" s="19">
        <f t="shared" si="34"/>
        <v>-196.26</v>
      </c>
      <c r="I136" s="19" t="str">
        <f t="shared" si="35"/>
        <v/>
      </c>
      <c r="J136" s="19" t="str">
        <f t="shared" si="36"/>
        <v/>
      </c>
      <c r="K136" s="19" t="str">
        <f t="shared" si="37"/>
        <v/>
      </c>
      <c r="L136" s="19" t="str">
        <f t="shared" si="38"/>
        <v/>
      </c>
      <c r="M136" s="19"/>
      <c r="N136" s="22">
        <f t="shared" si="39"/>
        <v>-196.26</v>
      </c>
      <c r="O136" s="31"/>
    </row>
    <row r="137" spans="1:16" ht="20.100000000000001" hidden="1" customHeight="1">
      <c r="A137" s="7" t="s">
        <v>2603</v>
      </c>
      <c r="B137" s="44">
        <v>45965</v>
      </c>
      <c r="C137" t="s">
        <v>2596</v>
      </c>
      <c r="D137" s="4">
        <v>8.33</v>
      </c>
      <c r="E137" s="65" t="s">
        <v>2427</v>
      </c>
      <c r="F137" s="131" t="s">
        <v>49</v>
      </c>
      <c r="G137" t="s">
        <v>345</v>
      </c>
      <c r="H137" s="19">
        <f t="shared" si="34"/>
        <v>-8.33</v>
      </c>
      <c r="I137" s="19" t="str">
        <f t="shared" si="35"/>
        <v/>
      </c>
      <c r="J137" s="19" t="str">
        <f t="shared" si="36"/>
        <v/>
      </c>
      <c r="K137" s="19" t="str">
        <f t="shared" si="37"/>
        <v/>
      </c>
      <c r="L137" s="19" t="str">
        <f t="shared" si="38"/>
        <v/>
      </c>
      <c r="M137" s="19"/>
      <c r="N137" s="22">
        <f t="shared" si="39"/>
        <v>-8.33</v>
      </c>
      <c r="O137" s="31" t="s">
        <v>2605</v>
      </c>
    </row>
    <row r="138" spans="1:16" ht="20.100000000000001" hidden="1" customHeight="1">
      <c r="A138" s="7" t="s">
        <v>2603</v>
      </c>
      <c r="B138" s="44">
        <v>45965</v>
      </c>
      <c r="C138" t="s">
        <v>2572</v>
      </c>
      <c r="D138" s="4">
        <v>208</v>
      </c>
      <c r="E138" s="65" t="s">
        <v>2427</v>
      </c>
      <c r="F138" s="131" t="s">
        <v>49</v>
      </c>
      <c r="G138" t="s">
        <v>345</v>
      </c>
      <c r="H138" s="19">
        <f t="shared" si="34"/>
        <v>-208</v>
      </c>
      <c r="I138" s="19" t="str">
        <f t="shared" si="35"/>
        <v/>
      </c>
      <c r="J138" s="19" t="str">
        <f t="shared" si="36"/>
        <v/>
      </c>
      <c r="K138" s="19" t="str">
        <f t="shared" si="37"/>
        <v/>
      </c>
      <c r="L138" s="19" t="str">
        <f t="shared" si="38"/>
        <v/>
      </c>
      <c r="M138" s="19"/>
      <c r="N138" s="22">
        <f t="shared" si="39"/>
        <v>-208</v>
      </c>
      <c r="O138" s="31"/>
    </row>
    <row r="139" spans="1:16" ht="20.100000000000001" hidden="1" customHeight="1">
      <c r="A139" s="7" t="s">
        <v>2603</v>
      </c>
      <c r="B139" s="44">
        <v>45965</v>
      </c>
      <c r="C139" t="s">
        <v>2596</v>
      </c>
      <c r="D139" s="4">
        <v>16</v>
      </c>
      <c r="E139" s="65" t="s">
        <v>2427</v>
      </c>
      <c r="F139" s="131" t="s">
        <v>49</v>
      </c>
      <c r="G139" t="s">
        <v>345</v>
      </c>
      <c r="H139" s="19">
        <f t="shared" si="34"/>
        <v>-16</v>
      </c>
      <c r="I139" s="19" t="str">
        <f t="shared" si="35"/>
        <v/>
      </c>
      <c r="J139" s="19" t="str">
        <f t="shared" si="36"/>
        <v/>
      </c>
      <c r="K139" s="19" t="str">
        <f t="shared" si="37"/>
        <v/>
      </c>
      <c r="L139" s="19" t="str">
        <f t="shared" si="38"/>
        <v/>
      </c>
      <c r="M139" s="19"/>
      <c r="N139" s="22">
        <f t="shared" si="39"/>
        <v>-16</v>
      </c>
      <c r="O139" s="31" t="s">
        <v>2606</v>
      </c>
    </row>
    <row r="140" spans="1:16" ht="20.100000000000001" hidden="1" customHeight="1">
      <c r="A140" s="7" t="s">
        <v>2603</v>
      </c>
      <c r="B140" s="44">
        <v>45966</v>
      </c>
      <c r="C140" t="s">
        <v>2607</v>
      </c>
      <c r="D140" s="4">
        <v>200</v>
      </c>
      <c r="E140" s="65" t="s">
        <v>2427</v>
      </c>
      <c r="F140" s="131" t="s">
        <v>49</v>
      </c>
      <c r="G140" t="s">
        <v>2435</v>
      </c>
      <c r="H140" s="19" t="str">
        <f t="shared" si="34"/>
        <v/>
      </c>
      <c r="I140" s="19" t="str">
        <f t="shared" si="35"/>
        <v/>
      </c>
      <c r="J140" s="19" t="str">
        <f t="shared" si="36"/>
        <v/>
      </c>
      <c r="K140" s="19">
        <f t="shared" si="37"/>
        <v>-200</v>
      </c>
      <c r="L140" s="19" t="str">
        <f t="shared" si="38"/>
        <v/>
      </c>
      <c r="M140" s="19"/>
      <c r="N140" s="22">
        <f t="shared" si="39"/>
        <v>-200</v>
      </c>
      <c r="O140" s="31" t="s">
        <v>2608</v>
      </c>
    </row>
    <row r="141" spans="1:16" ht="20.100000000000001" hidden="1" customHeight="1">
      <c r="A141" s="7" t="s">
        <v>2603</v>
      </c>
      <c r="B141" s="44">
        <v>45967</v>
      </c>
      <c r="C141" t="s">
        <v>2213</v>
      </c>
      <c r="D141" s="4">
        <v>328.43</v>
      </c>
      <c r="E141" s="65" t="s">
        <v>2427</v>
      </c>
      <c r="F141" s="131" t="s">
        <v>49</v>
      </c>
      <c r="G141" t="s">
        <v>345</v>
      </c>
      <c r="H141" s="19">
        <f t="shared" si="34"/>
        <v>-328.43</v>
      </c>
      <c r="I141" s="19" t="str">
        <f t="shared" si="35"/>
        <v/>
      </c>
      <c r="J141" s="19" t="str">
        <f t="shared" si="36"/>
        <v/>
      </c>
      <c r="K141" s="19" t="str">
        <f t="shared" si="37"/>
        <v/>
      </c>
      <c r="L141" s="19" t="str">
        <f t="shared" si="38"/>
        <v/>
      </c>
      <c r="M141" s="19"/>
      <c r="N141" s="22">
        <f t="shared" si="39"/>
        <v>-328.43</v>
      </c>
      <c r="O141" s="31" t="s">
        <v>197</v>
      </c>
    </row>
    <row r="142" spans="1:16" ht="20.100000000000001" hidden="1" customHeight="1">
      <c r="A142" s="7" t="s">
        <v>2603</v>
      </c>
      <c r="B142" s="44">
        <v>45968</v>
      </c>
      <c r="C142" t="s">
        <v>2055</v>
      </c>
      <c r="D142" s="4">
        <v>1000</v>
      </c>
      <c r="E142" s="65" t="s">
        <v>2427</v>
      </c>
      <c r="F142" s="131" t="s">
        <v>49</v>
      </c>
      <c r="G142" t="s">
        <v>345</v>
      </c>
      <c r="H142" s="19">
        <f t="shared" si="34"/>
        <v>-1000</v>
      </c>
      <c r="I142" s="19" t="str">
        <f t="shared" si="35"/>
        <v/>
      </c>
      <c r="J142" s="19" t="str">
        <f t="shared" si="36"/>
        <v/>
      </c>
      <c r="K142" s="19" t="str">
        <f t="shared" si="37"/>
        <v/>
      </c>
      <c r="L142" s="19" t="str">
        <f t="shared" si="38"/>
        <v/>
      </c>
      <c r="M142" s="19"/>
      <c r="N142" s="22">
        <f t="shared" si="39"/>
        <v>-1000</v>
      </c>
      <c r="O142" s="31"/>
    </row>
    <row r="143" spans="1:16" ht="20.100000000000001" hidden="1" customHeight="1">
      <c r="A143" s="7" t="s">
        <v>2603</v>
      </c>
      <c r="B143" s="44">
        <v>45968</v>
      </c>
      <c r="C143" t="s">
        <v>2378</v>
      </c>
      <c r="D143" s="4">
        <v>11000</v>
      </c>
      <c r="E143" s="65" t="s">
        <v>2427</v>
      </c>
      <c r="F143" s="131" t="s">
        <v>49</v>
      </c>
      <c r="G143" t="s">
        <v>345</v>
      </c>
      <c r="H143" s="19">
        <f t="shared" si="34"/>
        <v>-11000</v>
      </c>
      <c r="I143" s="19" t="str">
        <f t="shared" si="35"/>
        <v/>
      </c>
      <c r="J143" s="19" t="str">
        <f t="shared" si="36"/>
        <v/>
      </c>
      <c r="K143" s="19" t="str">
        <f t="shared" si="37"/>
        <v/>
      </c>
      <c r="L143" s="19" t="str">
        <f t="shared" si="38"/>
        <v/>
      </c>
      <c r="M143" s="19"/>
      <c r="N143" s="22">
        <f t="shared" si="39"/>
        <v>-11000</v>
      </c>
      <c r="O143" s="31"/>
    </row>
    <row r="144" spans="1:16" ht="20.100000000000001" hidden="1" customHeight="1">
      <c r="A144" s="7" t="s">
        <v>2603</v>
      </c>
      <c r="B144" s="44">
        <v>45971</v>
      </c>
      <c r="C144" t="s">
        <v>2270</v>
      </c>
      <c r="D144" s="4">
        <v>13000</v>
      </c>
      <c r="E144" s="65" t="s">
        <v>2427</v>
      </c>
      <c r="F144" s="131" t="s">
        <v>49</v>
      </c>
      <c r="G144" t="s">
        <v>345</v>
      </c>
      <c r="H144" s="19">
        <f t="shared" si="34"/>
        <v>-13000</v>
      </c>
      <c r="I144" s="19" t="str">
        <f t="shared" si="35"/>
        <v/>
      </c>
      <c r="J144" s="19" t="str">
        <f t="shared" si="36"/>
        <v/>
      </c>
      <c r="K144" s="19" t="str">
        <f t="shared" si="37"/>
        <v/>
      </c>
      <c r="L144" s="19" t="str">
        <f t="shared" si="38"/>
        <v/>
      </c>
      <c r="M144" s="19"/>
      <c r="N144" s="22">
        <f t="shared" si="39"/>
        <v>-13000</v>
      </c>
      <c r="O144" s="31"/>
    </row>
    <row r="145" spans="1:15" ht="20.100000000000001" hidden="1" customHeight="1">
      <c r="A145" s="7" t="s">
        <v>2603</v>
      </c>
      <c r="B145" s="44">
        <v>45971</v>
      </c>
      <c r="C145" t="s">
        <v>2609</v>
      </c>
      <c r="D145" s="4">
        <v>10000</v>
      </c>
      <c r="E145" s="65" t="s">
        <v>2427</v>
      </c>
      <c r="F145" s="131" t="s">
        <v>49</v>
      </c>
      <c r="G145" t="s">
        <v>296</v>
      </c>
      <c r="H145" s="19" t="str">
        <f t="shared" si="34"/>
        <v/>
      </c>
      <c r="I145" s="19" t="str">
        <f t="shared" si="35"/>
        <v/>
      </c>
      <c r="J145" s="19" t="str">
        <f t="shared" si="36"/>
        <v/>
      </c>
      <c r="K145" s="19" t="str">
        <f t="shared" si="37"/>
        <v/>
      </c>
      <c r="L145" s="19">
        <f t="shared" si="38"/>
        <v>-10000</v>
      </c>
      <c r="M145" s="19"/>
      <c r="N145" s="22">
        <f t="shared" si="39"/>
        <v>-10000</v>
      </c>
      <c r="O145" s="31" t="s">
        <v>2610</v>
      </c>
    </row>
    <row r="146" spans="1:15" ht="20.100000000000001" hidden="1" customHeight="1">
      <c r="A146" s="7" t="s">
        <v>2603</v>
      </c>
      <c r="B146" s="44">
        <v>45971</v>
      </c>
      <c r="C146" t="s">
        <v>2548</v>
      </c>
      <c r="D146" s="4">
        <f>10400-937.7</f>
        <v>9462.2999999999993</v>
      </c>
      <c r="E146" s="65" t="s">
        <v>2527</v>
      </c>
      <c r="F146" s="131" t="s">
        <v>49</v>
      </c>
      <c r="G146" t="s">
        <v>345</v>
      </c>
      <c r="H146" s="19">
        <f t="shared" si="34"/>
        <v>9462.2999999999993</v>
      </c>
      <c r="I146" s="19" t="str">
        <f t="shared" si="35"/>
        <v/>
      </c>
      <c r="J146" s="19" t="str">
        <f t="shared" si="36"/>
        <v/>
      </c>
      <c r="K146" s="19" t="str">
        <f t="shared" si="37"/>
        <v/>
      </c>
      <c r="L146" s="19" t="str">
        <f t="shared" si="38"/>
        <v/>
      </c>
      <c r="M146" s="19"/>
      <c r="N146" s="22">
        <f t="shared" si="39"/>
        <v>9462.2999999999993</v>
      </c>
      <c r="O146" s="31" t="s">
        <v>2610</v>
      </c>
    </row>
    <row r="147" spans="1:15" ht="20.100000000000001" hidden="1" customHeight="1">
      <c r="A147" s="7" t="s">
        <v>2603</v>
      </c>
      <c r="B147" s="44">
        <v>45971</v>
      </c>
      <c r="C147" t="s">
        <v>2057</v>
      </c>
      <c r="D147" s="4">
        <v>567.29999999999995</v>
      </c>
      <c r="E147" s="65" t="s">
        <v>2427</v>
      </c>
      <c r="F147" s="131" t="s">
        <v>49</v>
      </c>
      <c r="G147" t="s">
        <v>345</v>
      </c>
      <c r="H147" s="19">
        <f t="shared" si="34"/>
        <v>-567.29999999999995</v>
      </c>
      <c r="I147" s="19" t="str">
        <f t="shared" si="35"/>
        <v/>
      </c>
      <c r="J147" s="19" t="str">
        <f t="shared" si="36"/>
        <v/>
      </c>
      <c r="K147" s="19" t="str">
        <f t="shared" si="37"/>
        <v/>
      </c>
      <c r="L147" s="19" t="str">
        <f t="shared" si="38"/>
        <v/>
      </c>
      <c r="M147" s="19"/>
      <c r="N147" s="22">
        <f t="shared" si="39"/>
        <v>-567.29999999999995</v>
      </c>
      <c r="O147" s="31" t="s">
        <v>2611</v>
      </c>
    </row>
    <row r="148" spans="1:15" ht="20.100000000000001" hidden="1" customHeight="1">
      <c r="A148" s="7" t="s">
        <v>2603</v>
      </c>
      <c r="B148" s="44">
        <v>45971</v>
      </c>
      <c r="C148" t="s">
        <v>2553</v>
      </c>
      <c r="D148" s="4">
        <v>331.46</v>
      </c>
      <c r="E148" s="65" t="s">
        <v>2427</v>
      </c>
      <c r="F148" s="131" t="s">
        <v>49</v>
      </c>
      <c r="G148" t="s">
        <v>345</v>
      </c>
      <c r="H148" s="19">
        <f t="shared" si="34"/>
        <v>-331.46</v>
      </c>
      <c r="I148" s="19" t="str">
        <f t="shared" si="35"/>
        <v/>
      </c>
      <c r="J148" s="19" t="str">
        <f t="shared" si="36"/>
        <v/>
      </c>
      <c r="K148" s="19" t="str">
        <f t="shared" si="37"/>
        <v/>
      </c>
      <c r="L148" s="19" t="str">
        <f t="shared" si="38"/>
        <v/>
      </c>
      <c r="M148" s="19"/>
      <c r="N148" s="22">
        <f t="shared" si="39"/>
        <v>-331.46</v>
      </c>
      <c r="O148" s="31" t="s">
        <v>2611</v>
      </c>
    </row>
    <row r="149" spans="1:15" hidden="1">
      <c r="A149" s="7" t="s">
        <v>2603</v>
      </c>
      <c r="B149" s="44">
        <v>45971</v>
      </c>
      <c r="C149" t="s">
        <v>2553</v>
      </c>
      <c r="D149" s="4">
        <v>844.92</v>
      </c>
      <c r="E149" s="65" t="s">
        <v>2427</v>
      </c>
      <c r="F149" s="131" t="s">
        <v>49</v>
      </c>
      <c r="G149" t="s">
        <v>2435</v>
      </c>
      <c r="H149" s="19" t="str">
        <f t="shared" si="34"/>
        <v/>
      </c>
      <c r="I149" s="19" t="str">
        <f t="shared" si="35"/>
        <v/>
      </c>
      <c r="J149" s="19" t="str">
        <f t="shared" si="36"/>
        <v/>
      </c>
      <c r="K149" s="19">
        <f t="shared" si="37"/>
        <v>-844.92</v>
      </c>
      <c r="L149" s="19" t="str">
        <f t="shared" si="38"/>
        <v/>
      </c>
      <c r="M149" s="19"/>
      <c r="N149" s="22">
        <f t="shared" si="39"/>
        <v>-844.92</v>
      </c>
      <c r="O149" s="31"/>
    </row>
    <row r="150" spans="1:15" hidden="1">
      <c r="A150" s="7" t="s">
        <v>2603</v>
      </c>
      <c r="B150" s="44">
        <v>45971</v>
      </c>
      <c r="C150" t="s">
        <v>2612</v>
      </c>
      <c r="D150" s="4">
        <v>634.4</v>
      </c>
      <c r="E150" s="65" t="s">
        <v>2427</v>
      </c>
      <c r="F150" s="131" t="s">
        <v>49</v>
      </c>
      <c r="G150" t="s">
        <v>345</v>
      </c>
      <c r="H150" s="19">
        <f t="shared" si="34"/>
        <v>-634.4</v>
      </c>
      <c r="I150" s="19" t="str">
        <f t="shared" si="35"/>
        <v/>
      </c>
      <c r="J150" s="19" t="str">
        <f t="shared" si="36"/>
        <v/>
      </c>
      <c r="K150" s="19" t="str">
        <f t="shared" si="37"/>
        <v/>
      </c>
      <c r="L150" s="19" t="str">
        <f t="shared" si="38"/>
        <v/>
      </c>
      <c r="M150" s="19"/>
      <c r="N150" s="22">
        <f t="shared" si="39"/>
        <v>-634.4</v>
      </c>
      <c r="O150" s="145"/>
    </row>
    <row r="151" spans="1:15" ht="20.100000000000001" hidden="1" customHeight="1">
      <c r="A151" s="7" t="s">
        <v>2603</v>
      </c>
      <c r="B151" s="44">
        <v>45971</v>
      </c>
      <c r="C151" t="s">
        <v>2152</v>
      </c>
      <c r="D151" s="4">
        <v>10536.59</v>
      </c>
      <c r="E151" s="65" t="s">
        <v>2427</v>
      </c>
      <c r="F151" s="131" t="s">
        <v>49</v>
      </c>
      <c r="G151" t="s">
        <v>345</v>
      </c>
      <c r="H151" s="19">
        <f t="shared" si="34"/>
        <v>-10536.59</v>
      </c>
      <c r="I151" s="19" t="str">
        <f t="shared" si="35"/>
        <v/>
      </c>
      <c r="J151" s="19" t="str">
        <f t="shared" si="36"/>
        <v/>
      </c>
      <c r="K151" s="19" t="str">
        <f t="shared" si="37"/>
        <v/>
      </c>
      <c r="L151" s="19" t="str">
        <f t="shared" si="38"/>
        <v/>
      </c>
      <c r="M151" s="19"/>
      <c r="N151" s="22">
        <f t="shared" si="39"/>
        <v>-10536.59</v>
      </c>
      <c r="O151" s="31" t="s">
        <v>2545</v>
      </c>
    </row>
    <row r="152" spans="1:15" ht="20.100000000000001" hidden="1" customHeight="1">
      <c r="A152" s="7" t="s">
        <v>2603</v>
      </c>
      <c r="B152" s="44">
        <v>45971</v>
      </c>
      <c r="C152" t="s">
        <v>2336</v>
      </c>
      <c r="D152" s="4">
        <v>27.94</v>
      </c>
      <c r="E152" s="65" t="s">
        <v>2427</v>
      </c>
      <c r="F152" s="131" t="s">
        <v>49</v>
      </c>
      <c r="G152" t="s">
        <v>345</v>
      </c>
      <c r="H152" s="19">
        <f t="shared" si="34"/>
        <v>-27.94</v>
      </c>
      <c r="I152" s="19" t="str">
        <f t="shared" si="35"/>
        <v/>
      </c>
      <c r="J152" s="19" t="str">
        <f t="shared" si="36"/>
        <v/>
      </c>
      <c r="K152" s="19" t="str">
        <f t="shared" si="37"/>
        <v/>
      </c>
      <c r="L152" s="19" t="str">
        <f t="shared" si="38"/>
        <v/>
      </c>
      <c r="M152" s="19"/>
      <c r="N152" s="22">
        <f t="shared" si="39"/>
        <v>-27.94</v>
      </c>
      <c r="O152" s="31"/>
    </row>
    <row r="153" spans="1:15" ht="20.100000000000001" hidden="1" customHeight="1">
      <c r="A153" s="7" t="s">
        <v>2603</v>
      </c>
      <c r="B153" s="44" t="s">
        <v>2613</v>
      </c>
      <c r="C153" t="s">
        <v>2440</v>
      </c>
      <c r="D153" s="4">
        <v>6540.63</v>
      </c>
      <c r="E153" s="65" t="s">
        <v>2427</v>
      </c>
      <c r="F153" s="131" t="s">
        <v>49</v>
      </c>
      <c r="G153" t="s">
        <v>296</v>
      </c>
      <c r="H153" s="19" t="str">
        <f t="shared" si="34"/>
        <v/>
      </c>
      <c r="I153" s="19" t="str">
        <f t="shared" si="35"/>
        <v/>
      </c>
      <c r="J153" s="19" t="str">
        <f t="shared" si="36"/>
        <v/>
      </c>
      <c r="K153" s="19" t="str">
        <f t="shared" si="37"/>
        <v/>
      </c>
      <c r="L153" s="19">
        <f t="shared" si="38"/>
        <v>-6540.63</v>
      </c>
      <c r="M153" s="19"/>
      <c r="N153" s="22">
        <f t="shared" si="39"/>
        <v>-6540.63</v>
      </c>
      <c r="O153" s="31"/>
    </row>
    <row r="154" spans="1:15" ht="20.100000000000001" hidden="1" customHeight="1">
      <c r="A154" s="7" t="s">
        <v>2603</v>
      </c>
      <c r="B154" s="44">
        <v>45962</v>
      </c>
      <c r="C154" t="s">
        <v>2323</v>
      </c>
      <c r="D154" s="4">
        <f>12180/4</f>
        <v>3045</v>
      </c>
      <c r="E154" s="65" t="s">
        <v>2427</v>
      </c>
      <c r="F154" s="131" t="s">
        <v>49</v>
      </c>
      <c r="G154" t="s">
        <v>2435</v>
      </c>
      <c r="H154" s="19" t="str">
        <f t="shared" si="34"/>
        <v/>
      </c>
      <c r="I154" s="19" t="str">
        <f t="shared" si="35"/>
        <v/>
      </c>
      <c r="J154" s="19" t="str">
        <f t="shared" si="36"/>
        <v/>
      </c>
      <c r="K154" s="19">
        <f t="shared" si="37"/>
        <v>-3045</v>
      </c>
      <c r="L154" s="19" t="str">
        <f t="shared" si="38"/>
        <v/>
      </c>
      <c r="M154" s="19"/>
      <c r="N154" s="22">
        <f t="shared" si="39"/>
        <v>-3045</v>
      </c>
      <c r="O154" s="31"/>
    </row>
    <row r="155" spans="1:15" ht="20.100000000000001" hidden="1" customHeight="1">
      <c r="A155" s="7" t="s">
        <v>2603</v>
      </c>
      <c r="B155" s="44">
        <v>45962</v>
      </c>
      <c r="C155" t="s">
        <v>2098</v>
      </c>
      <c r="D155" s="4">
        <v>1560</v>
      </c>
      <c r="E155" s="65" t="s">
        <v>2427</v>
      </c>
      <c r="F155" s="131" t="s">
        <v>49</v>
      </c>
      <c r="G155" t="s">
        <v>2435</v>
      </c>
      <c r="H155" s="19" t="str">
        <f t="shared" si="34"/>
        <v/>
      </c>
      <c r="I155" s="19" t="str">
        <f t="shared" si="35"/>
        <v/>
      </c>
      <c r="J155" s="19" t="str">
        <f t="shared" si="36"/>
        <v/>
      </c>
      <c r="K155" s="19">
        <f t="shared" si="37"/>
        <v>-1560</v>
      </c>
      <c r="L155" s="19" t="str">
        <f t="shared" si="38"/>
        <v/>
      </c>
      <c r="M155" s="19"/>
      <c r="N155" s="22">
        <f t="shared" si="39"/>
        <v>-1560</v>
      </c>
      <c r="O155" s="31"/>
    </row>
    <row r="156" spans="1:15" ht="20.100000000000001" hidden="1" customHeight="1">
      <c r="A156" s="7" t="s">
        <v>2603</v>
      </c>
      <c r="B156" s="44">
        <v>45962</v>
      </c>
      <c r="C156" t="s">
        <v>2200</v>
      </c>
      <c r="D156" s="4">
        <v>3000</v>
      </c>
      <c r="E156" s="65" t="s">
        <v>2427</v>
      </c>
      <c r="F156" s="131" t="s">
        <v>49</v>
      </c>
      <c r="G156" t="s">
        <v>2435</v>
      </c>
      <c r="H156" s="19" t="str">
        <f t="shared" si="34"/>
        <v/>
      </c>
      <c r="I156" s="19" t="str">
        <f t="shared" si="35"/>
        <v/>
      </c>
      <c r="J156" s="19" t="str">
        <f t="shared" si="36"/>
        <v/>
      </c>
      <c r="K156" s="19">
        <f t="shared" si="37"/>
        <v>-3000</v>
      </c>
      <c r="L156" s="19" t="str">
        <f t="shared" si="38"/>
        <v/>
      </c>
      <c r="M156" s="19"/>
      <c r="N156" s="22">
        <f t="shared" si="39"/>
        <v>-3000</v>
      </c>
      <c r="O156" s="31"/>
    </row>
    <row r="157" spans="1:15" ht="20.100000000000001" hidden="1" customHeight="1">
      <c r="A157" s="7" t="s">
        <v>2603</v>
      </c>
      <c r="B157" s="44">
        <v>45971</v>
      </c>
      <c r="C157" t="s">
        <v>2576</v>
      </c>
      <c r="D157" s="4">
        <v>127.3</v>
      </c>
      <c r="E157" s="65" t="s">
        <v>2427</v>
      </c>
      <c r="F157" s="131" t="s">
        <v>49</v>
      </c>
      <c r="G157" t="s">
        <v>345</v>
      </c>
      <c r="H157" s="19">
        <f t="shared" si="34"/>
        <v>-127.3</v>
      </c>
      <c r="I157" s="19" t="str">
        <f t="shared" si="35"/>
        <v/>
      </c>
      <c r="J157" s="19" t="str">
        <f t="shared" si="36"/>
        <v/>
      </c>
      <c r="K157" s="19" t="str">
        <f t="shared" si="37"/>
        <v/>
      </c>
      <c r="L157" s="19" t="str">
        <f t="shared" si="38"/>
        <v/>
      </c>
      <c r="M157" s="19" t="str">
        <f t="shared" ref="M157:M168" si="40">IF(AND($F157="X",$G157="CASSA"),IF($E157="U",-$D157,$D157),"")</f>
        <v/>
      </c>
      <c r="N157" s="22">
        <f t="shared" si="39"/>
        <v>-127.3</v>
      </c>
      <c r="O157" s="31" t="s">
        <v>2577</v>
      </c>
    </row>
    <row r="158" spans="1:15" ht="20.100000000000001" hidden="1" customHeight="1">
      <c r="A158" s="7" t="s">
        <v>2603</v>
      </c>
      <c r="B158" s="44">
        <v>45971</v>
      </c>
      <c r="C158" t="s">
        <v>2576</v>
      </c>
      <c r="D158" s="4">
        <v>94.01</v>
      </c>
      <c r="E158" s="65" t="s">
        <v>2427</v>
      </c>
      <c r="F158" s="131" t="s">
        <v>49</v>
      </c>
      <c r="G158" t="s">
        <v>111</v>
      </c>
      <c r="H158" s="19" t="str">
        <f t="shared" si="34"/>
        <v/>
      </c>
      <c r="I158" s="19" t="str">
        <f t="shared" si="35"/>
        <v/>
      </c>
      <c r="J158" s="19">
        <f t="shared" si="36"/>
        <v>-94.01</v>
      </c>
      <c r="K158" s="19" t="str">
        <f t="shared" si="37"/>
        <v/>
      </c>
      <c r="L158" s="19" t="str">
        <f t="shared" si="38"/>
        <v/>
      </c>
      <c r="M158" s="19" t="str">
        <f t="shared" si="40"/>
        <v/>
      </c>
      <c r="N158" s="22">
        <f t="shared" si="39"/>
        <v>-94.01</v>
      </c>
      <c r="O158" s="31" t="s">
        <v>2577</v>
      </c>
    </row>
    <row r="159" spans="1:15" ht="20.100000000000001" hidden="1" customHeight="1">
      <c r="A159" s="7" t="s">
        <v>2603</v>
      </c>
      <c r="B159" s="44">
        <v>45971</v>
      </c>
      <c r="C159" t="s">
        <v>2576</v>
      </c>
      <c r="D159" s="4">
        <v>31.04</v>
      </c>
      <c r="E159" s="65" t="s">
        <v>2427</v>
      </c>
      <c r="F159" s="131" t="s">
        <v>49</v>
      </c>
      <c r="G159" t="s">
        <v>2435</v>
      </c>
      <c r="H159" s="19" t="str">
        <f t="shared" si="34"/>
        <v/>
      </c>
      <c r="I159" s="19" t="str">
        <f t="shared" si="35"/>
        <v/>
      </c>
      <c r="J159" s="19" t="str">
        <f t="shared" si="36"/>
        <v/>
      </c>
      <c r="K159" s="19">
        <f t="shared" si="37"/>
        <v>-31.04</v>
      </c>
      <c r="L159" s="19" t="str">
        <f t="shared" si="38"/>
        <v/>
      </c>
      <c r="M159" s="19" t="str">
        <f t="shared" si="40"/>
        <v/>
      </c>
      <c r="N159" s="22">
        <f t="shared" si="39"/>
        <v>-31.04</v>
      </c>
      <c r="O159" s="31" t="s">
        <v>2577</v>
      </c>
    </row>
    <row r="160" spans="1:15" ht="20.100000000000001" hidden="1" customHeight="1">
      <c r="A160" s="7" t="s">
        <v>2603</v>
      </c>
      <c r="B160" s="44">
        <v>45971</v>
      </c>
      <c r="C160" t="s">
        <v>2576</v>
      </c>
      <c r="D160" s="4">
        <v>3</v>
      </c>
      <c r="E160" s="65" t="s">
        <v>2427</v>
      </c>
      <c r="F160" s="131" t="s">
        <v>49</v>
      </c>
      <c r="G160" t="s">
        <v>296</v>
      </c>
      <c r="H160" s="19" t="str">
        <f t="shared" si="34"/>
        <v/>
      </c>
      <c r="I160" s="19" t="str">
        <f t="shared" si="35"/>
        <v/>
      </c>
      <c r="J160" s="19" t="str">
        <f t="shared" si="36"/>
        <v/>
      </c>
      <c r="K160" s="19" t="str">
        <f t="shared" si="37"/>
        <v/>
      </c>
      <c r="L160" s="19">
        <f t="shared" si="38"/>
        <v>-3</v>
      </c>
      <c r="M160" s="19" t="str">
        <f t="shared" si="40"/>
        <v/>
      </c>
      <c r="N160" s="22">
        <f t="shared" si="39"/>
        <v>-3</v>
      </c>
      <c r="O160" s="31" t="s">
        <v>2577</v>
      </c>
    </row>
    <row r="161" spans="1:15" ht="20.100000000000001" hidden="1" customHeight="1">
      <c r="A161" s="7" t="s">
        <v>2603</v>
      </c>
      <c r="B161" s="44">
        <v>45971</v>
      </c>
      <c r="C161" t="s">
        <v>2576</v>
      </c>
      <c r="D161" s="4">
        <v>9</v>
      </c>
      <c r="E161" s="65" t="s">
        <v>2427</v>
      </c>
      <c r="F161" s="131" t="s">
        <v>49</v>
      </c>
      <c r="G161" t="s">
        <v>2434</v>
      </c>
      <c r="H161" s="19" t="str">
        <f t="shared" si="34"/>
        <v/>
      </c>
      <c r="I161" s="19">
        <f t="shared" si="35"/>
        <v>-9</v>
      </c>
      <c r="J161" s="19" t="str">
        <f t="shared" si="36"/>
        <v/>
      </c>
      <c r="K161" s="19" t="str">
        <f t="shared" si="37"/>
        <v/>
      </c>
      <c r="L161" s="19" t="str">
        <f t="shared" si="38"/>
        <v/>
      </c>
      <c r="M161" s="19" t="str">
        <f t="shared" si="40"/>
        <v/>
      </c>
      <c r="N161" s="22">
        <f t="shared" si="39"/>
        <v>-9</v>
      </c>
      <c r="O161" s="31" t="s">
        <v>2577</v>
      </c>
    </row>
    <row r="162" spans="1:15" ht="20.100000000000001" hidden="1" customHeight="1">
      <c r="A162" s="7" t="s">
        <v>2603</v>
      </c>
      <c r="B162" s="44">
        <v>45972</v>
      </c>
      <c r="C162" t="s">
        <v>2614</v>
      </c>
      <c r="D162" s="4">
        <v>482</v>
      </c>
      <c r="E162" s="65" t="s">
        <v>2427</v>
      </c>
      <c r="F162" s="131" t="s">
        <v>49</v>
      </c>
      <c r="G162" t="s">
        <v>2435</v>
      </c>
      <c r="H162" s="19" t="str">
        <f t="shared" ref="H162:H193" si="41">IF(AND($F162="X",$G162="BCC"),IF($E162="U",-$D162,$D162),"")</f>
        <v/>
      </c>
      <c r="I162" s="19" t="str">
        <f t="shared" ref="I162:I193" si="42">IF(AND($F162="X",$G162="INTESA"),IF($E162="U",-$D162,$D162),"")</f>
        <v/>
      </c>
      <c r="J162" s="19" t="str">
        <f t="shared" ref="J162:J193" si="43">IF(AND($F162="X",$G162="BPM"),IF($E162="U",-$D162,$D162),"")</f>
        <v/>
      </c>
      <c r="K162" s="19">
        <f t="shared" ref="K162:K193" si="44">IF(AND($F162="X",$G162="SONDRIO"),IF($E162="U",-$D162,$D162),"")</f>
        <v>-482</v>
      </c>
      <c r="L162" s="19" t="str">
        <f t="shared" ref="L162:L193" si="45">IF(AND($F162="X",$G162="BPER"),IF($E162="U",-$D162,$D162),"")</f>
        <v/>
      </c>
      <c r="M162" s="19" t="str">
        <f t="shared" si="40"/>
        <v/>
      </c>
      <c r="N162" s="22">
        <f t="shared" ref="N162:N193" si="46">IF(F162="X",IF(E162="U",-D162,D162),"non ancora confermato")</f>
        <v>-482</v>
      </c>
      <c r="O162" s="31"/>
    </row>
    <row r="163" spans="1:15" ht="20.100000000000001" hidden="1" customHeight="1">
      <c r="A163" s="7" t="s">
        <v>2603</v>
      </c>
      <c r="B163" s="44">
        <v>45972</v>
      </c>
      <c r="C163" t="s">
        <v>2446</v>
      </c>
      <c r="D163" s="4">
        <v>4500</v>
      </c>
      <c r="E163" s="65" t="s">
        <v>2427</v>
      </c>
      <c r="F163" s="131" t="s">
        <v>49</v>
      </c>
      <c r="G163" t="s">
        <v>2435</v>
      </c>
      <c r="H163" s="19" t="str">
        <f t="shared" si="41"/>
        <v/>
      </c>
      <c r="I163" s="19" t="str">
        <f t="shared" si="42"/>
        <v/>
      </c>
      <c r="J163" s="19" t="str">
        <f t="shared" si="43"/>
        <v/>
      </c>
      <c r="K163" s="19">
        <f t="shared" si="44"/>
        <v>-4500</v>
      </c>
      <c r="L163" s="19" t="str">
        <f t="shared" si="45"/>
        <v/>
      </c>
      <c r="M163" s="19" t="str">
        <f t="shared" si="40"/>
        <v/>
      </c>
      <c r="N163" s="22">
        <f t="shared" si="46"/>
        <v>-4500</v>
      </c>
      <c r="O163" s="31" t="s">
        <v>2183</v>
      </c>
    </row>
    <row r="164" spans="1:15" ht="20.100000000000001" hidden="1" customHeight="1">
      <c r="A164" s="7" t="s">
        <v>2603</v>
      </c>
      <c r="B164" s="44">
        <v>45972</v>
      </c>
      <c r="C164" t="s">
        <v>2615</v>
      </c>
      <c r="D164" s="4">
        <v>168</v>
      </c>
      <c r="E164" s="65" t="s">
        <v>2427</v>
      </c>
      <c r="F164" s="131" t="s">
        <v>49</v>
      </c>
      <c r="G164" t="s">
        <v>2435</v>
      </c>
      <c r="H164" s="19" t="str">
        <f t="shared" si="41"/>
        <v/>
      </c>
      <c r="I164" s="19" t="str">
        <f t="shared" si="42"/>
        <v/>
      </c>
      <c r="J164" s="19" t="str">
        <f t="shared" si="43"/>
        <v/>
      </c>
      <c r="K164" s="19">
        <f t="shared" si="44"/>
        <v>-168</v>
      </c>
      <c r="L164" s="19" t="str">
        <f t="shared" si="45"/>
        <v/>
      </c>
      <c r="M164" s="19" t="str">
        <f t="shared" si="40"/>
        <v/>
      </c>
      <c r="N164" s="22">
        <f t="shared" si="46"/>
        <v>-168</v>
      </c>
      <c r="O164" s="31" t="s">
        <v>2616</v>
      </c>
    </row>
    <row r="165" spans="1:15" ht="20.100000000000001" hidden="1" customHeight="1">
      <c r="A165" s="7" t="s">
        <v>2603</v>
      </c>
      <c r="B165" s="44">
        <v>45974</v>
      </c>
      <c r="C165" t="s">
        <v>2609</v>
      </c>
      <c r="D165" s="4">
        <v>10000.08</v>
      </c>
      <c r="E165" s="65" t="s">
        <v>2427</v>
      </c>
      <c r="F165" s="131" t="s">
        <v>49</v>
      </c>
      <c r="G165" t="s">
        <v>2435</v>
      </c>
      <c r="H165" s="19" t="str">
        <f t="shared" si="41"/>
        <v/>
      </c>
      <c r="I165" s="19" t="str">
        <f t="shared" si="42"/>
        <v/>
      </c>
      <c r="J165" s="19" t="str">
        <f t="shared" si="43"/>
        <v/>
      </c>
      <c r="K165" s="19">
        <f t="shared" si="44"/>
        <v>-10000.08</v>
      </c>
      <c r="L165" s="19" t="str">
        <f t="shared" si="45"/>
        <v/>
      </c>
      <c r="M165" s="19" t="str">
        <f t="shared" si="40"/>
        <v/>
      </c>
      <c r="N165" s="22">
        <f t="shared" si="46"/>
        <v>-10000.08</v>
      </c>
      <c r="O165" s="31"/>
    </row>
    <row r="166" spans="1:15" ht="20.100000000000001" hidden="1" customHeight="1">
      <c r="A166" s="7" t="s">
        <v>2603</v>
      </c>
      <c r="B166" s="44">
        <v>45979</v>
      </c>
      <c r="C166" t="s">
        <v>2609</v>
      </c>
      <c r="D166" s="4">
        <v>10000</v>
      </c>
      <c r="E166" s="65" t="s">
        <v>2427</v>
      </c>
      <c r="F166" s="131" t="s">
        <v>49</v>
      </c>
      <c r="G166" t="s">
        <v>2435</v>
      </c>
      <c r="H166" s="19" t="str">
        <f t="shared" si="41"/>
        <v/>
      </c>
      <c r="I166" s="19" t="str">
        <f t="shared" si="42"/>
        <v/>
      </c>
      <c r="J166" s="19" t="str">
        <f t="shared" si="43"/>
        <v/>
      </c>
      <c r="K166" s="19">
        <f t="shared" si="44"/>
        <v>-10000</v>
      </c>
      <c r="L166" s="19" t="str">
        <f t="shared" si="45"/>
        <v/>
      </c>
      <c r="M166" s="19" t="str">
        <f t="shared" si="40"/>
        <v/>
      </c>
      <c r="N166" s="22">
        <f t="shared" si="46"/>
        <v>-10000</v>
      </c>
      <c r="O166" s="31"/>
    </row>
    <row r="167" spans="1:15" ht="20.100000000000001" hidden="1" customHeight="1">
      <c r="A167" s="7" t="s">
        <v>2603</v>
      </c>
      <c r="B167" s="44">
        <v>45979</v>
      </c>
      <c r="C167" t="s">
        <v>2617</v>
      </c>
      <c r="D167" s="4">
        <v>260</v>
      </c>
      <c r="E167" s="65" t="s">
        <v>2427</v>
      </c>
      <c r="F167" s="131" t="s">
        <v>49</v>
      </c>
      <c r="G167" t="s">
        <v>2435</v>
      </c>
      <c r="H167" s="19" t="str">
        <f t="shared" si="41"/>
        <v/>
      </c>
      <c r="I167" s="19" t="str">
        <f t="shared" si="42"/>
        <v/>
      </c>
      <c r="J167" s="19" t="str">
        <f t="shared" si="43"/>
        <v/>
      </c>
      <c r="K167" s="19">
        <f t="shared" si="44"/>
        <v>-260</v>
      </c>
      <c r="L167" s="19" t="str">
        <f t="shared" si="45"/>
        <v/>
      </c>
      <c r="M167" s="19" t="str">
        <f t="shared" si="40"/>
        <v/>
      </c>
      <c r="N167" s="22">
        <f t="shared" si="46"/>
        <v>-260</v>
      </c>
      <c r="O167" s="31"/>
    </row>
    <row r="168" spans="1:15" ht="20.100000000000001" hidden="1" customHeight="1">
      <c r="A168" s="7" t="s">
        <v>2603</v>
      </c>
      <c r="B168" s="44">
        <v>45974</v>
      </c>
      <c r="C168" t="s">
        <v>2618</v>
      </c>
      <c r="D168" s="4">
        <v>2936.46</v>
      </c>
      <c r="E168" s="65" t="s">
        <v>2427</v>
      </c>
      <c r="F168" s="131" t="s">
        <v>49</v>
      </c>
      <c r="G168" t="s">
        <v>345</v>
      </c>
      <c r="H168" s="19">
        <f t="shared" si="41"/>
        <v>-2936.46</v>
      </c>
      <c r="I168" s="19" t="str">
        <f t="shared" si="42"/>
        <v/>
      </c>
      <c r="J168" s="19" t="str">
        <f t="shared" si="43"/>
        <v/>
      </c>
      <c r="K168" s="19" t="str">
        <f t="shared" si="44"/>
        <v/>
      </c>
      <c r="L168" s="19" t="str">
        <f t="shared" si="45"/>
        <v/>
      </c>
      <c r="M168" s="19" t="str">
        <f t="shared" si="40"/>
        <v/>
      </c>
      <c r="N168" s="22">
        <f t="shared" si="46"/>
        <v>-2936.46</v>
      </c>
      <c r="O168" s="31"/>
    </row>
    <row r="169" spans="1:15" ht="20.100000000000001" hidden="1" customHeight="1">
      <c r="A169" s="7" t="s">
        <v>2603</v>
      </c>
      <c r="B169" s="44">
        <v>45975</v>
      </c>
      <c r="C169" t="s">
        <v>2548</v>
      </c>
      <c r="D169" s="4">
        <f>10400-937.7</f>
        <v>9462.2999999999993</v>
      </c>
      <c r="E169" s="65" t="s">
        <v>2527</v>
      </c>
      <c r="F169" s="131" t="s">
        <v>49</v>
      </c>
      <c r="G169" t="s">
        <v>345</v>
      </c>
      <c r="H169" s="19">
        <f t="shared" si="41"/>
        <v>9462.2999999999993</v>
      </c>
      <c r="I169" s="19" t="str">
        <f t="shared" si="42"/>
        <v/>
      </c>
      <c r="J169" s="19" t="str">
        <f t="shared" si="43"/>
        <v/>
      </c>
      <c r="K169" s="19" t="str">
        <f t="shared" si="44"/>
        <v/>
      </c>
      <c r="L169" s="19" t="str">
        <f t="shared" si="45"/>
        <v/>
      </c>
      <c r="M169" s="19"/>
      <c r="N169" s="22">
        <f t="shared" si="46"/>
        <v>9462.2999999999993</v>
      </c>
      <c r="O169" s="31" t="s">
        <v>2610</v>
      </c>
    </row>
    <row r="170" spans="1:15" ht="20.100000000000001" hidden="1" customHeight="1">
      <c r="A170" s="7" t="s">
        <v>2603</v>
      </c>
      <c r="B170" s="44" t="s">
        <v>2619</v>
      </c>
      <c r="C170" t="s">
        <v>2205</v>
      </c>
      <c r="D170" s="4">
        <f>7000/2</f>
        <v>3500</v>
      </c>
      <c r="E170" s="65" t="s">
        <v>2427</v>
      </c>
      <c r="G170" t="s">
        <v>2435</v>
      </c>
      <c r="H170" s="19" t="str">
        <f t="shared" si="41"/>
        <v/>
      </c>
      <c r="I170" s="19" t="str">
        <f t="shared" si="42"/>
        <v/>
      </c>
      <c r="J170" s="19" t="str">
        <f t="shared" si="43"/>
        <v/>
      </c>
      <c r="K170" s="19" t="str">
        <f t="shared" si="44"/>
        <v/>
      </c>
      <c r="L170" s="19" t="str">
        <f t="shared" si="45"/>
        <v/>
      </c>
      <c r="M170" s="19"/>
      <c r="N170" s="22" t="str">
        <f t="shared" si="46"/>
        <v>non ancora confermato</v>
      </c>
      <c r="O170" s="31"/>
    </row>
    <row r="171" spans="1:15" ht="20.100000000000001" hidden="1" customHeight="1">
      <c r="A171" s="7" t="s">
        <v>2603</v>
      </c>
      <c r="B171" s="44">
        <v>45979</v>
      </c>
      <c r="C171" t="s">
        <v>2548</v>
      </c>
      <c r="D171" s="4">
        <f>10400-937.7</f>
        <v>9462.2999999999993</v>
      </c>
      <c r="E171" s="65" t="s">
        <v>2527</v>
      </c>
      <c r="F171" s="131" t="s">
        <v>49</v>
      </c>
      <c r="G171" t="s">
        <v>345</v>
      </c>
      <c r="H171" s="19">
        <f t="shared" si="41"/>
        <v>9462.2999999999993</v>
      </c>
      <c r="I171" s="19" t="str">
        <f t="shared" si="42"/>
        <v/>
      </c>
      <c r="J171" s="19" t="str">
        <f t="shared" si="43"/>
        <v/>
      </c>
      <c r="K171" s="19" t="str">
        <f t="shared" si="44"/>
        <v/>
      </c>
      <c r="L171" s="19" t="str">
        <f t="shared" si="45"/>
        <v/>
      </c>
      <c r="M171" s="19"/>
      <c r="N171" s="22">
        <f t="shared" si="46"/>
        <v>9462.2999999999993</v>
      </c>
      <c r="O171" s="31" t="s">
        <v>2610</v>
      </c>
    </row>
    <row r="172" spans="1:15" ht="20.100000000000001" hidden="1" customHeight="1">
      <c r="A172" s="7" t="s">
        <v>2603</v>
      </c>
      <c r="B172" s="44">
        <v>45979</v>
      </c>
      <c r="C172" t="s">
        <v>2446</v>
      </c>
      <c r="D172" s="4">
        <v>830</v>
      </c>
      <c r="E172" s="65" t="s">
        <v>2427</v>
      </c>
      <c r="F172" s="131" t="s">
        <v>49</v>
      </c>
      <c r="G172" t="s">
        <v>345</v>
      </c>
      <c r="H172" s="19">
        <f t="shared" si="41"/>
        <v>-830</v>
      </c>
      <c r="I172" s="19" t="str">
        <f t="shared" si="42"/>
        <v/>
      </c>
      <c r="J172" s="19" t="str">
        <f t="shared" si="43"/>
        <v/>
      </c>
      <c r="K172" s="19" t="str">
        <f t="shared" si="44"/>
        <v/>
      </c>
      <c r="L172" s="19" t="str">
        <f t="shared" si="45"/>
        <v/>
      </c>
      <c r="M172" s="19"/>
      <c r="N172" s="22">
        <f t="shared" si="46"/>
        <v>-830</v>
      </c>
      <c r="O172" s="31" t="s">
        <v>2620</v>
      </c>
    </row>
    <row r="173" spans="1:15" ht="20.100000000000001" hidden="1" customHeight="1">
      <c r="A173" s="7" t="s">
        <v>2603</v>
      </c>
      <c r="B173" s="44">
        <v>45978</v>
      </c>
      <c r="C173" t="s">
        <v>2446</v>
      </c>
      <c r="D173" s="4">
        <f>7773+2000</f>
        <v>9773</v>
      </c>
      <c r="E173" s="65" t="s">
        <v>2427</v>
      </c>
      <c r="F173" s="131" t="s">
        <v>49</v>
      </c>
      <c r="G173" t="s">
        <v>345</v>
      </c>
      <c r="H173" s="19">
        <f t="shared" si="41"/>
        <v>-9773</v>
      </c>
      <c r="I173" s="19" t="str">
        <f t="shared" si="42"/>
        <v/>
      </c>
      <c r="J173" s="19" t="str">
        <f t="shared" si="43"/>
        <v/>
      </c>
      <c r="K173" s="19" t="str">
        <f t="shared" si="44"/>
        <v/>
      </c>
      <c r="L173" s="19" t="str">
        <f t="shared" si="45"/>
        <v/>
      </c>
      <c r="M173" s="19"/>
      <c r="N173" s="22">
        <f t="shared" si="46"/>
        <v>-9773</v>
      </c>
      <c r="O173" s="31" t="s">
        <v>2621</v>
      </c>
    </row>
    <row r="174" spans="1:15" ht="20.100000000000001" hidden="1" customHeight="1">
      <c r="A174" s="7" t="s">
        <v>2603</v>
      </c>
      <c r="B174" s="44">
        <v>45981</v>
      </c>
      <c r="C174" t="s">
        <v>2596</v>
      </c>
      <c r="D174" s="4">
        <v>16</v>
      </c>
      <c r="E174" s="65" t="s">
        <v>2427</v>
      </c>
      <c r="F174" s="131" t="s">
        <v>49</v>
      </c>
      <c r="G174" t="s">
        <v>345</v>
      </c>
      <c r="H174" s="19">
        <f t="shared" si="41"/>
        <v>-16</v>
      </c>
      <c r="I174" s="19" t="str">
        <f t="shared" si="42"/>
        <v/>
      </c>
      <c r="J174" s="19" t="str">
        <f t="shared" si="43"/>
        <v/>
      </c>
      <c r="K174" s="19" t="str">
        <f t="shared" si="44"/>
        <v/>
      </c>
      <c r="L174" s="19" t="str">
        <f t="shared" si="45"/>
        <v/>
      </c>
      <c r="M174" s="19"/>
      <c r="N174" s="22">
        <f t="shared" si="46"/>
        <v>-16</v>
      </c>
      <c r="O174" s="31" t="s">
        <v>2622</v>
      </c>
    </row>
    <row r="175" spans="1:15" ht="20.100000000000001" hidden="1" customHeight="1">
      <c r="A175" s="7" t="s">
        <v>2603</v>
      </c>
      <c r="B175" s="44">
        <v>45981</v>
      </c>
      <c r="C175" t="s">
        <v>2623</v>
      </c>
      <c r="D175" s="4">
        <f>31059.96-2800.49</f>
        <v>28259.47</v>
      </c>
      <c r="E175" s="65" t="s">
        <v>2527</v>
      </c>
      <c r="F175" s="131" t="s">
        <v>49</v>
      </c>
      <c r="G175" t="s">
        <v>296</v>
      </c>
      <c r="H175" s="19" t="str">
        <f t="shared" si="41"/>
        <v/>
      </c>
      <c r="I175" s="19" t="str">
        <f t="shared" si="42"/>
        <v/>
      </c>
      <c r="J175" s="19" t="str">
        <f t="shared" si="43"/>
        <v/>
      </c>
      <c r="K175" s="19" t="str">
        <f t="shared" si="44"/>
        <v/>
      </c>
      <c r="L175" s="19">
        <f t="shared" si="45"/>
        <v>28259.47</v>
      </c>
      <c r="M175" s="19"/>
      <c r="N175" s="22">
        <f t="shared" si="46"/>
        <v>28259.47</v>
      </c>
      <c r="O175" s="31" t="s">
        <v>2624</v>
      </c>
    </row>
    <row r="176" spans="1:15" ht="20.100000000000001" hidden="1" customHeight="1">
      <c r="A176" s="7" t="s">
        <v>2603</v>
      </c>
      <c r="B176" s="44">
        <v>45981</v>
      </c>
      <c r="C176" t="s">
        <v>2625</v>
      </c>
      <c r="D176" s="4">
        <v>2837</v>
      </c>
      <c r="E176" s="65" t="s">
        <v>2427</v>
      </c>
      <c r="F176" s="131" t="s">
        <v>49</v>
      </c>
      <c r="G176" t="s">
        <v>296</v>
      </c>
      <c r="H176" s="19" t="str">
        <f t="shared" si="41"/>
        <v/>
      </c>
      <c r="I176" s="19" t="str">
        <f t="shared" si="42"/>
        <v/>
      </c>
      <c r="J176" s="19" t="str">
        <f t="shared" si="43"/>
        <v/>
      </c>
      <c r="K176" s="19" t="str">
        <f t="shared" si="44"/>
        <v/>
      </c>
      <c r="L176" s="19">
        <f t="shared" si="45"/>
        <v>-2837</v>
      </c>
      <c r="M176" s="19"/>
      <c r="N176" s="22">
        <f t="shared" si="46"/>
        <v>-2837</v>
      </c>
      <c r="O176" s="31"/>
    </row>
    <row r="177" spans="1:15" ht="20.100000000000001" hidden="1" customHeight="1">
      <c r="A177" s="7" t="s">
        <v>2603</v>
      </c>
      <c r="B177" s="44">
        <v>45982</v>
      </c>
      <c r="C177" t="s">
        <v>2213</v>
      </c>
      <c r="D177" s="4">
        <v>758.4</v>
      </c>
      <c r="E177" s="65" t="s">
        <v>2427</v>
      </c>
      <c r="F177" s="131" t="s">
        <v>49</v>
      </c>
      <c r="G177" t="s">
        <v>345</v>
      </c>
      <c r="H177" s="19">
        <f t="shared" si="41"/>
        <v>-758.4</v>
      </c>
      <c r="I177" s="19" t="str">
        <f t="shared" si="42"/>
        <v/>
      </c>
      <c r="J177" s="19" t="str">
        <f t="shared" si="43"/>
        <v/>
      </c>
      <c r="K177" s="19" t="str">
        <f t="shared" si="44"/>
        <v/>
      </c>
      <c r="L177" s="19" t="str">
        <f t="shared" si="45"/>
        <v/>
      </c>
      <c r="M177" s="19"/>
      <c r="N177" s="22">
        <f t="shared" si="46"/>
        <v>-758.4</v>
      </c>
      <c r="O177" s="31" t="s">
        <v>197</v>
      </c>
    </row>
    <row r="178" spans="1:15" ht="20.100000000000001" hidden="1" customHeight="1">
      <c r="A178" s="7" t="s">
        <v>2603</v>
      </c>
      <c r="B178" s="44">
        <v>45991</v>
      </c>
      <c r="C178" t="s">
        <v>2626</v>
      </c>
      <c r="D178" s="4">
        <v>187.31</v>
      </c>
      <c r="E178" s="65" t="s">
        <v>2427</v>
      </c>
      <c r="F178" s="131" t="s">
        <v>49</v>
      </c>
      <c r="G178" t="s">
        <v>345</v>
      </c>
      <c r="H178" s="19">
        <f t="shared" si="41"/>
        <v>-187.31</v>
      </c>
      <c r="I178" s="19" t="str">
        <f t="shared" si="42"/>
        <v/>
      </c>
      <c r="J178" s="19" t="str">
        <f t="shared" si="43"/>
        <v/>
      </c>
      <c r="K178" s="19" t="str">
        <f t="shared" si="44"/>
        <v/>
      </c>
      <c r="L178" s="19" t="str">
        <f t="shared" si="45"/>
        <v/>
      </c>
      <c r="M178" s="19"/>
      <c r="N178" s="22">
        <f t="shared" si="46"/>
        <v>-187.31</v>
      </c>
      <c r="O178" s="31" t="s">
        <v>2627</v>
      </c>
    </row>
    <row r="179" spans="1:15" ht="20.100000000000001" hidden="1" customHeight="1">
      <c r="A179" s="7" t="s">
        <v>2603</v>
      </c>
      <c r="B179" s="44">
        <v>45981</v>
      </c>
      <c r="C179" t="s">
        <v>2628</v>
      </c>
      <c r="D179" s="4">
        <v>2726.63</v>
      </c>
      <c r="E179" s="65" t="s">
        <v>2427</v>
      </c>
      <c r="F179" s="131" t="s">
        <v>49</v>
      </c>
      <c r="G179" t="s">
        <v>345</v>
      </c>
      <c r="H179" s="19">
        <f t="shared" si="41"/>
        <v>-2726.63</v>
      </c>
      <c r="I179" s="19" t="str">
        <f t="shared" si="42"/>
        <v/>
      </c>
      <c r="J179" s="19" t="str">
        <f t="shared" si="43"/>
        <v/>
      </c>
      <c r="K179" s="19" t="str">
        <f t="shared" si="44"/>
        <v/>
      </c>
      <c r="L179" s="19" t="str">
        <f t="shared" si="45"/>
        <v/>
      </c>
      <c r="M179" s="19"/>
      <c r="N179" s="22">
        <f t="shared" si="46"/>
        <v>-2726.63</v>
      </c>
      <c r="O179" s="31" t="s">
        <v>2629</v>
      </c>
    </row>
    <row r="180" spans="1:15" ht="20.100000000000001" hidden="1" customHeight="1">
      <c r="A180" s="7" t="s">
        <v>2603</v>
      </c>
      <c r="B180" s="44">
        <v>45981</v>
      </c>
      <c r="C180" t="s">
        <v>2630</v>
      </c>
      <c r="D180" s="4">
        <v>219.6</v>
      </c>
      <c r="E180" s="65" t="s">
        <v>2427</v>
      </c>
      <c r="F180" s="131" t="s">
        <v>49</v>
      </c>
      <c r="G180" t="s">
        <v>345</v>
      </c>
      <c r="H180" s="19">
        <f t="shared" si="41"/>
        <v>-219.6</v>
      </c>
      <c r="I180" s="19" t="str">
        <f t="shared" si="42"/>
        <v/>
      </c>
      <c r="J180" s="19" t="str">
        <f t="shared" si="43"/>
        <v/>
      </c>
      <c r="K180" s="19" t="str">
        <f t="shared" si="44"/>
        <v/>
      </c>
      <c r="L180" s="19" t="str">
        <f t="shared" si="45"/>
        <v/>
      </c>
      <c r="M180" s="19"/>
      <c r="N180" s="22">
        <f t="shared" si="46"/>
        <v>-219.6</v>
      </c>
      <c r="O180" s="31"/>
    </row>
    <row r="181" spans="1:15" ht="20.100000000000001" hidden="1" customHeight="1">
      <c r="A181" s="7" t="s">
        <v>2603</v>
      </c>
      <c r="B181" s="44">
        <v>45981</v>
      </c>
      <c r="C181" t="s">
        <v>2631</v>
      </c>
      <c r="D181" s="4">
        <v>2192</v>
      </c>
      <c r="E181" s="65" t="s">
        <v>2427</v>
      </c>
      <c r="F181" s="131" t="s">
        <v>49</v>
      </c>
      <c r="G181" t="s">
        <v>345</v>
      </c>
      <c r="H181" s="19">
        <f t="shared" si="41"/>
        <v>-2192</v>
      </c>
      <c r="I181" s="19" t="str">
        <f t="shared" si="42"/>
        <v/>
      </c>
      <c r="J181" s="19" t="str">
        <f t="shared" si="43"/>
        <v/>
      </c>
      <c r="K181" s="19" t="str">
        <f t="shared" si="44"/>
        <v/>
      </c>
      <c r="L181" s="19" t="str">
        <f t="shared" si="45"/>
        <v/>
      </c>
      <c r="M181" s="19"/>
      <c r="N181" s="22">
        <f t="shared" si="46"/>
        <v>-2192</v>
      </c>
      <c r="O181" s="31"/>
    </row>
    <row r="182" spans="1:15" ht="20.100000000000001" hidden="1" customHeight="1">
      <c r="A182" s="7" t="s">
        <v>2525</v>
      </c>
      <c r="B182" s="44">
        <v>45985</v>
      </c>
      <c r="C182" t="s">
        <v>2632</v>
      </c>
      <c r="D182" s="4">
        <v>550</v>
      </c>
      <c r="E182" s="65" t="s">
        <v>2427</v>
      </c>
      <c r="F182" s="131" t="s">
        <v>49</v>
      </c>
      <c r="G182" t="s">
        <v>345</v>
      </c>
      <c r="H182" s="19">
        <f t="shared" si="41"/>
        <v>-550</v>
      </c>
      <c r="I182" s="19" t="str">
        <f t="shared" si="42"/>
        <v/>
      </c>
      <c r="J182" s="19" t="str">
        <f t="shared" si="43"/>
        <v/>
      </c>
      <c r="K182" s="19" t="str">
        <f t="shared" si="44"/>
        <v/>
      </c>
      <c r="L182" s="19" t="str">
        <f t="shared" si="45"/>
        <v/>
      </c>
      <c r="M182" s="19" t="str">
        <f>IF(AND($F182="X",$G182="CASSA"),IF($E182="U",-$D182,$D182),"")</f>
        <v/>
      </c>
      <c r="N182" s="22">
        <f t="shared" si="46"/>
        <v>-550</v>
      </c>
      <c r="O182" s="31"/>
    </row>
    <row r="183" spans="1:15" ht="20.100000000000001" hidden="1" customHeight="1">
      <c r="A183" s="7" t="s">
        <v>2525</v>
      </c>
      <c r="B183" s="44">
        <v>45985</v>
      </c>
      <c r="C183" t="s">
        <v>2632</v>
      </c>
      <c r="D183" s="4">
        <v>550</v>
      </c>
      <c r="E183" s="65" t="s">
        <v>2527</v>
      </c>
      <c r="F183" s="131" t="s">
        <v>49</v>
      </c>
      <c r="G183" t="s">
        <v>2434</v>
      </c>
      <c r="H183" s="19" t="str">
        <f t="shared" si="41"/>
        <v/>
      </c>
      <c r="I183" s="19">
        <f t="shared" si="42"/>
        <v>550</v>
      </c>
      <c r="J183" s="19" t="str">
        <f t="shared" si="43"/>
        <v/>
      </c>
      <c r="K183" s="19" t="str">
        <f t="shared" si="44"/>
        <v/>
      </c>
      <c r="L183" s="19" t="str">
        <f t="shared" si="45"/>
        <v/>
      </c>
      <c r="M183" s="19" t="str">
        <f>IF(AND($F183="X",$G183="CASSA"),IF($E183="U",-$D183,$D183),"")</f>
        <v/>
      </c>
      <c r="N183" s="22">
        <f t="shared" si="46"/>
        <v>550</v>
      </c>
      <c r="O183" s="31"/>
    </row>
    <row r="184" spans="1:15" ht="20.100000000000001" hidden="1" customHeight="1">
      <c r="A184" s="7" t="s">
        <v>2603</v>
      </c>
      <c r="B184" s="44">
        <v>45985</v>
      </c>
      <c r="C184" t="s">
        <v>2596</v>
      </c>
      <c r="D184" s="4">
        <v>176.5</v>
      </c>
      <c r="E184" s="65" t="s">
        <v>2427</v>
      </c>
      <c r="F184" s="131" t="s">
        <v>49</v>
      </c>
      <c r="G184" t="s">
        <v>345</v>
      </c>
      <c r="H184" s="19">
        <f t="shared" si="41"/>
        <v>-176.5</v>
      </c>
      <c r="I184" s="19" t="str">
        <f t="shared" si="42"/>
        <v/>
      </c>
      <c r="J184" s="19" t="str">
        <f t="shared" si="43"/>
        <v/>
      </c>
      <c r="K184" s="19" t="str">
        <f t="shared" si="44"/>
        <v/>
      </c>
      <c r="L184" s="19" t="str">
        <f t="shared" si="45"/>
        <v/>
      </c>
      <c r="M184" s="19" t="str">
        <f>IF(AND($F184="X",$G184="CASSA"),IF($E184="U",-$D184,$D184),"")</f>
        <v/>
      </c>
      <c r="N184" s="22">
        <f t="shared" si="46"/>
        <v>-176.5</v>
      </c>
      <c r="O184" s="31" t="s">
        <v>2633</v>
      </c>
    </row>
    <row r="185" spans="1:15" ht="20.100000000000001" hidden="1" customHeight="1">
      <c r="A185" s="7" t="s">
        <v>2603</v>
      </c>
      <c r="B185" s="44">
        <v>45985</v>
      </c>
      <c r="C185" t="s">
        <v>2596</v>
      </c>
      <c r="D185" s="4">
        <v>5.27</v>
      </c>
      <c r="E185" s="65" t="s">
        <v>2427</v>
      </c>
      <c r="F185" s="131" t="s">
        <v>49</v>
      </c>
      <c r="G185" t="s">
        <v>345</v>
      </c>
      <c r="H185" s="19">
        <f t="shared" si="41"/>
        <v>-5.27</v>
      </c>
      <c r="I185" s="19" t="str">
        <f t="shared" si="42"/>
        <v/>
      </c>
      <c r="J185" s="19" t="str">
        <f t="shared" si="43"/>
        <v/>
      </c>
      <c r="K185" s="19" t="str">
        <f t="shared" si="44"/>
        <v/>
      </c>
      <c r="L185" s="19" t="str">
        <f t="shared" si="45"/>
        <v/>
      </c>
      <c r="M185" s="19" t="str">
        <f>IF(AND($F185="X",$G185="CASSA"),IF($E185="U",-$D185,$D185),"")</f>
        <v/>
      </c>
      <c r="N185" s="22">
        <f t="shared" si="46"/>
        <v>-5.27</v>
      </c>
      <c r="O185" s="31" t="s">
        <v>2634</v>
      </c>
    </row>
    <row r="186" spans="1:15" ht="20.100000000000001" hidden="1" customHeight="1">
      <c r="A186" s="7" t="s">
        <v>2603</v>
      </c>
      <c r="B186" s="44">
        <v>45985</v>
      </c>
      <c r="C186" t="s">
        <v>2596</v>
      </c>
      <c r="D186" s="4">
        <v>698.1</v>
      </c>
      <c r="E186" s="65" t="s">
        <v>2427</v>
      </c>
      <c r="F186" s="131" t="s">
        <v>49</v>
      </c>
      <c r="G186" t="s">
        <v>345</v>
      </c>
      <c r="H186" s="19">
        <f t="shared" si="41"/>
        <v>-698.1</v>
      </c>
      <c r="I186" s="19" t="str">
        <f t="shared" si="42"/>
        <v/>
      </c>
      <c r="J186" s="19" t="str">
        <f t="shared" si="43"/>
        <v/>
      </c>
      <c r="K186" s="19" t="str">
        <f t="shared" si="44"/>
        <v/>
      </c>
      <c r="L186" s="19" t="str">
        <f t="shared" si="45"/>
        <v/>
      </c>
      <c r="M186" s="19" t="str">
        <f>IF(AND($F186="X",$G186="CASSA"),IF($E186="U",-$D186,$D186),"")</f>
        <v/>
      </c>
      <c r="N186" s="22">
        <f t="shared" si="46"/>
        <v>-698.1</v>
      </c>
      <c r="O186" s="31" t="s">
        <v>2635</v>
      </c>
    </row>
    <row r="187" spans="1:15" ht="20.100000000000001" hidden="1" customHeight="1">
      <c r="A187" s="7" t="s">
        <v>2603</v>
      </c>
      <c r="B187" s="44" t="s">
        <v>2613</v>
      </c>
      <c r="C187" t="s">
        <v>2289</v>
      </c>
      <c r="D187" s="4">
        <v>11190</v>
      </c>
      <c r="E187" s="65" t="s">
        <v>2427</v>
      </c>
      <c r="G187" t="s">
        <v>2435</v>
      </c>
      <c r="H187" s="19" t="str">
        <f t="shared" si="41"/>
        <v/>
      </c>
      <c r="I187" s="19" t="str">
        <f t="shared" si="42"/>
        <v/>
      </c>
      <c r="J187" s="19" t="str">
        <f t="shared" si="43"/>
        <v/>
      </c>
      <c r="K187" s="19" t="str">
        <f t="shared" si="44"/>
        <v/>
      </c>
      <c r="L187" s="19" t="str">
        <f t="shared" si="45"/>
        <v/>
      </c>
      <c r="M187" s="19"/>
      <c r="N187" s="22" t="str">
        <f t="shared" si="46"/>
        <v>non ancora confermato</v>
      </c>
      <c r="O187" s="31"/>
    </row>
    <row r="188" spans="1:15" ht="20.100000000000001" hidden="1" customHeight="1">
      <c r="A188" s="7" t="s">
        <v>2603</v>
      </c>
      <c r="B188" s="44">
        <v>45986</v>
      </c>
      <c r="C188" t="s">
        <v>2586</v>
      </c>
      <c r="D188" s="4">
        <v>1592.63</v>
      </c>
      <c r="E188" s="65" t="s">
        <v>2427</v>
      </c>
      <c r="F188" s="131" t="s">
        <v>49</v>
      </c>
      <c r="G188" t="s">
        <v>345</v>
      </c>
      <c r="H188" s="19">
        <f t="shared" si="41"/>
        <v>-1592.63</v>
      </c>
      <c r="I188" s="19" t="str">
        <f t="shared" si="42"/>
        <v/>
      </c>
      <c r="J188" s="19" t="str">
        <f t="shared" si="43"/>
        <v/>
      </c>
      <c r="K188" s="19" t="str">
        <f t="shared" si="44"/>
        <v/>
      </c>
      <c r="L188" s="19" t="str">
        <f t="shared" si="45"/>
        <v/>
      </c>
      <c r="M188" s="19" t="str">
        <f>IF(AND($F188="X",$G188="CASSA"),IF($E188="U",-$D188,$D188),"")</f>
        <v/>
      </c>
      <c r="N188" s="22">
        <f t="shared" si="46"/>
        <v>-1592.63</v>
      </c>
      <c r="O188" s="31"/>
    </row>
    <row r="189" spans="1:15" ht="20.100000000000001" hidden="1" customHeight="1">
      <c r="A189" s="7" t="s">
        <v>2603</v>
      </c>
      <c r="B189" s="44">
        <v>45986</v>
      </c>
      <c r="C189" t="s">
        <v>2548</v>
      </c>
      <c r="D189" s="4">
        <f>10400-937.7</f>
        <v>9462.2999999999993</v>
      </c>
      <c r="E189" s="65" t="s">
        <v>2527</v>
      </c>
      <c r="F189" s="131" t="s">
        <v>49</v>
      </c>
      <c r="G189" t="s">
        <v>345</v>
      </c>
      <c r="H189" s="19">
        <f t="shared" si="41"/>
        <v>9462.2999999999993</v>
      </c>
      <c r="I189" s="19" t="str">
        <f t="shared" si="42"/>
        <v/>
      </c>
      <c r="J189" s="19" t="str">
        <f t="shared" si="43"/>
        <v/>
      </c>
      <c r="K189" s="19" t="str">
        <f t="shared" si="44"/>
        <v/>
      </c>
      <c r="L189" s="19" t="str">
        <f t="shared" si="45"/>
        <v/>
      </c>
      <c r="M189" s="19"/>
      <c r="N189" s="22">
        <f t="shared" si="46"/>
        <v>9462.2999999999993</v>
      </c>
      <c r="O189" s="31" t="s">
        <v>2610</v>
      </c>
    </row>
    <row r="190" spans="1:15" ht="20.100000000000001" hidden="1" customHeight="1">
      <c r="A190" s="7" t="s">
        <v>2603</v>
      </c>
      <c r="B190" s="44">
        <v>45986</v>
      </c>
      <c r="C190" t="s">
        <v>2636</v>
      </c>
      <c r="D190" s="4">
        <v>1830</v>
      </c>
      <c r="E190" s="65" t="s">
        <v>2527</v>
      </c>
      <c r="F190" s="131" t="s">
        <v>49</v>
      </c>
      <c r="G190" t="s">
        <v>345</v>
      </c>
      <c r="H190" s="19">
        <f t="shared" si="41"/>
        <v>1830</v>
      </c>
      <c r="I190" s="19" t="str">
        <f t="shared" si="42"/>
        <v/>
      </c>
      <c r="J190" s="19" t="str">
        <f t="shared" si="43"/>
        <v/>
      </c>
      <c r="K190" s="19" t="str">
        <f t="shared" si="44"/>
        <v/>
      </c>
      <c r="L190" s="19" t="str">
        <f t="shared" si="45"/>
        <v/>
      </c>
      <c r="M190" s="19"/>
      <c r="N190" s="22">
        <f t="shared" si="46"/>
        <v>1830</v>
      </c>
      <c r="O190" s="31"/>
    </row>
    <row r="191" spans="1:15" ht="20.100000000000001" hidden="1" customHeight="1">
      <c r="A191" s="7" t="s">
        <v>2603</v>
      </c>
      <c r="B191" s="44">
        <v>45986</v>
      </c>
      <c r="C191" t="s">
        <v>2637</v>
      </c>
      <c r="D191" s="4">
        <v>892.25</v>
      </c>
      <c r="E191" s="65" t="s">
        <v>2427</v>
      </c>
      <c r="F191" s="131" t="s">
        <v>49</v>
      </c>
      <c r="G191" t="s">
        <v>345</v>
      </c>
      <c r="H191" s="19">
        <f t="shared" si="41"/>
        <v>-892.25</v>
      </c>
      <c r="I191" s="19" t="str">
        <f t="shared" si="42"/>
        <v/>
      </c>
      <c r="J191" s="19" t="str">
        <f t="shared" si="43"/>
        <v/>
      </c>
      <c r="K191" s="19" t="str">
        <f t="shared" si="44"/>
        <v/>
      </c>
      <c r="L191" s="19" t="str">
        <f t="shared" si="45"/>
        <v/>
      </c>
      <c r="M191" s="19"/>
      <c r="N191" s="22">
        <f t="shared" si="46"/>
        <v>-892.25</v>
      </c>
      <c r="O191" s="31" t="s">
        <v>2638</v>
      </c>
    </row>
    <row r="192" spans="1:15" ht="20.100000000000001" hidden="1" customHeight="1">
      <c r="A192" s="7" t="s">
        <v>2603</v>
      </c>
      <c r="B192" s="44">
        <v>45988</v>
      </c>
      <c r="C192" t="s">
        <v>2639</v>
      </c>
      <c r="D192" s="4">
        <v>20000</v>
      </c>
      <c r="E192" s="65" t="s">
        <v>2427</v>
      </c>
      <c r="F192" s="131" t="s">
        <v>49</v>
      </c>
      <c r="G192" t="s">
        <v>345</v>
      </c>
      <c r="H192" s="19">
        <f t="shared" si="41"/>
        <v>-20000</v>
      </c>
      <c r="I192" s="19" t="str">
        <f t="shared" si="42"/>
        <v/>
      </c>
      <c r="J192" s="19" t="str">
        <f t="shared" si="43"/>
        <v/>
      </c>
      <c r="K192" s="19" t="str">
        <f t="shared" si="44"/>
        <v/>
      </c>
      <c r="L192" s="19" t="str">
        <f t="shared" si="45"/>
        <v/>
      </c>
      <c r="M192" s="19" t="str">
        <f>IF(AND($F192="X",$G192="CASSA"),IF($E192="U",-$D192,$D192),"")</f>
        <v/>
      </c>
      <c r="N192" s="22">
        <f t="shared" si="46"/>
        <v>-20000</v>
      </c>
      <c r="O192" s="31"/>
    </row>
    <row r="193" spans="1:15" ht="45" hidden="1" customHeight="1">
      <c r="A193" s="7" t="s">
        <v>2603</v>
      </c>
      <c r="B193" s="44">
        <v>45987</v>
      </c>
      <c r="C193" t="s">
        <v>2596</v>
      </c>
      <c r="D193" s="4">
        <v>870</v>
      </c>
      <c r="E193" s="65" t="s">
        <v>2427</v>
      </c>
      <c r="F193" s="131" t="s">
        <v>49</v>
      </c>
      <c r="G193" t="s">
        <v>345</v>
      </c>
      <c r="H193" s="19">
        <f t="shared" si="41"/>
        <v>-870</v>
      </c>
      <c r="I193" s="19" t="str">
        <f t="shared" si="42"/>
        <v/>
      </c>
      <c r="J193" s="19" t="str">
        <f t="shared" si="43"/>
        <v/>
      </c>
      <c r="K193" s="19" t="str">
        <f t="shared" si="44"/>
        <v/>
      </c>
      <c r="L193" s="19" t="str">
        <f t="shared" si="45"/>
        <v/>
      </c>
      <c r="M193" s="19"/>
      <c r="N193" s="22">
        <f t="shared" si="46"/>
        <v>-870</v>
      </c>
      <c r="O193" s="145" t="s">
        <v>2640</v>
      </c>
    </row>
    <row r="194" spans="1:15" hidden="1">
      <c r="A194" s="7" t="s">
        <v>2603</v>
      </c>
      <c r="B194" s="44">
        <v>45987</v>
      </c>
      <c r="C194" t="s">
        <v>2592</v>
      </c>
      <c r="D194" s="4">
        <v>377.55</v>
      </c>
      <c r="E194" s="65" t="s">
        <v>2427</v>
      </c>
      <c r="F194" s="131" t="s">
        <v>49</v>
      </c>
      <c r="G194" t="s">
        <v>345</v>
      </c>
      <c r="H194" s="19">
        <f t="shared" ref="H194:H217" si="47">IF(AND($F194="X",$G194="BCC"),IF($E194="U",-$D194,$D194),"")</f>
        <v>-377.55</v>
      </c>
      <c r="I194" s="19" t="str">
        <f t="shared" ref="I194:I217" si="48">IF(AND($F194="X",$G194="INTESA"),IF($E194="U",-$D194,$D194),"")</f>
        <v/>
      </c>
      <c r="J194" s="19" t="str">
        <f t="shared" ref="J194:J217" si="49">IF(AND($F194="X",$G194="BPM"),IF($E194="U",-$D194,$D194),"")</f>
        <v/>
      </c>
      <c r="K194" s="19" t="str">
        <f t="shared" ref="K194:K217" si="50">IF(AND($F194="X",$G194="SONDRIO"),IF($E194="U",-$D194,$D194),"")</f>
        <v/>
      </c>
      <c r="L194" s="19" t="str">
        <f t="shared" ref="L194:L217" si="51">IF(AND($F194="X",$G194="BPER"),IF($E194="U",-$D194,$D194),"")</f>
        <v/>
      </c>
      <c r="M194" s="19"/>
      <c r="N194" s="22">
        <f t="shared" ref="N194:N217" si="52">IF(F194="X",IF(E194="U",-D194,D194),"non ancora confermato")</f>
        <v>-377.55</v>
      </c>
      <c r="O194" s="145"/>
    </row>
    <row r="195" spans="1:15" ht="60" hidden="1" customHeight="1">
      <c r="A195" s="7" t="s">
        <v>2603</v>
      </c>
      <c r="B195" s="44">
        <v>45987</v>
      </c>
      <c r="C195" t="s">
        <v>2637</v>
      </c>
      <c r="D195" s="4">
        <v>214.46</v>
      </c>
      <c r="E195" s="65" t="s">
        <v>2527</v>
      </c>
      <c r="F195" s="131" t="s">
        <v>49</v>
      </c>
      <c r="G195" t="s">
        <v>345</v>
      </c>
      <c r="H195" s="19">
        <f t="shared" si="47"/>
        <v>214.46</v>
      </c>
      <c r="I195" s="19" t="str">
        <f t="shared" si="48"/>
        <v/>
      </c>
      <c r="J195" s="19" t="str">
        <f t="shared" si="49"/>
        <v/>
      </c>
      <c r="K195" s="19" t="str">
        <f t="shared" si="50"/>
        <v/>
      </c>
      <c r="L195" s="19" t="str">
        <f t="shared" si="51"/>
        <v/>
      </c>
      <c r="M195" s="19"/>
      <c r="N195" s="22">
        <f t="shared" si="52"/>
        <v>214.46</v>
      </c>
      <c r="O195" s="145" t="s">
        <v>2641</v>
      </c>
    </row>
    <row r="196" spans="1:15" ht="20.100000000000001" hidden="1" customHeight="1">
      <c r="A196" s="7" t="s">
        <v>2603</v>
      </c>
      <c r="B196" s="44">
        <v>45989</v>
      </c>
      <c r="C196" t="s">
        <v>2180</v>
      </c>
      <c r="D196" s="4">
        <v>10000</v>
      </c>
      <c r="E196" s="65" t="s">
        <v>2427</v>
      </c>
      <c r="F196" s="131" t="s">
        <v>49</v>
      </c>
      <c r="G196" t="s">
        <v>345</v>
      </c>
      <c r="H196" s="19">
        <f t="shared" si="47"/>
        <v>-10000</v>
      </c>
      <c r="I196" s="19" t="str">
        <f t="shared" si="48"/>
        <v/>
      </c>
      <c r="J196" s="19" t="str">
        <f t="shared" si="49"/>
        <v/>
      </c>
      <c r="K196" s="19" t="str">
        <f t="shared" si="50"/>
        <v/>
      </c>
      <c r="L196" s="19" t="str">
        <f t="shared" si="51"/>
        <v/>
      </c>
      <c r="M196" s="19"/>
      <c r="N196" s="22">
        <f t="shared" si="52"/>
        <v>-10000</v>
      </c>
      <c r="O196" s="31"/>
    </row>
    <row r="197" spans="1:15" ht="20.100000000000001" hidden="1" customHeight="1">
      <c r="A197" s="7" t="s">
        <v>2603</v>
      </c>
      <c r="B197" s="44">
        <v>45988</v>
      </c>
      <c r="C197" t="s">
        <v>2642</v>
      </c>
      <c r="D197" s="4">
        <v>10000</v>
      </c>
      <c r="E197" s="65" t="s">
        <v>2427</v>
      </c>
      <c r="F197" s="131" t="s">
        <v>49</v>
      </c>
      <c r="G197" t="s">
        <v>296</v>
      </c>
      <c r="H197" s="19" t="str">
        <f t="shared" si="47"/>
        <v/>
      </c>
      <c r="I197" s="19" t="str">
        <f t="shared" si="48"/>
        <v/>
      </c>
      <c r="J197" s="19" t="str">
        <f t="shared" si="49"/>
        <v/>
      </c>
      <c r="K197" s="19" t="str">
        <f t="shared" si="50"/>
        <v/>
      </c>
      <c r="L197" s="19">
        <f t="shared" si="51"/>
        <v>-10000</v>
      </c>
      <c r="M197" s="19"/>
      <c r="N197" s="22">
        <f t="shared" si="52"/>
        <v>-10000</v>
      </c>
      <c r="O197" s="31"/>
    </row>
    <row r="198" spans="1:15" ht="20.100000000000001" hidden="1" customHeight="1">
      <c r="A198" s="7" t="s">
        <v>2603</v>
      </c>
      <c r="B198" s="44">
        <v>45991</v>
      </c>
      <c r="C198" t="s">
        <v>2600</v>
      </c>
      <c r="D198" s="4">
        <v>16000</v>
      </c>
      <c r="E198" s="65" t="s">
        <v>2427</v>
      </c>
      <c r="F198" s="131" t="s">
        <v>49</v>
      </c>
      <c r="G198" t="s">
        <v>345</v>
      </c>
      <c r="H198" s="19">
        <f t="shared" si="47"/>
        <v>-16000</v>
      </c>
      <c r="I198" s="19" t="str">
        <f t="shared" si="48"/>
        <v/>
      </c>
      <c r="J198" s="19" t="str">
        <f t="shared" si="49"/>
        <v/>
      </c>
      <c r="K198" s="19" t="str">
        <f t="shared" si="50"/>
        <v/>
      </c>
      <c r="L198" s="19" t="str">
        <f t="shared" si="51"/>
        <v/>
      </c>
      <c r="M198" s="19"/>
      <c r="N198" s="22">
        <f t="shared" si="52"/>
        <v>-16000</v>
      </c>
      <c r="O198" s="31"/>
    </row>
    <row r="199" spans="1:15" ht="30" hidden="1" customHeight="1">
      <c r="A199" s="7" t="s">
        <v>2603</v>
      </c>
      <c r="B199" s="44" t="s">
        <v>2613</v>
      </c>
      <c r="C199" t="s">
        <v>2144</v>
      </c>
      <c r="D199" s="4">
        <v>1423</v>
      </c>
      <c r="E199" s="65" t="s">
        <v>2427</v>
      </c>
      <c r="F199" s="131" t="s">
        <v>49</v>
      </c>
      <c r="G199" t="s">
        <v>345</v>
      </c>
      <c r="H199" s="19">
        <f t="shared" si="47"/>
        <v>-1423</v>
      </c>
      <c r="I199" s="19" t="str">
        <f t="shared" si="48"/>
        <v/>
      </c>
      <c r="J199" s="19" t="str">
        <f t="shared" si="49"/>
        <v/>
      </c>
      <c r="K199" s="19" t="str">
        <f t="shared" si="50"/>
        <v/>
      </c>
      <c r="L199" s="19" t="str">
        <f t="shared" si="51"/>
        <v/>
      </c>
      <c r="M199" s="19"/>
      <c r="N199" s="22">
        <f t="shared" si="52"/>
        <v>-1423</v>
      </c>
      <c r="O199" s="145" t="s">
        <v>2643</v>
      </c>
    </row>
    <row r="200" spans="1:15" hidden="1">
      <c r="A200" s="7" t="s">
        <v>2603</v>
      </c>
      <c r="B200" s="44">
        <v>45989</v>
      </c>
      <c r="C200" t="s">
        <v>2644</v>
      </c>
      <c r="D200" s="4">
        <v>406.94</v>
      </c>
      <c r="E200" s="65" t="s">
        <v>2427</v>
      </c>
      <c r="F200" s="131" t="s">
        <v>49</v>
      </c>
      <c r="G200" t="s">
        <v>345</v>
      </c>
      <c r="H200" s="19">
        <f t="shared" si="47"/>
        <v>-406.94</v>
      </c>
      <c r="I200" s="19" t="str">
        <f t="shared" si="48"/>
        <v/>
      </c>
      <c r="J200" s="19" t="str">
        <f t="shared" si="49"/>
        <v/>
      </c>
      <c r="K200" s="19" t="str">
        <f t="shared" si="50"/>
        <v/>
      </c>
      <c r="L200" s="19" t="str">
        <f t="shared" si="51"/>
        <v/>
      </c>
      <c r="M200" s="19"/>
      <c r="N200" s="22">
        <f t="shared" si="52"/>
        <v>-406.94</v>
      </c>
      <c r="O200" s="145"/>
    </row>
    <row r="201" spans="1:15" ht="20.100000000000001" hidden="1" customHeight="1">
      <c r="A201" s="7" t="s">
        <v>2603</v>
      </c>
      <c r="B201" s="44">
        <v>45979</v>
      </c>
      <c r="C201" t="s">
        <v>2331</v>
      </c>
      <c r="D201" s="4">
        <f>65000/5</f>
        <v>13000</v>
      </c>
      <c r="E201" s="65" t="s">
        <v>2427</v>
      </c>
      <c r="F201" s="131" t="s">
        <v>49</v>
      </c>
      <c r="G201" t="s">
        <v>2435</v>
      </c>
      <c r="H201" s="19" t="str">
        <f t="shared" si="47"/>
        <v/>
      </c>
      <c r="I201" s="19" t="str">
        <f t="shared" si="48"/>
        <v/>
      </c>
      <c r="J201" s="19" t="str">
        <f t="shared" si="49"/>
        <v/>
      </c>
      <c r="K201" s="19">
        <f t="shared" si="50"/>
        <v>-13000</v>
      </c>
      <c r="L201" s="19" t="str">
        <f t="shared" si="51"/>
        <v/>
      </c>
      <c r="M201" s="19"/>
      <c r="N201" s="22">
        <f t="shared" si="52"/>
        <v>-13000</v>
      </c>
      <c r="O201" s="31"/>
    </row>
    <row r="202" spans="1:15" ht="20.100000000000001" hidden="1" customHeight="1">
      <c r="A202" s="7" t="s">
        <v>2603</v>
      </c>
      <c r="B202" s="44">
        <v>45979</v>
      </c>
      <c r="C202" t="s">
        <v>2645</v>
      </c>
      <c r="D202" s="4">
        <v>2787</v>
      </c>
      <c r="E202" s="65" t="s">
        <v>2427</v>
      </c>
      <c r="F202" s="131" t="s">
        <v>49</v>
      </c>
      <c r="G202" t="s">
        <v>2435</v>
      </c>
      <c r="H202" s="19" t="str">
        <f t="shared" si="47"/>
        <v/>
      </c>
      <c r="I202" s="19" t="str">
        <f t="shared" si="48"/>
        <v/>
      </c>
      <c r="J202" s="19" t="str">
        <f t="shared" si="49"/>
        <v/>
      </c>
      <c r="K202" s="19">
        <f t="shared" si="50"/>
        <v>-2787</v>
      </c>
      <c r="L202" s="19" t="str">
        <f t="shared" si="51"/>
        <v/>
      </c>
      <c r="M202" s="19"/>
      <c r="N202" s="22">
        <f t="shared" si="52"/>
        <v>-2787</v>
      </c>
      <c r="O202" s="31"/>
    </row>
    <row r="203" spans="1:15" ht="20.100000000000001" hidden="1" customHeight="1">
      <c r="A203" s="7" t="s">
        <v>2603</v>
      </c>
      <c r="B203" s="44">
        <v>45991</v>
      </c>
      <c r="C203" t="s">
        <v>2515</v>
      </c>
      <c r="D203" s="4">
        <v>175.22</v>
      </c>
      <c r="E203" s="65" t="s">
        <v>2427</v>
      </c>
      <c r="F203" s="131" t="s">
        <v>49</v>
      </c>
      <c r="G203" t="s">
        <v>2435</v>
      </c>
      <c r="H203" s="19" t="str">
        <f t="shared" si="47"/>
        <v/>
      </c>
      <c r="I203" s="19" t="str">
        <f t="shared" si="48"/>
        <v/>
      </c>
      <c r="J203" s="19" t="str">
        <f t="shared" si="49"/>
        <v/>
      </c>
      <c r="K203" s="19">
        <f t="shared" si="50"/>
        <v>-175.22</v>
      </c>
      <c r="L203" s="19" t="str">
        <f t="shared" si="51"/>
        <v/>
      </c>
      <c r="M203" s="19"/>
      <c r="N203" s="22">
        <f t="shared" si="52"/>
        <v>-175.22</v>
      </c>
      <c r="O203" s="31"/>
    </row>
    <row r="204" spans="1:15" ht="20.100000000000001" hidden="1" customHeight="1">
      <c r="A204" s="7" t="s">
        <v>2603</v>
      </c>
      <c r="B204" s="44">
        <v>45991</v>
      </c>
      <c r="C204" t="s">
        <v>2303</v>
      </c>
      <c r="D204" s="4">
        <v>12000</v>
      </c>
      <c r="E204" s="65" t="s">
        <v>2427</v>
      </c>
      <c r="F204" s="131" t="s">
        <v>49</v>
      </c>
      <c r="G204" t="s">
        <v>345</v>
      </c>
      <c r="H204" s="19">
        <f t="shared" si="47"/>
        <v>-12000</v>
      </c>
      <c r="I204" s="19" t="str">
        <f t="shared" si="48"/>
        <v/>
      </c>
      <c r="J204" s="19" t="str">
        <f t="shared" si="49"/>
        <v/>
      </c>
      <c r="K204" s="19" t="str">
        <f t="shared" si="50"/>
        <v/>
      </c>
      <c r="L204" s="19" t="str">
        <f t="shared" si="51"/>
        <v/>
      </c>
      <c r="M204" s="19"/>
      <c r="N204" s="22">
        <f t="shared" si="52"/>
        <v>-12000</v>
      </c>
      <c r="O204" s="31" t="s">
        <v>2646</v>
      </c>
    </row>
    <row r="205" spans="1:15" ht="20.100000000000001" hidden="1" customHeight="1">
      <c r="A205" s="7" t="s">
        <v>2603</v>
      </c>
      <c r="B205" s="44" t="s">
        <v>2613</v>
      </c>
      <c r="C205" t="s">
        <v>2436</v>
      </c>
      <c r="D205" s="4">
        <v>5000</v>
      </c>
      <c r="E205" s="65" t="s">
        <v>2427</v>
      </c>
      <c r="G205" t="s">
        <v>345</v>
      </c>
      <c r="H205" s="19" t="str">
        <f t="shared" si="47"/>
        <v/>
      </c>
      <c r="I205" s="19" t="str">
        <f t="shared" si="48"/>
        <v/>
      </c>
      <c r="J205" s="19" t="str">
        <f t="shared" si="49"/>
        <v/>
      </c>
      <c r="K205" s="19" t="str">
        <f t="shared" si="50"/>
        <v/>
      </c>
      <c r="L205" s="19" t="str">
        <f t="shared" si="51"/>
        <v/>
      </c>
      <c r="M205" s="19"/>
      <c r="N205" s="22" t="str">
        <f t="shared" si="52"/>
        <v>non ancora confermato</v>
      </c>
      <c r="O205" s="31"/>
    </row>
    <row r="206" spans="1:15" ht="20.100000000000001" hidden="1" customHeight="1">
      <c r="A206" s="7" t="s">
        <v>2603</v>
      </c>
      <c r="B206" s="44">
        <v>45982</v>
      </c>
      <c r="C206" t="s">
        <v>2647</v>
      </c>
      <c r="D206" s="4">
        <v>1995</v>
      </c>
      <c r="E206" s="65" t="s">
        <v>2527</v>
      </c>
      <c r="F206" s="131" t="s">
        <v>49</v>
      </c>
      <c r="G206" t="s">
        <v>345</v>
      </c>
      <c r="H206" s="19">
        <f t="shared" si="47"/>
        <v>1995</v>
      </c>
      <c r="I206" s="19" t="str">
        <f t="shared" si="48"/>
        <v/>
      </c>
      <c r="J206" s="19" t="str">
        <f t="shared" si="49"/>
        <v/>
      </c>
      <c r="K206" s="19" t="str">
        <f t="shared" si="50"/>
        <v/>
      </c>
      <c r="L206" s="19" t="str">
        <f t="shared" si="51"/>
        <v/>
      </c>
      <c r="M206" s="19"/>
      <c r="N206" s="22">
        <f t="shared" si="52"/>
        <v>1995</v>
      </c>
      <c r="O206" s="31"/>
    </row>
    <row r="207" spans="1:15" ht="20.100000000000001" hidden="1" customHeight="1">
      <c r="A207" s="7" t="s">
        <v>2603</v>
      </c>
      <c r="B207" s="44">
        <v>45982</v>
      </c>
      <c r="C207" t="s">
        <v>2648</v>
      </c>
      <c r="D207" s="4">
        <v>110</v>
      </c>
      <c r="E207" s="65" t="s">
        <v>2427</v>
      </c>
      <c r="F207" s="131" t="s">
        <v>49</v>
      </c>
      <c r="G207" t="s">
        <v>111</v>
      </c>
      <c r="H207" s="19" t="str">
        <f t="shared" si="47"/>
        <v/>
      </c>
      <c r="I207" s="19" t="str">
        <f t="shared" si="48"/>
        <v/>
      </c>
      <c r="J207" s="19">
        <f t="shared" si="49"/>
        <v>-110</v>
      </c>
      <c r="K207" s="19" t="str">
        <f t="shared" si="50"/>
        <v/>
      </c>
      <c r="L207" s="19" t="str">
        <f t="shared" si="51"/>
        <v/>
      </c>
      <c r="M207" s="19"/>
      <c r="N207" s="22">
        <f t="shared" si="52"/>
        <v>-110</v>
      </c>
      <c r="O207" s="31"/>
    </row>
    <row r="208" spans="1:15" ht="20.100000000000001" hidden="1" customHeight="1">
      <c r="A208" s="7" t="s">
        <v>2603</v>
      </c>
      <c r="B208" s="44">
        <v>45982</v>
      </c>
      <c r="C208" t="s">
        <v>2543</v>
      </c>
      <c r="D208" s="4">
        <v>300</v>
      </c>
      <c r="E208" s="65" t="s">
        <v>2427</v>
      </c>
      <c r="F208" s="131" t="s">
        <v>49</v>
      </c>
      <c r="G208" t="s">
        <v>111</v>
      </c>
      <c r="H208" s="19" t="str">
        <f t="shared" si="47"/>
        <v/>
      </c>
      <c r="I208" s="19" t="str">
        <f t="shared" si="48"/>
        <v/>
      </c>
      <c r="J208" s="19">
        <f t="shared" si="49"/>
        <v>-300</v>
      </c>
      <c r="K208" s="19" t="str">
        <f t="shared" si="50"/>
        <v/>
      </c>
      <c r="L208" s="19" t="str">
        <f t="shared" si="51"/>
        <v/>
      </c>
      <c r="M208" s="19"/>
      <c r="N208" s="22">
        <f t="shared" si="52"/>
        <v>-300</v>
      </c>
      <c r="O208" s="31"/>
    </row>
    <row r="209" spans="1:16" ht="20.100000000000001" hidden="1" customHeight="1">
      <c r="A209" s="7" t="s">
        <v>2525</v>
      </c>
      <c r="B209" s="44">
        <v>45989</v>
      </c>
      <c r="C209" t="s">
        <v>2649</v>
      </c>
      <c r="D209" s="4">
        <v>2000</v>
      </c>
      <c r="E209" s="65" t="s">
        <v>2427</v>
      </c>
      <c r="F209" s="131" t="s">
        <v>49</v>
      </c>
      <c r="G209" t="s">
        <v>296</v>
      </c>
      <c r="H209" s="19" t="str">
        <f t="shared" si="47"/>
        <v/>
      </c>
      <c r="I209" s="19" t="str">
        <f t="shared" si="48"/>
        <v/>
      </c>
      <c r="J209" s="19" t="str">
        <f t="shared" si="49"/>
        <v/>
      </c>
      <c r="K209" s="19" t="str">
        <f t="shared" si="50"/>
        <v/>
      </c>
      <c r="L209" s="19">
        <f t="shared" si="51"/>
        <v>-2000</v>
      </c>
      <c r="M209" s="19"/>
      <c r="N209" s="22">
        <f t="shared" si="52"/>
        <v>-2000</v>
      </c>
      <c r="O209" s="31"/>
    </row>
    <row r="210" spans="1:16" ht="20.100000000000001" hidden="1" customHeight="1">
      <c r="A210" s="7" t="s">
        <v>2525</v>
      </c>
      <c r="B210" s="44">
        <v>45989</v>
      </c>
      <c r="C210" t="s">
        <v>2649</v>
      </c>
      <c r="D210" s="4">
        <v>2000</v>
      </c>
      <c r="E210" s="65" t="s">
        <v>2527</v>
      </c>
      <c r="F210" s="131" t="s">
        <v>49</v>
      </c>
      <c r="G210" t="s">
        <v>111</v>
      </c>
      <c r="H210" s="19" t="str">
        <f t="shared" si="47"/>
        <v/>
      </c>
      <c r="I210" s="19" t="str">
        <f t="shared" si="48"/>
        <v/>
      </c>
      <c r="J210" s="19">
        <f t="shared" si="49"/>
        <v>2000</v>
      </c>
      <c r="K210" s="19" t="str">
        <f t="shared" si="50"/>
        <v/>
      </c>
      <c r="L210" s="19" t="str">
        <f t="shared" si="51"/>
        <v/>
      </c>
      <c r="M210" s="19"/>
      <c r="N210" s="22">
        <f t="shared" si="52"/>
        <v>2000</v>
      </c>
      <c r="O210" s="31"/>
    </row>
    <row r="211" spans="1:16" ht="20.100000000000001" hidden="1" customHeight="1">
      <c r="A211" s="7" t="s">
        <v>2603</v>
      </c>
      <c r="B211" s="44">
        <v>45989</v>
      </c>
      <c r="C211" t="s">
        <v>2177</v>
      </c>
      <c r="D211" s="4">
        <v>10000</v>
      </c>
      <c r="E211" s="65" t="s">
        <v>2427</v>
      </c>
      <c r="F211" s="131" t="s">
        <v>49</v>
      </c>
      <c r="G211" t="s">
        <v>296</v>
      </c>
      <c r="H211" s="19" t="str">
        <f t="shared" si="47"/>
        <v/>
      </c>
      <c r="I211" s="19" t="str">
        <f t="shared" si="48"/>
        <v/>
      </c>
      <c r="J211" s="19" t="str">
        <f t="shared" si="49"/>
        <v/>
      </c>
      <c r="K211" s="19" t="str">
        <f t="shared" si="50"/>
        <v/>
      </c>
      <c r="L211" s="19">
        <f t="shared" si="51"/>
        <v>-10000</v>
      </c>
      <c r="M211" s="19"/>
      <c r="N211" s="22">
        <f t="shared" si="52"/>
        <v>-10000</v>
      </c>
      <c r="O211" s="31"/>
    </row>
    <row r="212" spans="1:16" s="9" customFormat="1" ht="33" hidden="1" customHeight="1">
      <c r="A212" s="7" t="s">
        <v>2603</v>
      </c>
      <c r="B212" s="44">
        <v>45991</v>
      </c>
      <c r="C212" t="s">
        <v>2444</v>
      </c>
      <c r="D212" s="4">
        <v>502.6</v>
      </c>
      <c r="E212" s="65" t="s">
        <v>2427</v>
      </c>
      <c r="F212" s="131" t="s">
        <v>49</v>
      </c>
      <c r="G212" t="s">
        <v>2434</v>
      </c>
      <c r="H212" s="19" t="str">
        <f t="shared" si="47"/>
        <v/>
      </c>
      <c r="I212" s="19">
        <f t="shared" si="48"/>
        <v>-502.6</v>
      </c>
      <c r="J212" s="19" t="str">
        <f t="shared" si="49"/>
        <v/>
      </c>
      <c r="K212" s="19" t="str">
        <f t="shared" si="50"/>
        <v/>
      </c>
      <c r="L212" s="19" t="str">
        <f t="shared" si="51"/>
        <v/>
      </c>
      <c r="M212" s="19"/>
      <c r="N212" s="22">
        <f t="shared" si="52"/>
        <v>-502.6</v>
      </c>
      <c r="O212" s="31"/>
    </row>
    <row r="213" spans="1:16" ht="20.100000000000001" hidden="1" customHeight="1">
      <c r="A213" s="7" t="s">
        <v>2603</v>
      </c>
      <c r="B213" s="44">
        <v>45991</v>
      </c>
      <c r="C213" t="s">
        <v>2576</v>
      </c>
      <c r="D213" s="4">
        <v>63.71</v>
      </c>
      <c r="E213" s="65" t="s">
        <v>2427</v>
      </c>
      <c r="F213" s="131" t="s">
        <v>49</v>
      </c>
      <c r="G213" t="s">
        <v>2434</v>
      </c>
      <c r="H213" s="19" t="str">
        <f t="shared" si="47"/>
        <v/>
      </c>
      <c r="I213" s="19">
        <f t="shared" si="48"/>
        <v>-63.71</v>
      </c>
      <c r="J213" s="19" t="str">
        <f t="shared" si="49"/>
        <v/>
      </c>
      <c r="K213" s="19" t="str">
        <f t="shared" si="50"/>
        <v/>
      </c>
      <c r="L213" s="19" t="str">
        <f t="shared" si="51"/>
        <v/>
      </c>
      <c r="M213" s="19" t="str">
        <f>IF(AND($F213="X",$G213="CASSA"),IF($E213="U",-$D213,$D213),"")</f>
        <v/>
      </c>
      <c r="N213" s="22">
        <f t="shared" si="52"/>
        <v>-63.71</v>
      </c>
      <c r="O213" s="151">
        <v>45992</v>
      </c>
    </row>
    <row r="214" spans="1:16" ht="20.100000000000001" hidden="1" customHeight="1">
      <c r="A214" s="7" t="s">
        <v>2603</v>
      </c>
      <c r="B214" s="44">
        <v>45991</v>
      </c>
      <c r="C214" t="s">
        <v>2576</v>
      </c>
      <c r="D214" s="4">
        <v>0</v>
      </c>
      <c r="E214" s="65" t="s">
        <v>2427</v>
      </c>
      <c r="F214" s="131" t="s">
        <v>49</v>
      </c>
      <c r="G214" t="s">
        <v>111</v>
      </c>
      <c r="H214" s="19" t="str">
        <f t="shared" si="47"/>
        <v/>
      </c>
      <c r="I214" s="19" t="str">
        <f t="shared" si="48"/>
        <v/>
      </c>
      <c r="J214" s="19">
        <f t="shared" si="49"/>
        <v>0</v>
      </c>
      <c r="K214" s="19" t="str">
        <f t="shared" si="50"/>
        <v/>
      </c>
      <c r="L214" s="19" t="str">
        <f t="shared" si="51"/>
        <v/>
      </c>
      <c r="M214" s="19" t="str">
        <f>IF(AND($F214="X",$G214="CASSA"),IF($E214="U",-$D214,$D214),"")</f>
        <v/>
      </c>
      <c r="N214" s="22">
        <f t="shared" si="52"/>
        <v>0</v>
      </c>
      <c r="O214" s="151">
        <v>45992</v>
      </c>
    </row>
    <row r="215" spans="1:16" ht="20.100000000000001" hidden="1" customHeight="1">
      <c r="A215" s="7" t="s">
        <v>2603</v>
      </c>
      <c r="B215" s="44">
        <v>45991</v>
      </c>
      <c r="C215" t="s">
        <v>2576</v>
      </c>
      <c r="D215" s="4">
        <v>20.53</v>
      </c>
      <c r="E215" s="65" t="s">
        <v>2427</v>
      </c>
      <c r="F215" s="131" t="s">
        <v>49</v>
      </c>
      <c r="G215" t="s">
        <v>2435</v>
      </c>
      <c r="H215" s="19" t="str">
        <f t="shared" si="47"/>
        <v/>
      </c>
      <c r="I215" s="19" t="str">
        <f t="shared" si="48"/>
        <v/>
      </c>
      <c r="J215" s="19" t="str">
        <f t="shared" si="49"/>
        <v/>
      </c>
      <c r="K215" s="19">
        <f t="shared" si="50"/>
        <v>-20.53</v>
      </c>
      <c r="L215" s="19" t="str">
        <f t="shared" si="51"/>
        <v/>
      </c>
      <c r="M215" s="19" t="str">
        <f>IF(AND($F215="X",$G215="CASSA"),IF($E215="U",-$D215,$D215),"")</f>
        <v/>
      </c>
      <c r="N215" s="22">
        <f t="shared" si="52"/>
        <v>-20.53</v>
      </c>
      <c r="O215" s="151">
        <v>45992</v>
      </c>
    </row>
    <row r="216" spans="1:16" ht="20.100000000000001" hidden="1" customHeight="1">
      <c r="A216" s="7" t="s">
        <v>2603</v>
      </c>
      <c r="B216" s="44">
        <v>45991</v>
      </c>
      <c r="C216" t="s">
        <v>2576</v>
      </c>
      <c r="D216" s="4">
        <f>627.85-D217</f>
        <v>104.35000000000002</v>
      </c>
      <c r="E216" s="65" t="s">
        <v>2427</v>
      </c>
      <c r="F216" s="131" t="s">
        <v>49</v>
      </c>
      <c r="G216" t="s">
        <v>345</v>
      </c>
      <c r="H216" s="19">
        <f t="shared" si="47"/>
        <v>-104.35000000000002</v>
      </c>
      <c r="I216" s="19" t="str">
        <f t="shared" si="48"/>
        <v/>
      </c>
      <c r="J216" s="19" t="str">
        <f t="shared" si="49"/>
        <v/>
      </c>
      <c r="K216" s="19" t="str">
        <f t="shared" si="50"/>
        <v/>
      </c>
      <c r="L216" s="19" t="str">
        <f t="shared" si="51"/>
        <v/>
      </c>
      <c r="M216" s="19" t="str">
        <f>IF(AND($F216="X",$G216="CASSA"),IF($E216="U",-$D216,$D216),"")</f>
        <v/>
      </c>
      <c r="N216" s="22">
        <f t="shared" si="52"/>
        <v>-104.35000000000002</v>
      </c>
      <c r="O216" s="151">
        <v>45992</v>
      </c>
    </row>
    <row r="217" spans="1:16" ht="20.100000000000001" hidden="1" customHeight="1">
      <c r="A217" s="7" t="s">
        <v>2603</v>
      </c>
      <c r="B217" s="44">
        <v>45991</v>
      </c>
      <c r="C217" t="s">
        <v>2650</v>
      </c>
      <c r="D217" s="4">
        <v>523.5</v>
      </c>
      <c r="E217" s="65" t="s">
        <v>2427</v>
      </c>
      <c r="F217" s="131" t="s">
        <v>49</v>
      </c>
      <c r="G217" t="s">
        <v>345</v>
      </c>
      <c r="H217" s="19">
        <f t="shared" si="47"/>
        <v>-523.5</v>
      </c>
      <c r="I217" s="19" t="str">
        <f t="shared" si="48"/>
        <v/>
      </c>
      <c r="J217" s="19" t="str">
        <f t="shared" si="49"/>
        <v/>
      </c>
      <c r="K217" s="19" t="str">
        <f t="shared" si="50"/>
        <v/>
      </c>
      <c r="L217" s="19" t="str">
        <f t="shared" si="51"/>
        <v/>
      </c>
      <c r="M217" s="19" t="str">
        <f>IF(AND($F217="X",$G217="CASSA"),IF($E217="U",-$D217,$D217),"")</f>
        <v/>
      </c>
      <c r="N217" s="22">
        <f t="shared" si="52"/>
        <v>-523.5</v>
      </c>
      <c r="O217" s="151" t="s">
        <v>2651</v>
      </c>
    </row>
    <row r="218" spans="1:16" ht="30" hidden="1" customHeight="1">
      <c r="A218" s="13"/>
      <c r="B218" s="53"/>
      <c r="C218" s="9"/>
      <c r="D218" s="10"/>
      <c r="F218" s="45" t="s">
        <v>2516</v>
      </c>
      <c r="G218" s="19">
        <f>SUMIF(E130:E217, "E", D130:D217)</f>
        <v>72698.13</v>
      </c>
      <c r="H218" s="18" t="s">
        <v>2517</v>
      </c>
      <c r="I218" s="12">
        <f>SUMIF(E130:E217, "U", D130:D217)</f>
        <v>256961.16</v>
      </c>
      <c r="J218" s="16" t="s">
        <v>2518</v>
      </c>
      <c r="K218" s="19">
        <f>G218-I218</f>
        <v>-184263.03</v>
      </c>
      <c r="L218" s="18" t="s">
        <v>2519</v>
      </c>
      <c r="M218" s="18"/>
      <c r="N218" s="19">
        <f>N129+D129</f>
        <v>87070.48000000001</v>
      </c>
      <c r="O218" s="32"/>
    </row>
    <row r="219" spans="1:16" ht="20.100000000000001" hidden="1" customHeight="1">
      <c r="A219" s="23" t="s">
        <v>2652</v>
      </c>
      <c r="B219" s="52"/>
      <c r="C219" s="24"/>
      <c r="D219" s="27">
        <f>SUMPRODUCT((A220:A286="December 2025")*(E220:E286="E")*D220:D286) - SUMPRODUCT((A220:A286="December 2025")*(E220:E286="U")*D220:D286)</f>
        <v>64253.349999999977</v>
      </c>
      <c r="E219" s="66"/>
      <c r="F219" s="47"/>
      <c r="G219" s="24" t="s">
        <v>2509</v>
      </c>
      <c r="H219" s="26">
        <f t="shared" ref="H219:M219" si="53">SUM(H129:H217)</f>
        <v>9977.0500000000047</v>
      </c>
      <c r="I219" s="26">
        <f t="shared" si="53"/>
        <v>22.559999999999867</v>
      </c>
      <c r="J219" s="26">
        <f t="shared" si="53"/>
        <v>1700.0099999999995</v>
      </c>
      <c r="K219" s="26">
        <f t="shared" si="53"/>
        <v>83113.75</v>
      </c>
      <c r="L219" s="26">
        <f t="shared" si="53"/>
        <v>11947.11</v>
      </c>
      <c r="M219" s="26">
        <f t="shared" si="53"/>
        <v>0</v>
      </c>
      <c r="N219" s="26">
        <f>SUM(H219:M219)</f>
        <v>106760.48000000001</v>
      </c>
      <c r="O219" s="35" t="s">
        <v>2522</v>
      </c>
      <c r="P219" s="14">
        <f>P129+K218</f>
        <v>87070.48000000001</v>
      </c>
    </row>
    <row r="220" spans="1:16" ht="20.100000000000001" hidden="1" customHeight="1">
      <c r="A220" s="7" t="s">
        <v>2653</v>
      </c>
      <c r="B220" s="44" t="s">
        <v>2654</v>
      </c>
      <c r="C220" t="s">
        <v>2441</v>
      </c>
      <c r="D220" s="4">
        <v>8737.18</v>
      </c>
      <c r="E220" s="65" t="s">
        <v>2427</v>
      </c>
      <c r="F220" s="131" t="s">
        <v>49</v>
      </c>
      <c r="G220" t="s">
        <v>2435</v>
      </c>
      <c r="H220" s="19" t="str">
        <f t="shared" ref="H220:H251" si="54">IF(AND($F220="X",$G220="BCC"),IF($E220="U",-$D220,$D220),"")</f>
        <v/>
      </c>
      <c r="I220" s="19" t="str">
        <f t="shared" ref="I220:I251" si="55">IF(AND($F220="X",$G220="INTESA"),IF($E220="U",-$D220,$D220),"")</f>
        <v/>
      </c>
      <c r="J220" s="19" t="str">
        <f t="shared" ref="J220:J251" si="56">IF(AND($F220="X",$G220="BPM"),IF($E220="U",-$D220,$D220),"")</f>
        <v/>
      </c>
      <c r="K220" s="19">
        <f t="shared" ref="K220:K251" si="57">IF(AND($F220="X",$G220="SONDRIO"),IF($E220="U",-$D220,$D220),"")</f>
        <v>-8737.18</v>
      </c>
      <c r="L220" s="19" t="str">
        <f t="shared" ref="L220:L251" si="58">IF(AND($F220="X",$G220="BPER"),IF($E220="U",-$D220,$D220),"")</f>
        <v/>
      </c>
      <c r="M220" s="19"/>
      <c r="N220" s="22">
        <f t="shared" ref="N220:N251" si="59">IF(F220="X",IF(E220="U",-D220,D220),"non ancora confermato")</f>
        <v>-8737.18</v>
      </c>
      <c r="O220" s="31"/>
    </row>
    <row r="221" spans="1:16" ht="20.100000000000001" hidden="1" customHeight="1">
      <c r="A221" s="7" t="s">
        <v>2653</v>
      </c>
      <c r="B221" s="44" t="s">
        <v>2655</v>
      </c>
      <c r="C221" t="s">
        <v>2656</v>
      </c>
      <c r="D221" s="4">
        <v>8371.52</v>
      </c>
      <c r="E221" s="65" t="s">
        <v>2427</v>
      </c>
      <c r="F221" s="131" t="s">
        <v>49</v>
      </c>
      <c r="G221" t="s">
        <v>2435</v>
      </c>
      <c r="H221" s="19" t="str">
        <f t="shared" si="54"/>
        <v/>
      </c>
      <c r="I221" s="19" t="str">
        <f t="shared" si="55"/>
        <v/>
      </c>
      <c r="J221" s="19" t="str">
        <f t="shared" si="56"/>
        <v/>
      </c>
      <c r="K221" s="19">
        <f t="shared" si="57"/>
        <v>-8371.52</v>
      </c>
      <c r="L221" s="19" t="str">
        <f t="shared" si="58"/>
        <v/>
      </c>
      <c r="M221" s="19"/>
      <c r="N221" s="22">
        <f t="shared" si="59"/>
        <v>-8371.52</v>
      </c>
      <c r="O221" s="31"/>
    </row>
    <row r="222" spans="1:16" ht="20.100000000000001" hidden="1" customHeight="1">
      <c r="A222" s="7" t="s">
        <v>2653</v>
      </c>
      <c r="B222" s="44">
        <v>45992</v>
      </c>
      <c r="C222" t="s">
        <v>2323</v>
      </c>
      <c r="D222" s="4">
        <v>3000</v>
      </c>
      <c r="E222" s="65" t="s">
        <v>2427</v>
      </c>
      <c r="F222" s="131" t="s">
        <v>49</v>
      </c>
      <c r="G222" t="s">
        <v>2435</v>
      </c>
      <c r="H222" s="19" t="str">
        <f t="shared" si="54"/>
        <v/>
      </c>
      <c r="I222" s="19" t="str">
        <f t="shared" si="55"/>
        <v/>
      </c>
      <c r="J222" s="19" t="str">
        <f t="shared" si="56"/>
        <v/>
      </c>
      <c r="K222" s="19">
        <f t="shared" si="57"/>
        <v>-3000</v>
      </c>
      <c r="L222" s="19" t="str">
        <f t="shared" si="58"/>
        <v/>
      </c>
      <c r="M222" s="19"/>
      <c r="N222" s="22">
        <f t="shared" si="59"/>
        <v>-3000</v>
      </c>
      <c r="O222" s="31"/>
    </row>
    <row r="223" spans="1:16" ht="30" hidden="1" customHeight="1">
      <c r="A223" s="7" t="s">
        <v>2653</v>
      </c>
      <c r="B223" s="44">
        <v>45992</v>
      </c>
      <c r="C223" t="s">
        <v>2657</v>
      </c>
      <c r="D223" s="4">
        <f>4934.8-889.8</f>
        <v>4045</v>
      </c>
      <c r="E223" s="65" t="s">
        <v>2527</v>
      </c>
      <c r="F223" s="131" t="s">
        <v>49</v>
      </c>
      <c r="G223" t="s">
        <v>345</v>
      </c>
      <c r="H223" s="19">
        <f t="shared" si="54"/>
        <v>4045</v>
      </c>
      <c r="I223" s="19" t="str">
        <f t="shared" si="55"/>
        <v/>
      </c>
      <c r="J223" s="19" t="str">
        <f t="shared" si="56"/>
        <v/>
      </c>
      <c r="K223" s="19" t="str">
        <f t="shared" si="57"/>
        <v/>
      </c>
      <c r="L223" s="19" t="str">
        <f t="shared" si="58"/>
        <v/>
      </c>
      <c r="M223" s="19" t="str">
        <f t="shared" ref="M223:M232" si="60">IF(AND($F223="X",$G223="CASSA"),IF($E223="U",-$D223,$D223),"")</f>
        <v/>
      </c>
      <c r="N223" s="22">
        <f t="shared" si="59"/>
        <v>4045</v>
      </c>
      <c r="O223" s="145" t="s">
        <v>2658</v>
      </c>
    </row>
    <row r="224" spans="1:16" ht="30" hidden="1" customHeight="1">
      <c r="A224" s="7" t="s">
        <v>2653</v>
      </c>
      <c r="B224" s="44">
        <v>45992</v>
      </c>
      <c r="C224" t="s">
        <v>2659</v>
      </c>
      <c r="D224" s="4">
        <f>4934.8-889.8</f>
        <v>4045</v>
      </c>
      <c r="E224" s="65" t="s">
        <v>2527</v>
      </c>
      <c r="F224" s="131" t="s">
        <v>49</v>
      </c>
      <c r="G224" t="s">
        <v>345</v>
      </c>
      <c r="H224" s="19">
        <f t="shared" si="54"/>
        <v>4045</v>
      </c>
      <c r="I224" s="19" t="str">
        <f t="shared" si="55"/>
        <v/>
      </c>
      <c r="J224" s="19" t="str">
        <f t="shared" si="56"/>
        <v/>
      </c>
      <c r="K224" s="19" t="str">
        <f t="shared" si="57"/>
        <v/>
      </c>
      <c r="L224" s="19" t="str">
        <f t="shared" si="58"/>
        <v/>
      </c>
      <c r="M224" s="19" t="str">
        <f t="shared" si="60"/>
        <v/>
      </c>
      <c r="N224" s="22">
        <f t="shared" si="59"/>
        <v>4045</v>
      </c>
      <c r="O224" s="145" t="s">
        <v>2658</v>
      </c>
    </row>
    <row r="225" spans="1:15" ht="20.100000000000001" hidden="1" customHeight="1">
      <c r="A225" s="7" t="s">
        <v>2653</v>
      </c>
      <c r="B225" s="44">
        <v>45992</v>
      </c>
      <c r="C225" t="s">
        <v>2642</v>
      </c>
      <c r="D225" s="4">
        <v>10000</v>
      </c>
      <c r="E225" s="65" t="s">
        <v>2427</v>
      </c>
      <c r="F225" s="131" t="s">
        <v>49</v>
      </c>
      <c r="G225" t="s">
        <v>2435</v>
      </c>
      <c r="H225" s="19" t="str">
        <f t="shared" si="54"/>
        <v/>
      </c>
      <c r="I225" s="19" t="str">
        <f t="shared" si="55"/>
        <v/>
      </c>
      <c r="J225" s="19" t="str">
        <f t="shared" si="56"/>
        <v/>
      </c>
      <c r="K225" s="19">
        <f t="shared" si="57"/>
        <v>-10000</v>
      </c>
      <c r="L225" s="19" t="str">
        <f t="shared" si="58"/>
        <v/>
      </c>
      <c r="M225" s="19" t="str">
        <f t="shared" si="60"/>
        <v/>
      </c>
      <c r="N225" s="22">
        <f t="shared" si="59"/>
        <v>-10000</v>
      </c>
      <c r="O225" s="31" t="s">
        <v>2610</v>
      </c>
    </row>
    <row r="226" spans="1:15" ht="20.100000000000001" hidden="1" customHeight="1">
      <c r="A226" s="7" t="s">
        <v>2653</v>
      </c>
      <c r="B226" s="44">
        <v>45992</v>
      </c>
      <c r="C226" t="s">
        <v>2548</v>
      </c>
      <c r="D226" s="4">
        <f>10400-937.7</f>
        <v>9462.2999999999993</v>
      </c>
      <c r="E226" s="65" t="s">
        <v>2527</v>
      </c>
      <c r="F226" s="131" t="s">
        <v>49</v>
      </c>
      <c r="G226" t="s">
        <v>345</v>
      </c>
      <c r="H226" s="19">
        <f t="shared" si="54"/>
        <v>9462.2999999999993</v>
      </c>
      <c r="I226" s="19" t="str">
        <f t="shared" si="55"/>
        <v/>
      </c>
      <c r="J226" s="19" t="str">
        <f t="shared" si="56"/>
        <v/>
      </c>
      <c r="K226" s="19" t="str">
        <f t="shared" si="57"/>
        <v/>
      </c>
      <c r="L226" s="19" t="str">
        <f t="shared" si="58"/>
        <v/>
      </c>
      <c r="M226" s="19" t="str">
        <f t="shared" si="60"/>
        <v/>
      </c>
      <c r="N226" s="22">
        <f t="shared" si="59"/>
        <v>9462.2999999999993</v>
      </c>
      <c r="O226" s="31" t="s">
        <v>2610</v>
      </c>
    </row>
    <row r="227" spans="1:15" ht="20.100000000000001" hidden="1" customHeight="1">
      <c r="A227" s="7" t="s">
        <v>2653</v>
      </c>
      <c r="B227" s="44">
        <v>45992</v>
      </c>
      <c r="C227" t="s">
        <v>2144</v>
      </c>
      <c r="D227" s="4">
        <f>(8150-2450)/5</f>
        <v>1140</v>
      </c>
      <c r="E227" s="65" t="s">
        <v>2427</v>
      </c>
      <c r="F227" s="131" t="s">
        <v>49</v>
      </c>
      <c r="G227" t="s">
        <v>111</v>
      </c>
      <c r="H227" s="19" t="str">
        <f t="shared" si="54"/>
        <v/>
      </c>
      <c r="I227" s="19" t="str">
        <f t="shared" si="55"/>
        <v/>
      </c>
      <c r="J227" s="19">
        <f t="shared" si="56"/>
        <v>-1140</v>
      </c>
      <c r="K227" s="19" t="str">
        <f t="shared" si="57"/>
        <v/>
      </c>
      <c r="L227" s="19" t="str">
        <f t="shared" si="58"/>
        <v/>
      </c>
      <c r="M227" s="19" t="str">
        <f t="shared" si="60"/>
        <v/>
      </c>
      <c r="N227" s="22">
        <f t="shared" si="59"/>
        <v>-1140</v>
      </c>
      <c r="O227" s="31"/>
    </row>
    <row r="228" spans="1:15" ht="20.100000000000001" hidden="1" customHeight="1">
      <c r="A228" s="7" t="s">
        <v>2653</v>
      </c>
      <c r="B228" s="44">
        <v>45992</v>
      </c>
      <c r="C228" t="s">
        <v>2576</v>
      </c>
      <c r="D228" s="4">
        <v>8.2200000000000006</v>
      </c>
      <c r="E228" s="65" t="s">
        <v>2427</v>
      </c>
      <c r="F228" s="131" t="s">
        <v>49</v>
      </c>
      <c r="G228" t="s">
        <v>111</v>
      </c>
      <c r="H228" s="19" t="str">
        <f t="shared" si="54"/>
        <v/>
      </c>
      <c r="I228" s="19" t="str">
        <f t="shared" si="55"/>
        <v/>
      </c>
      <c r="J228" s="19">
        <f t="shared" si="56"/>
        <v>-8.2200000000000006</v>
      </c>
      <c r="K228" s="19" t="str">
        <f t="shared" si="57"/>
        <v/>
      </c>
      <c r="L228" s="19" t="str">
        <f t="shared" si="58"/>
        <v/>
      </c>
      <c r="M228" s="19" t="str">
        <f t="shared" si="60"/>
        <v/>
      </c>
      <c r="N228" s="22">
        <f t="shared" si="59"/>
        <v>-8.2200000000000006</v>
      </c>
      <c r="O228" s="151">
        <v>45992</v>
      </c>
    </row>
    <row r="229" spans="1:15" ht="20.100000000000001" hidden="1" customHeight="1">
      <c r="A229" s="7" t="s">
        <v>2653</v>
      </c>
      <c r="B229" s="44">
        <v>45992</v>
      </c>
      <c r="C229" t="s">
        <v>2576</v>
      </c>
      <c r="D229" s="4">
        <v>11.54</v>
      </c>
      <c r="E229" s="65" t="s">
        <v>2427</v>
      </c>
      <c r="F229" s="131" t="s">
        <v>49</v>
      </c>
      <c r="G229" t="s">
        <v>296</v>
      </c>
      <c r="H229" s="19" t="str">
        <f t="shared" si="54"/>
        <v/>
      </c>
      <c r="I229" s="19" t="str">
        <f t="shared" si="55"/>
        <v/>
      </c>
      <c r="J229" s="19" t="str">
        <f t="shared" si="56"/>
        <v/>
      </c>
      <c r="K229" s="19" t="str">
        <f t="shared" si="57"/>
        <v/>
      </c>
      <c r="L229" s="19">
        <f t="shared" si="58"/>
        <v>-11.54</v>
      </c>
      <c r="M229" s="19" t="str">
        <f t="shared" si="60"/>
        <v/>
      </c>
      <c r="N229" s="22">
        <f t="shared" si="59"/>
        <v>-11.54</v>
      </c>
      <c r="O229" s="151">
        <v>45992</v>
      </c>
    </row>
    <row r="230" spans="1:15" hidden="1">
      <c r="A230" s="7" t="s">
        <v>2653</v>
      </c>
      <c r="B230" s="44">
        <v>45996</v>
      </c>
      <c r="C230" t="s">
        <v>2446</v>
      </c>
      <c r="D230" s="4">
        <v>4500</v>
      </c>
      <c r="E230" s="65" t="s">
        <v>2427</v>
      </c>
      <c r="F230" s="131" t="s">
        <v>49</v>
      </c>
      <c r="G230" t="s">
        <v>345</v>
      </c>
      <c r="H230" s="19">
        <f t="shared" si="54"/>
        <v>-4500</v>
      </c>
      <c r="I230" s="19" t="str">
        <f t="shared" si="55"/>
        <v/>
      </c>
      <c r="J230" s="19" t="str">
        <f t="shared" si="56"/>
        <v/>
      </c>
      <c r="K230" s="19" t="str">
        <f t="shared" si="57"/>
        <v/>
      </c>
      <c r="L230" s="19" t="str">
        <f t="shared" si="58"/>
        <v/>
      </c>
      <c r="M230" s="19" t="str">
        <f t="shared" si="60"/>
        <v/>
      </c>
      <c r="N230" s="22">
        <f t="shared" si="59"/>
        <v>-4500</v>
      </c>
      <c r="O230" s="151" t="s">
        <v>2183</v>
      </c>
    </row>
    <row r="231" spans="1:15" s="9" customFormat="1" ht="33" hidden="1" customHeight="1">
      <c r="A231" s="7" t="s">
        <v>2653</v>
      </c>
      <c r="B231" s="44">
        <v>45998</v>
      </c>
      <c r="C231" t="s">
        <v>2440</v>
      </c>
      <c r="D231" s="4">
        <v>6540.53</v>
      </c>
      <c r="E231" s="65" t="s">
        <v>2427</v>
      </c>
      <c r="F231" s="131" t="s">
        <v>49</v>
      </c>
      <c r="G231" t="s">
        <v>296</v>
      </c>
      <c r="H231" s="19" t="str">
        <f t="shared" si="54"/>
        <v/>
      </c>
      <c r="I231" s="19" t="str">
        <f t="shared" si="55"/>
        <v/>
      </c>
      <c r="J231" s="19" t="str">
        <f t="shared" si="56"/>
        <v/>
      </c>
      <c r="K231" s="19" t="str">
        <f t="shared" si="57"/>
        <v/>
      </c>
      <c r="L231" s="19">
        <f t="shared" si="58"/>
        <v>-6540.53</v>
      </c>
      <c r="M231" s="19" t="str">
        <f t="shared" si="60"/>
        <v/>
      </c>
      <c r="N231" s="22">
        <f t="shared" si="59"/>
        <v>-6540.53</v>
      </c>
      <c r="O231" s="31"/>
    </row>
    <row r="232" spans="1:15" s="9" customFormat="1" ht="33" hidden="1" customHeight="1">
      <c r="A232" s="7" t="s">
        <v>2653</v>
      </c>
      <c r="B232" s="44">
        <v>46000</v>
      </c>
      <c r="C232" t="s">
        <v>2213</v>
      </c>
      <c r="D232" s="4">
        <v>415.6</v>
      </c>
      <c r="E232" s="65" t="s">
        <v>2427</v>
      </c>
      <c r="F232" s="131" t="s">
        <v>49</v>
      </c>
      <c r="G232" t="s">
        <v>345</v>
      </c>
      <c r="H232" s="19">
        <f t="shared" si="54"/>
        <v>-415.6</v>
      </c>
      <c r="I232" s="19" t="str">
        <f t="shared" si="55"/>
        <v/>
      </c>
      <c r="J232" s="19" t="str">
        <f t="shared" si="56"/>
        <v/>
      </c>
      <c r="K232" s="19" t="str">
        <f t="shared" si="57"/>
        <v/>
      </c>
      <c r="L232" s="19" t="str">
        <f t="shared" si="58"/>
        <v/>
      </c>
      <c r="M232" s="19" t="str">
        <f t="shared" si="60"/>
        <v/>
      </c>
      <c r="N232" s="22">
        <f t="shared" si="59"/>
        <v>-415.6</v>
      </c>
      <c r="O232" s="31" t="s">
        <v>197</v>
      </c>
    </row>
    <row r="233" spans="1:15" hidden="1">
      <c r="A233" s="7" t="s">
        <v>2653</v>
      </c>
      <c r="B233" s="44">
        <v>46001</v>
      </c>
      <c r="C233" t="s">
        <v>2214</v>
      </c>
      <c r="D233" s="4">
        <v>2598.6</v>
      </c>
      <c r="E233" s="65" t="s">
        <v>2427</v>
      </c>
      <c r="F233" s="131" t="s">
        <v>49</v>
      </c>
      <c r="G233" t="s">
        <v>345</v>
      </c>
      <c r="H233" s="19">
        <f t="shared" si="54"/>
        <v>-2598.6</v>
      </c>
      <c r="I233" s="19" t="str">
        <f t="shared" si="55"/>
        <v/>
      </c>
      <c r="J233" s="19" t="str">
        <f t="shared" si="56"/>
        <v/>
      </c>
      <c r="K233" s="19" t="str">
        <f t="shared" si="57"/>
        <v/>
      </c>
      <c r="L233" s="19" t="str">
        <f t="shared" si="58"/>
        <v/>
      </c>
      <c r="M233" s="19"/>
      <c r="N233" s="22">
        <f t="shared" si="59"/>
        <v>-2598.6</v>
      </c>
      <c r="O233" s="31"/>
    </row>
    <row r="234" spans="1:15" hidden="1">
      <c r="A234" s="7" t="s">
        <v>2653</v>
      </c>
      <c r="B234" s="44">
        <v>46002</v>
      </c>
      <c r="C234" t="s">
        <v>2336</v>
      </c>
      <c r="D234" s="4">
        <v>27.94</v>
      </c>
      <c r="E234" s="65" t="s">
        <v>2427</v>
      </c>
      <c r="F234" s="131" t="s">
        <v>49</v>
      </c>
      <c r="G234" t="s">
        <v>345</v>
      </c>
      <c r="H234" s="19">
        <f t="shared" si="54"/>
        <v>-27.94</v>
      </c>
      <c r="I234" s="19" t="str">
        <f t="shared" si="55"/>
        <v/>
      </c>
      <c r="J234" s="19" t="str">
        <f t="shared" si="56"/>
        <v/>
      </c>
      <c r="K234" s="19" t="str">
        <f t="shared" si="57"/>
        <v/>
      </c>
      <c r="L234" s="19" t="str">
        <f t="shared" si="58"/>
        <v/>
      </c>
      <c r="M234" s="19"/>
      <c r="N234" s="22">
        <f t="shared" si="59"/>
        <v>-27.94</v>
      </c>
      <c r="O234" s="31"/>
    </row>
    <row r="235" spans="1:15" hidden="1">
      <c r="A235" s="7" t="s">
        <v>2653</v>
      </c>
      <c r="B235" s="44">
        <v>46001</v>
      </c>
      <c r="C235" t="s">
        <v>2258</v>
      </c>
      <c r="D235" s="4">
        <v>1067.5</v>
      </c>
      <c r="E235" s="65" t="s">
        <v>2427</v>
      </c>
      <c r="F235" s="131" t="s">
        <v>49</v>
      </c>
      <c r="G235" t="s">
        <v>345</v>
      </c>
      <c r="H235" s="19">
        <f t="shared" si="54"/>
        <v>-1067.5</v>
      </c>
      <c r="I235" s="19" t="str">
        <f t="shared" si="55"/>
        <v/>
      </c>
      <c r="J235" s="19" t="str">
        <f t="shared" si="56"/>
        <v/>
      </c>
      <c r="K235" s="19" t="str">
        <f t="shared" si="57"/>
        <v/>
      </c>
      <c r="L235" s="19" t="str">
        <f t="shared" si="58"/>
        <v/>
      </c>
      <c r="M235" s="19"/>
      <c r="N235" s="22">
        <f t="shared" si="59"/>
        <v>-1067.5</v>
      </c>
      <c r="O235" s="31"/>
    </row>
    <row r="236" spans="1:15" ht="45" hidden="1" customHeight="1">
      <c r="A236" s="7" t="s">
        <v>2653</v>
      </c>
      <c r="B236" s="44">
        <v>46006</v>
      </c>
      <c r="C236" t="s">
        <v>2446</v>
      </c>
      <c r="D236" s="4">
        <f>2246+2335+810</f>
        <v>5391</v>
      </c>
      <c r="E236" s="65" t="s">
        <v>2427</v>
      </c>
      <c r="F236" s="131" t="s">
        <v>49</v>
      </c>
      <c r="G236" t="s">
        <v>2435</v>
      </c>
      <c r="H236" s="19" t="str">
        <f t="shared" si="54"/>
        <v/>
      </c>
      <c r="I236" s="19" t="str">
        <f t="shared" si="55"/>
        <v/>
      </c>
      <c r="J236" s="19" t="str">
        <f t="shared" si="56"/>
        <v/>
      </c>
      <c r="K236" s="19">
        <f t="shared" si="57"/>
        <v>-5391</v>
      </c>
      <c r="L236" s="19" t="str">
        <f t="shared" si="58"/>
        <v/>
      </c>
      <c r="M236" s="19" t="str">
        <f>IF(AND($F236="X",$G236="CASSA"),IF($E236="U",-$D236,$D236),"")</f>
        <v/>
      </c>
      <c r="N236" s="22">
        <f t="shared" si="59"/>
        <v>-5391</v>
      </c>
      <c r="O236" s="145" t="s">
        <v>2660</v>
      </c>
    </row>
    <row r="237" spans="1:15" ht="45" hidden="1" customHeight="1">
      <c r="A237" s="7" t="s">
        <v>2653</v>
      </c>
      <c r="B237" s="44">
        <v>46001</v>
      </c>
      <c r="C237" t="s">
        <v>2057</v>
      </c>
      <c r="D237" s="4">
        <v>13.42</v>
      </c>
      <c r="E237" s="65" t="s">
        <v>2427</v>
      </c>
      <c r="F237" s="131" t="s">
        <v>49</v>
      </c>
      <c r="G237" t="s">
        <v>345</v>
      </c>
      <c r="H237" s="19">
        <f t="shared" si="54"/>
        <v>-13.42</v>
      </c>
      <c r="I237" s="19" t="str">
        <f t="shared" si="55"/>
        <v/>
      </c>
      <c r="J237" s="19" t="str">
        <f t="shared" si="56"/>
        <v/>
      </c>
      <c r="K237" s="19" t="str">
        <f t="shared" si="57"/>
        <v/>
      </c>
      <c r="L237" s="19" t="str">
        <f t="shared" si="58"/>
        <v/>
      </c>
      <c r="M237" s="19" t="str">
        <f>IF(AND($F237="X",$G237="CASSA"),IF($E237="U",-$D237,$D237),"")</f>
        <v/>
      </c>
      <c r="N237" s="22">
        <f t="shared" si="59"/>
        <v>-13.42</v>
      </c>
      <c r="O237" s="145" t="s">
        <v>2661</v>
      </c>
    </row>
    <row r="238" spans="1:15" hidden="1">
      <c r="A238" s="7" t="s">
        <v>2653</v>
      </c>
      <c r="B238" s="44">
        <v>46002</v>
      </c>
      <c r="C238" t="s">
        <v>2576</v>
      </c>
      <c r="D238" s="4">
        <v>0.1</v>
      </c>
      <c r="E238" s="65" t="s">
        <v>2427</v>
      </c>
      <c r="F238" s="131" t="s">
        <v>49</v>
      </c>
      <c r="G238" t="s">
        <v>296</v>
      </c>
      <c r="H238" s="19" t="str">
        <f t="shared" si="54"/>
        <v/>
      </c>
      <c r="I238" s="19" t="str">
        <f t="shared" si="55"/>
        <v/>
      </c>
      <c r="J238" s="19" t="str">
        <f t="shared" si="56"/>
        <v/>
      </c>
      <c r="K238" s="19" t="str">
        <f t="shared" si="57"/>
        <v/>
      </c>
      <c r="L238" s="19">
        <f t="shared" si="58"/>
        <v>-0.1</v>
      </c>
      <c r="M238" s="19" t="str">
        <f>IF(AND($F238="X",$G238="CASSA"),IF($E238="U",-$D238,$D238),"")</f>
        <v/>
      </c>
      <c r="N238" s="22">
        <f t="shared" si="59"/>
        <v>-0.1</v>
      </c>
      <c r="O238" s="31"/>
    </row>
    <row r="239" spans="1:15" hidden="1">
      <c r="A239" s="7" t="s">
        <v>2653</v>
      </c>
      <c r="B239" s="44">
        <v>46002</v>
      </c>
      <c r="C239" t="s">
        <v>2576</v>
      </c>
      <c r="D239" s="4">
        <v>7</v>
      </c>
      <c r="E239" s="65" t="s">
        <v>2427</v>
      </c>
      <c r="F239" s="131" t="s">
        <v>49</v>
      </c>
      <c r="G239" t="s">
        <v>111</v>
      </c>
      <c r="H239" s="19" t="str">
        <f t="shared" si="54"/>
        <v/>
      </c>
      <c r="I239" s="19" t="str">
        <f t="shared" si="55"/>
        <v/>
      </c>
      <c r="J239" s="19">
        <f t="shared" si="56"/>
        <v>-7</v>
      </c>
      <c r="K239" s="19" t="str">
        <f t="shared" si="57"/>
        <v/>
      </c>
      <c r="L239" s="19" t="str">
        <f t="shared" si="58"/>
        <v/>
      </c>
      <c r="M239" s="19" t="str">
        <f>IF(AND($F239="X",$G239="CASSA"),IF($E239="U",-$D239,$D239),"")</f>
        <v/>
      </c>
      <c r="N239" s="22">
        <f t="shared" si="59"/>
        <v>-7</v>
      </c>
      <c r="O239" s="31">
        <v>45992</v>
      </c>
    </row>
    <row r="240" spans="1:15" hidden="1">
      <c r="A240" s="7" t="s">
        <v>2653</v>
      </c>
      <c r="B240" s="44">
        <v>46002</v>
      </c>
      <c r="C240" t="s">
        <v>2576</v>
      </c>
      <c r="D240" s="4">
        <v>340.55</v>
      </c>
      <c r="E240" s="65" t="s">
        <v>2427</v>
      </c>
      <c r="F240" s="131" t="s">
        <v>49</v>
      </c>
      <c r="G240" t="s">
        <v>345</v>
      </c>
      <c r="H240" s="19">
        <f t="shared" si="54"/>
        <v>-340.55</v>
      </c>
      <c r="I240" s="19" t="str">
        <f t="shared" si="55"/>
        <v/>
      </c>
      <c r="J240" s="19" t="str">
        <f t="shared" si="56"/>
        <v/>
      </c>
      <c r="K240" s="19" t="str">
        <f t="shared" si="57"/>
        <v/>
      </c>
      <c r="L240" s="19" t="str">
        <f t="shared" si="58"/>
        <v/>
      </c>
      <c r="M240" s="19" t="str">
        <f>IF(AND($F240="X",$G240="CASSA"),IF($E240="U",-$D240,$D240),"")</f>
        <v/>
      </c>
      <c r="N240" s="22">
        <f t="shared" si="59"/>
        <v>-340.55</v>
      </c>
      <c r="O240" s="31">
        <v>45992</v>
      </c>
    </row>
    <row r="241" spans="1:15" hidden="1">
      <c r="A241" s="7" t="s">
        <v>2653</v>
      </c>
      <c r="B241" s="44">
        <v>46016</v>
      </c>
      <c r="C241" t="s">
        <v>2446</v>
      </c>
      <c r="D241" s="4">
        <f>12500/5</f>
        <v>2500</v>
      </c>
      <c r="E241" s="65" t="s">
        <v>2427</v>
      </c>
      <c r="F241" s="131" t="s">
        <v>49</v>
      </c>
      <c r="G241" t="s">
        <v>345</v>
      </c>
      <c r="H241" s="19">
        <f t="shared" si="54"/>
        <v>-2500</v>
      </c>
      <c r="I241" s="19" t="str">
        <f t="shared" si="55"/>
        <v/>
      </c>
      <c r="J241" s="19" t="str">
        <f t="shared" si="56"/>
        <v/>
      </c>
      <c r="K241" s="19" t="str">
        <f t="shared" si="57"/>
        <v/>
      </c>
      <c r="L241" s="19" t="str">
        <f t="shared" si="58"/>
        <v/>
      </c>
      <c r="M241" s="19"/>
      <c r="N241" s="22">
        <f t="shared" si="59"/>
        <v>-2500</v>
      </c>
      <c r="O241" s="31" t="s">
        <v>2424</v>
      </c>
    </row>
    <row r="242" spans="1:15" ht="20.100000000000001" hidden="1" customHeight="1">
      <c r="A242" s="7" t="s">
        <v>2653</v>
      </c>
      <c r="B242" s="44">
        <v>46001</v>
      </c>
      <c r="C242" t="s">
        <v>2057</v>
      </c>
      <c r="D242" s="4">
        <v>1258.1600000000001</v>
      </c>
      <c r="E242" s="65" t="s">
        <v>2427</v>
      </c>
      <c r="F242" s="131" t="s">
        <v>49</v>
      </c>
      <c r="G242" t="s">
        <v>345</v>
      </c>
      <c r="H242" s="19">
        <f t="shared" si="54"/>
        <v>-1258.1600000000001</v>
      </c>
      <c r="I242" s="19" t="str">
        <f t="shared" si="55"/>
        <v/>
      </c>
      <c r="J242" s="19" t="str">
        <f t="shared" si="56"/>
        <v/>
      </c>
      <c r="K242" s="19" t="str">
        <f t="shared" si="57"/>
        <v/>
      </c>
      <c r="L242" s="19" t="str">
        <f t="shared" si="58"/>
        <v/>
      </c>
      <c r="M242" s="19" t="str">
        <f>IF(AND($F242="X",$G242="CASSA"),IF($E242="U",-$D242,$D242),"")</f>
        <v/>
      </c>
      <c r="N242" s="22">
        <f t="shared" si="59"/>
        <v>-1258.1600000000001</v>
      </c>
      <c r="O242" s="31" t="s">
        <v>2575</v>
      </c>
    </row>
    <row r="243" spans="1:15" hidden="1">
      <c r="A243" s="7" t="s">
        <v>2653</v>
      </c>
      <c r="B243" s="44">
        <v>46002</v>
      </c>
      <c r="C243" t="s">
        <v>2226</v>
      </c>
      <c r="D243" s="4">
        <v>114.68</v>
      </c>
      <c r="E243" s="65" t="s">
        <v>2427</v>
      </c>
      <c r="F243" s="131" t="s">
        <v>49</v>
      </c>
      <c r="G243" t="s">
        <v>2435</v>
      </c>
      <c r="H243" s="19" t="str">
        <f t="shared" si="54"/>
        <v/>
      </c>
      <c r="I243" s="19" t="str">
        <f t="shared" si="55"/>
        <v/>
      </c>
      <c r="J243" s="19" t="str">
        <f t="shared" si="56"/>
        <v/>
      </c>
      <c r="K243" s="19">
        <f t="shared" si="57"/>
        <v>-114.68</v>
      </c>
      <c r="L243" s="19" t="str">
        <f t="shared" si="58"/>
        <v/>
      </c>
      <c r="M243" s="19"/>
      <c r="N243" s="22">
        <f t="shared" si="59"/>
        <v>-114.68</v>
      </c>
      <c r="O243" s="31"/>
    </row>
    <row r="244" spans="1:15" ht="20.100000000000001" hidden="1" customHeight="1">
      <c r="A244" s="7" t="s">
        <v>2653</v>
      </c>
      <c r="B244" s="44">
        <v>46002</v>
      </c>
      <c r="C244" t="s">
        <v>2446</v>
      </c>
      <c r="D244" s="4">
        <v>10900</v>
      </c>
      <c r="E244" s="65" t="s">
        <v>2427</v>
      </c>
      <c r="F244" s="131" t="s">
        <v>49</v>
      </c>
      <c r="G244" t="s">
        <v>2435</v>
      </c>
      <c r="H244" s="19" t="str">
        <f t="shared" si="54"/>
        <v/>
      </c>
      <c r="I244" s="19" t="str">
        <f t="shared" si="55"/>
        <v/>
      </c>
      <c r="J244" s="19" t="str">
        <f t="shared" si="56"/>
        <v/>
      </c>
      <c r="K244" s="19">
        <f t="shared" si="57"/>
        <v>-10900</v>
      </c>
      <c r="L244" s="19" t="str">
        <f t="shared" si="58"/>
        <v/>
      </c>
      <c r="M244" s="19"/>
      <c r="N244" s="22">
        <f t="shared" si="59"/>
        <v>-10900</v>
      </c>
      <c r="O244" s="31" t="s">
        <v>2662</v>
      </c>
    </row>
    <row r="245" spans="1:15" hidden="1">
      <c r="A245" s="7" t="s">
        <v>2653</v>
      </c>
      <c r="B245" s="44">
        <v>46002</v>
      </c>
      <c r="C245" t="s">
        <v>2263</v>
      </c>
      <c r="D245" s="4">
        <v>112.07</v>
      </c>
      <c r="E245" s="65" t="s">
        <v>2427</v>
      </c>
      <c r="F245" s="131" t="s">
        <v>49</v>
      </c>
      <c r="G245" t="s">
        <v>2435</v>
      </c>
      <c r="H245" s="19" t="str">
        <f t="shared" si="54"/>
        <v/>
      </c>
      <c r="I245" s="19" t="str">
        <f t="shared" si="55"/>
        <v/>
      </c>
      <c r="J245" s="19" t="str">
        <f t="shared" si="56"/>
        <v/>
      </c>
      <c r="K245" s="19">
        <f t="shared" si="57"/>
        <v>-112.07</v>
      </c>
      <c r="L245" s="19" t="str">
        <f t="shared" si="58"/>
        <v/>
      </c>
      <c r="M245" s="19"/>
      <c r="N245" s="22">
        <f t="shared" si="59"/>
        <v>-112.07</v>
      </c>
      <c r="O245" s="31"/>
    </row>
    <row r="246" spans="1:15" hidden="1">
      <c r="A246" s="7" t="s">
        <v>2653</v>
      </c>
      <c r="B246" s="44">
        <v>46006</v>
      </c>
      <c r="C246" t="s">
        <v>2650</v>
      </c>
      <c r="D246" s="4">
        <v>523.5</v>
      </c>
      <c r="E246" s="65" t="s">
        <v>2427</v>
      </c>
      <c r="F246" s="131" t="s">
        <v>49</v>
      </c>
      <c r="G246" t="s">
        <v>345</v>
      </c>
      <c r="H246" s="19">
        <f t="shared" si="54"/>
        <v>-523.5</v>
      </c>
      <c r="I246" s="19" t="str">
        <f t="shared" si="55"/>
        <v/>
      </c>
      <c r="J246" s="19" t="str">
        <f t="shared" si="56"/>
        <v/>
      </c>
      <c r="K246" s="19" t="str">
        <f t="shared" si="57"/>
        <v/>
      </c>
      <c r="L246" s="19" t="str">
        <f t="shared" si="58"/>
        <v/>
      </c>
      <c r="M246" s="19"/>
      <c r="N246" s="22">
        <f t="shared" si="59"/>
        <v>-523.5</v>
      </c>
      <c r="O246" s="31" t="s">
        <v>2651</v>
      </c>
    </row>
    <row r="247" spans="1:15" ht="45" hidden="1" customHeight="1">
      <c r="A247" s="7" t="s">
        <v>2653</v>
      </c>
      <c r="B247" s="44">
        <v>46006</v>
      </c>
      <c r="C247" t="s">
        <v>2596</v>
      </c>
      <c r="D247" s="4">
        <v>35</v>
      </c>
      <c r="E247" s="65" t="s">
        <v>2427</v>
      </c>
      <c r="F247" s="131" t="s">
        <v>49</v>
      </c>
      <c r="G247" t="s">
        <v>345</v>
      </c>
      <c r="H247" s="19">
        <f t="shared" si="54"/>
        <v>-35</v>
      </c>
      <c r="I247" s="19" t="str">
        <f t="shared" si="55"/>
        <v/>
      </c>
      <c r="J247" s="19" t="str">
        <f t="shared" si="56"/>
        <v/>
      </c>
      <c r="K247" s="19" t="str">
        <f t="shared" si="57"/>
        <v/>
      </c>
      <c r="L247" s="19" t="str">
        <f t="shared" si="58"/>
        <v/>
      </c>
      <c r="M247" s="19"/>
      <c r="N247" s="22">
        <f t="shared" si="59"/>
        <v>-35</v>
      </c>
      <c r="O247" s="145" t="s">
        <v>2663</v>
      </c>
    </row>
    <row r="248" spans="1:15" hidden="1">
      <c r="A248" s="7" t="s">
        <v>2653</v>
      </c>
      <c r="B248" s="44">
        <v>46006</v>
      </c>
      <c r="C248" t="s">
        <v>2193</v>
      </c>
      <c r="D248" s="4">
        <v>1858.75</v>
      </c>
      <c r="E248" s="65" t="s">
        <v>2427</v>
      </c>
      <c r="F248" s="131" t="s">
        <v>49</v>
      </c>
      <c r="G248" t="s">
        <v>296</v>
      </c>
      <c r="H248" s="19" t="str">
        <f t="shared" si="54"/>
        <v/>
      </c>
      <c r="I248" s="19" t="str">
        <f t="shared" si="55"/>
        <v/>
      </c>
      <c r="J248" s="19" t="str">
        <f t="shared" si="56"/>
        <v/>
      </c>
      <c r="K248" s="19" t="str">
        <f t="shared" si="57"/>
        <v/>
      </c>
      <c r="L248" s="19">
        <f t="shared" si="58"/>
        <v>-1858.75</v>
      </c>
      <c r="M248" s="19"/>
      <c r="N248" s="22">
        <f t="shared" si="59"/>
        <v>-1858.75</v>
      </c>
      <c r="O248" s="31"/>
    </row>
    <row r="249" spans="1:15" hidden="1">
      <c r="A249" s="7" t="s">
        <v>2653</v>
      </c>
      <c r="B249" s="44">
        <v>46006</v>
      </c>
      <c r="C249" t="s">
        <v>2317</v>
      </c>
      <c r="D249" s="4">
        <v>1013.77</v>
      </c>
      <c r="E249" s="65" t="s">
        <v>2427</v>
      </c>
      <c r="F249" s="131" t="s">
        <v>49</v>
      </c>
      <c r="G249" t="s">
        <v>2435</v>
      </c>
      <c r="H249" s="19" t="str">
        <f t="shared" si="54"/>
        <v/>
      </c>
      <c r="I249" s="19" t="str">
        <f t="shared" si="55"/>
        <v/>
      </c>
      <c r="J249" s="19" t="str">
        <f t="shared" si="56"/>
        <v/>
      </c>
      <c r="K249" s="19">
        <f t="shared" si="57"/>
        <v>-1013.77</v>
      </c>
      <c r="L249" s="19" t="str">
        <f t="shared" si="58"/>
        <v/>
      </c>
      <c r="M249" s="19"/>
      <c r="N249" s="22">
        <f t="shared" si="59"/>
        <v>-1013.77</v>
      </c>
      <c r="O249" s="31"/>
    </row>
    <row r="250" spans="1:15" hidden="1">
      <c r="A250" s="7" t="s">
        <v>2653</v>
      </c>
      <c r="B250" s="44">
        <v>46006</v>
      </c>
      <c r="C250" t="s">
        <v>2618</v>
      </c>
      <c r="D250" s="4">
        <v>3285.84</v>
      </c>
      <c r="E250" s="65" t="s">
        <v>2427</v>
      </c>
      <c r="F250" s="131" t="s">
        <v>49</v>
      </c>
      <c r="G250" t="s">
        <v>2435</v>
      </c>
      <c r="H250" s="19" t="str">
        <f t="shared" si="54"/>
        <v/>
      </c>
      <c r="I250" s="19" t="str">
        <f t="shared" si="55"/>
        <v/>
      </c>
      <c r="J250" s="19" t="str">
        <f t="shared" si="56"/>
        <v/>
      </c>
      <c r="K250" s="19">
        <f t="shared" si="57"/>
        <v>-3285.84</v>
      </c>
      <c r="L250" s="19" t="str">
        <f t="shared" si="58"/>
        <v/>
      </c>
      <c r="M250" s="19"/>
      <c r="N250" s="22">
        <f t="shared" si="59"/>
        <v>-3285.84</v>
      </c>
      <c r="O250" s="31" t="s">
        <v>2664</v>
      </c>
    </row>
    <row r="251" spans="1:15" ht="20.100000000000001" hidden="1" customHeight="1">
      <c r="A251" s="7" t="s">
        <v>2653</v>
      </c>
      <c r="B251" s="44">
        <v>46006</v>
      </c>
      <c r="C251" t="s">
        <v>2331</v>
      </c>
      <c r="D251" s="4">
        <f>65000/5</f>
        <v>13000</v>
      </c>
      <c r="E251" s="65" t="s">
        <v>2427</v>
      </c>
      <c r="F251" s="131" t="s">
        <v>49</v>
      </c>
      <c r="G251" t="s">
        <v>2435</v>
      </c>
      <c r="H251" s="19" t="str">
        <f t="shared" si="54"/>
        <v/>
      </c>
      <c r="I251" s="19" t="str">
        <f t="shared" si="55"/>
        <v/>
      </c>
      <c r="J251" s="19" t="str">
        <f t="shared" si="56"/>
        <v/>
      </c>
      <c r="K251" s="19">
        <f t="shared" si="57"/>
        <v>-13000</v>
      </c>
      <c r="L251" s="19" t="str">
        <f t="shared" si="58"/>
        <v/>
      </c>
      <c r="M251" s="19"/>
      <c r="N251" s="22">
        <f t="shared" si="59"/>
        <v>-13000</v>
      </c>
      <c r="O251" s="31"/>
    </row>
    <row r="252" spans="1:15" hidden="1">
      <c r="A252" s="7" t="s">
        <v>2653</v>
      </c>
      <c r="B252" s="44">
        <v>46002</v>
      </c>
      <c r="C252" t="s">
        <v>2576</v>
      </c>
      <c r="D252" s="4">
        <f>12.3+1.5</f>
        <v>13.8</v>
      </c>
      <c r="E252" s="65" t="s">
        <v>2427</v>
      </c>
      <c r="F252" s="131" t="s">
        <v>49</v>
      </c>
      <c r="G252" t="s">
        <v>2435</v>
      </c>
      <c r="H252" s="19" t="str">
        <f t="shared" ref="H252:H286" si="61">IF(AND($F252="X",$G252="BCC"),IF($E252="U",-$D252,$D252),"")</f>
        <v/>
      </c>
      <c r="I252" s="19" t="str">
        <f t="shared" ref="I252:I286" si="62">IF(AND($F252="X",$G252="INTESA"),IF($E252="U",-$D252,$D252),"")</f>
        <v/>
      </c>
      <c r="J252" s="19" t="str">
        <f t="shared" ref="J252:J286" si="63">IF(AND($F252="X",$G252="BPM"),IF($E252="U",-$D252,$D252),"")</f>
        <v/>
      </c>
      <c r="K252" s="19">
        <f t="shared" ref="K252:K286" si="64">IF(AND($F252="X",$G252="SONDRIO"),IF($E252="U",-$D252,$D252),"")</f>
        <v>-13.8</v>
      </c>
      <c r="L252" s="19" t="str">
        <f t="shared" ref="L252:L286" si="65">IF(AND($F252="X",$G252="BPER"),IF($E252="U",-$D252,$D252),"")</f>
        <v/>
      </c>
      <c r="M252" s="19"/>
      <c r="N252" s="22">
        <f t="shared" ref="N252:N268" si="66">IF(F252="X",IF(E252="U",-D252,D252),"non ancora confermato")</f>
        <v>-13.8</v>
      </c>
      <c r="O252" s="32">
        <v>19175.39</v>
      </c>
    </row>
    <row r="253" spans="1:15" hidden="1">
      <c r="A253" s="7" t="s">
        <v>2653</v>
      </c>
      <c r="B253" s="44">
        <v>46002</v>
      </c>
      <c r="C253" t="s">
        <v>2576</v>
      </c>
      <c r="D253" s="4">
        <f>SUM(H219:H247)-Tbl_Cashflow[[#This Row],[Colonna1]]+0.75</f>
        <v>-334.04999999999018</v>
      </c>
      <c r="E253" s="65" t="s">
        <v>2427</v>
      </c>
      <c r="F253" s="131" t="s">
        <v>49</v>
      </c>
      <c r="G253" t="s">
        <v>345</v>
      </c>
      <c r="H253" s="19">
        <f t="shared" si="61"/>
        <v>334.04999999999018</v>
      </c>
      <c r="I253" s="19" t="str">
        <f t="shared" si="62"/>
        <v/>
      </c>
      <c r="J253" s="19" t="str">
        <f t="shared" si="63"/>
        <v/>
      </c>
      <c r="K253" s="19" t="str">
        <f t="shared" si="64"/>
        <v/>
      </c>
      <c r="L253" s="19" t="str">
        <f t="shared" si="65"/>
        <v/>
      </c>
      <c r="M253" s="19"/>
      <c r="N253" s="22">
        <f t="shared" si="66"/>
        <v>334.04999999999018</v>
      </c>
      <c r="O253" s="32">
        <v>14583.88</v>
      </c>
    </row>
    <row r="254" spans="1:15" hidden="1">
      <c r="A254" s="7" t="s">
        <v>2653</v>
      </c>
      <c r="B254" s="44">
        <v>46002</v>
      </c>
      <c r="C254" t="s">
        <v>2576</v>
      </c>
      <c r="D254" s="4">
        <f>SUM(J219:J253)-Tbl_Cashflow[[#This Row],[Colonna1]]</f>
        <v>0</v>
      </c>
      <c r="E254" s="65" t="s">
        <v>2427</v>
      </c>
      <c r="F254" s="131" t="s">
        <v>49</v>
      </c>
      <c r="G254" t="s">
        <v>111</v>
      </c>
      <c r="H254" s="19" t="str">
        <f t="shared" si="61"/>
        <v/>
      </c>
      <c r="I254" s="19" t="str">
        <f t="shared" si="62"/>
        <v/>
      </c>
      <c r="J254" s="19">
        <f t="shared" si="63"/>
        <v>0</v>
      </c>
      <c r="K254" s="19" t="str">
        <f t="shared" si="64"/>
        <v/>
      </c>
      <c r="L254" s="19" t="str">
        <f t="shared" si="65"/>
        <v/>
      </c>
      <c r="M254" s="19"/>
      <c r="N254" s="22">
        <f t="shared" si="66"/>
        <v>0</v>
      </c>
      <c r="O254" s="32">
        <v>544.79</v>
      </c>
    </row>
    <row r="255" spans="1:15" hidden="1">
      <c r="A255" s="7" t="s">
        <v>2653</v>
      </c>
      <c r="B255" s="44">
        <v>46002</v>
      </c>
      <c r="C255" t="s">
        <v>2576</v>
      </c>
      <c r="D255" s="4">
        <v>0.8</v>
      </c>
      <c r="E255" s="65" t="s">
        <v>2427</v>
      </c>
      <c r="F255" s="131" t="s">
        <v>49</v>
      </c>
      <c r="G255" t="s">
        <v>296</v>
      </c>
      <c r="H255" s="19" t="str">
        <f t="shared" si="61"/>
        <v/>
      </c>
      <c r="I255" s="19" t="str">
        <f t="shared" si="62"/>
        <v/>
      </c>
      <c r="J255" s="19" t="str">
        <f t="shared" si="63"/>
        <v/>
      </c>
      <c r="K255" s="19" t="str">
        <f t="shared" si="64"/>
        <v/>
      </c>
      <c r="L255" s="19">
        <f t="shared" si="65"/>
        <v>-0.8</v>
      </c>
      <c r="M255" s="19"/>
      <c r="N255" s="22">
        <f t="shared" si="66"/>
        <v>-0.8</v>
      </c>
      <c r="O255" s="32">
        <v>5394.94</v>
      </c>
    </row>
    <row r="256" spans="1:15" hidden="1">
      <c r="A256" s="7" t="s">
        <v>2653</v>
      </c>
      <c r="B256" s="44">
        <v>46002</v>
      </c>
      <c r="C256" t="s">
        <v>2576</v>
      </c>
      <c r="D256" s="4">
        <f>SUM(I219:I253)-Tbl_Cashflow[[#This Row],[Colonna1]]</f>
        <v>-1.3145040611561853E-13</v>
      </c>
      <c r="E256" s="65" t="s">
        <v>2427</v>
      </c>
      <c r="F256" s="131" t="s">
        <v>49</v>
      </c>
      <c r="G256" t="s">
        <v>2434</v>
      </c>
      <c r="H256" s="19" t="str">
        <f t="shared" si="61"/>
        <v/>
      </c>
      <c r="I256" s="19">
        <f t="shared" si="62"/>
        <v>1.3145040611561853E-13</v>
      </c>
      <c r="J256" s="19" t="str">
        <f t="shared" si="63"/>
        <v/>
      </c>
      <c r="K256" s="19" t="str">
        <f t="shared" si="64"/>
        <v/>
      </c>
      <c r="L256" s="19" t="str">
        <f t="shared" si="65"/>
        <v/>
      </c>
      <c r="M256" s="19"/>
      <c r="N256" s="22">
        <f t="shared" si="66"/>
        <v>1.3145040611561853E-13</v>
      </c>
      <c r="O256" s="32">
        <v>22.56</v>
      </c>
    </row>
    <row r="257" spans="1:15" hidden="1">
      <c r="A257" s="7" t="s">
        <v>2653</v>
      </c>
      <c r="B257" s="44">
        <v>46007</v>
      </c>
      <c r="C257" t="s">
        <v>2665</v>
      </c>
      <c r="D257" s="4">
        <v>458</v>
      </c>
      <c r="E257" s="65" t="s">
        <v>2427</v>
      </c>
      <c r="F257" s="131" t="s">
        <v>49</v>
      </c>
      <c r="G257" t="s">
        <v>345</v>
      </c>
      <c r="H257" s="19">
        <f t="shared" si="61"/>
        <v>-458</v>
      </c>
      <c r="I257" s="19" t="str">
        <f t="shared" si="62"/>
        <v/>
      </c>
      <c r="J257" s="19" t="str">
        <f t="shared" si="63"/>
        <v/>
      </c>
      <c r="K257" s="19" t="str">
        <f t="shared" si="64"/>
        <v/>
      </c>
      <c r="L257" s="19" t="str">
        <f t="shared" si="65"/>
        <v/>
      </c>
      <c r="M257" s="19"/>
      <c r="N257" s="22">
        <f t="shared" si="66"/>
        <v>-458</v>
      </c>
      <c r="O257" s="31"/>
    </row>
    <row r="258" spans="1:15" hidden="1">
      <c r="A258" s="7" t="s">
        <v>2653</v>
      </c>
      <c r="B258" s="44">
        <v>46009</v>
      </c>
      <c r="C258" t="s">
        <v>2548</v>
      </c>
      <c r="D258" s="4">
        <f>10400-937.7</f>
        <v>9462.2999999999993</v>
      </c>
      <c r="E258" s="65" t="s">
        <v>2527</v>
      </c>
      <c r="F258" s="131" t="s">
        <v>49</v>
      </c>
      <c r="G258" t="s">
        <v>345</v>
      </c>
      <c r="H258" s="19">
        <f t="shared" si="61"/>
        <v>9462.2999999999993</v>
      </c>
      <c r="I258" s="19" t="str">
        <f t="shared" si="62"/>
        <v/>
      </c>
      <c r="J258" s="19" t="str">
        <f t="shared" si="63"/>
        <v/>
      </c>
      <c r="K258" s="19" t="str">
        <f t="shared" si="64"/>
        <v/>
      </c>
      <c r="L258" s="19" t="str">
        <f t="shared" si="65"/>
        <v/>
      </c>
      <c r="M258" s="19"/>
      <c r="N258" s="22">
        <f t="shared" si="66"/>
        <v>9462.2999999999993</v>
      </c>
      <c r="O258" s="31"/>
    </row>
    <row r="259" spans="1:15" hidden="1">
      <c r="A259" s="7" t="s">
        <v>2653</v>
      </c>
      <c r="B259" s="44">
        <v>46007</v>
      </c>
      <c r="C259" t="s">
        <v>2543</v>
      </c>
      <c r="D259" s="4">
        <v>200</v>
      </c>
      <c r="E259" s="65" t="s">
        <v>2427</v>
      </c>
      <c r="F259" s="131" t="s">
        <v>49</v>
      </c>
      <c r="G259" t="s">
        <v>111</v>
      </c>
      <c r="H259" s="19" t="str">
        <f t="shared" si="61"/>
        <v/>
      </c>
      <c r="I259" s="19" t="str">
        <f t="shared" si="62"/>
        <v/>
      </c>
      <c r="J259" s="19">
        <f t="shared" si="63"/>
        <v>-200</v>
      </c>
      <c r="K259" s="19" t="str">
        <f t="shared" si="64"/>
        <v/>
      </c>
      <c r="L259" s="19" t="str">
        <f t="shared" si="65"/>
        <v/>
      </c>
      <c r="M259" s="19"/>
      <c r="N259" s="22">
        <f t="shared" si="66"/>
        <v>-200</v>
      </c>
      <c r="O259" s="31"/>
    </row>
    <row r="260" spans="1:15" hidden="1">
      <c r="A260" s="7" t="s">
        <v>2653</v>
      </c>
      <c r="B260" s="44">
        <v>46013</v>
      </c>
      <c r="C260" t="s">
        <v>2213</v>
      </c>
      <c r="D260" s="4">
        <v>764.62</v>
      </c>
      <c r="E260" s="65" t="s">
        <v>2427</v>
      </c>
      <c r="F260" s="131" t="s">
        <v>49</v>
      </c>
      <c r="G260" t="s">
        <v>345</v>
      </c>
      <c r="H260" s="19">
        <f t="shared" si="61"/>
        <v>-764.62</v>
      </c>
      <c r="I260" s="19" t="str">
        <f t="shared" si="62"/>
        <v/>
      </c>
      <c r="J260" s="19" t="str">
        <f t="shared" si="63"/>
        <v/>
      </c>
      <c r="K260" s="19" t="str">
        <f t="shared" si="64"/>
        <v/>
      </c>
      <c r="L260" s="19" t="str">
        <f t="shared" si="65"/>
        <v/>
      </c>
      <c r="M260" s="19"/>
      <c r="N260" s="22">
        <f t="shared" si="66"/>
        <v>-764.62</v>
      </c>
      <c r="O260" s="31"/>
    </row>
    <row r="261" spans="1:15" hidden="1">
      <c r="A261" s="7" t="s">
        <v>2653</v>
      </c>
      <c r="B261" s="44">
        <v>46013</v>
      </c>
      <c r="C261" t="s">
        <v>2666</v>
      </c>
      <c r="D261" s="4">
        <f>50000-4508.2</f>
        <v>45491.8</v>
      </c>
      <c r="E261" s="65" t="s">
        <v>2527</v>
      </c>
      <c r="F261" s="131" t="s">
        <v>49</v>
      </c>
      <c r="G261" t="s">
        <v>296</v>
      </c>
      <c r="H261" s="19" t="str">
        <f t="shared" si="61"/>
        <v/>
      </c>
      <c r="I261" s="19" t="str">
        <f t="shared" si="62"/>
        <v/>
      </c>
      <c r="J261" s="19" t="str">
        <f t="shared" si="63"/>
        <v/>
      </c>
      <c r="K261" s="19" t="str">
        <f t="shared" si="64"/>
        <v/>
      </c>
      <c r="L261" s="19">
        <f t="shared" si="65"/>
        <v>45491.8</v>
      </c>
      <c r="M261" s="19"/>
      <c r="N261" s="22">
        <f t="shared" si="66"/>
        <v>45491.8</v>
      </c>
      <c r="O261" s="31"/>
    </row>
    <row r="262" spans="1:15" hidden="1">
      <c r="A262" s="7" t="s">
        <v>2525</v>
      </c>
      <c r="B262" s="44">
        <v>46014</v>
      </c>
      <c r="C262" t="s">
        <v>2526</v>
      </c>
      <c r="D262" s="4">
        <v>3500</v>
      </c>
      <c r="E262" s="65" t="s">
        <v>2427</v>
      </c>
      <c r="F262" s="131" t="s">
        <v>49</v>
      </c>
      <c r="G262" t="s">
        <v>296</v>
      </c>
      <c r="H262" s="19" t="str">
        <f t="shared" si="61"/>
        <v/>
      </c>
      <c r="I262" s="19" t="str">
        <f t="shared" si="62"/>
        <v/>
      </c>
      <c r="J262" s="19" t="str">
        <f t="shared" si="63"/>
        <v/>
      </c>
      <c r="K262" s="19" t="str">
        <f t="shared" si="64"/>
        <v/>
      </c>
      <c r="L262" s="19">
        <f t="shared" si="65"/>
        <v>-3500</v>
      </c>
      <c r="M262" s="19"/>
      <c r="N262" s="22">
        <f t="shared" si="66"/>
        <v>-3500</v>
      </c>
      <c r="O262" s="31"/>
    </row>
    <row r="263" spans="1:15" hidden="1">
      <c r="A263" s="7" t="s">
        <v>2525</v>
      </c>
      <c r="B263" s="44">
        <v>46014</v>
      </c>
      <c r="C263" t="s">
        <v>2526</v>
      </c>
      <c r="D263" s="4">
        <v>3500</v>
      </c>
      <c r="E263" s="65" t="s">
        <v>2527</v>
      </c>
      <c r="F263" s="131" t="s">
        <v>49</v>
      </c>
      <c r="G263" t="s">
        <v>111</v>
      </c>
      <c r="H263" s="19" t="str">
        <f t="shared" si="61"/>
        <v/>
      </c>
      <c r="I263" s="19" t="str">
        <f t="shared" si="62"/>
        <v/>
      </c>
      <c r="J263" s="19">
        <f t="shared" si="63"/>
        <v>3500</v>
      </c>
      <c r="K263" s="19" t="str">
        <f t="shared" si="64"/>
        <v/>
      </c>
      <c r="L263" s="19" t="str">
        <f t="shared" si="65"/>
        <v/>
      </c>
      <c r="M263" s="19"/>
      <c r="N263" s="22">
        <f t="shared" si="66"/>
        <v>3500</v>
      </c>
      <c r="O263" s="31"/>
    </row>
    <row r="264" spans="1:15" hidden="1">
      <c r="A264" s="7" t="s">
        <v>2525</v>
      </c>
      <c r="B264" s="44">
        <v>46014</v>
      </c>
      <c r="C264" t="s">
        <v>2667</v>
      </c>
      <c r="D264" s="4">
        <v>550</v>
      </c>
      <c r="E264" s="65" t="s">
        <v>2427</v>
      </c>
      <c r="F264" s="131" t="s">
        <v>49</v>
      </c>
      <c r="G264" t="s">
        <v>296</v>
      </c>
      <c r="H264" s="19" t="str">
        <f t="shared" si="61"/>
        <v/>
      </c>
      <c r="I264" s="19" t="str">
        <f t="shared" si="62"/>
        <v/>
      </c>
      <c r="J264" s="19" t="str">
        <f t="shared" si="63"/>
        <v/>
      </c>
      <c r="K264" s="19" t="str">
        <f t="shared" si="64"/>
        <v/>
      </c>
      <c r="L264" s="19">
        <f t="shared" si="65"/>
        <v>-550</v>
      </c>
      <c r="M264" s="19"/>
      <c r="N264" s="22">
        <f t="shared" si="66"/>
        <v>-550</v>
      </c>
      <c r="O264" s="31"/>
    </row>
    <row r="265" spans="1:15" hidden="1">
      <c r="A265" s="7" t="s">
        <v>2525</v>
      </c>
      <c r="B265" s="44">
        <v>46014</v>
      </c>
      <c r="C265" t="s">
        <v>2667</v>
      </c>
      <c r="D265" s="4">
        <v>550</v>
      </c>
      <c r="E265" s="65" t="s">
        <v>2527</v>
      </c>
      <c r="F265" s="131" t="s">
        <v>49</v>
      </c>
      <c r="G265" t="s">
        <v>2434</v>
      </c>
      <c r="H265" s="19" t="str">
        <f t="shared" si="61"/>
        <v/>
      </c>
      <c r="I265" s="19">
        <f t="shared" si="62"/>
        <v>550</v>
      </c>
      <c r="J265" s="19" t="str">
        <f t="shared" si="63"/>
        <v/>
      </c>
      <c r="K265" s="19" t="str">
        <f t="shared" si="64"/>
        <v/>
      </c>
      <c r="L265" s="19" t="str">
        <f t="shared" si="65"/>
        <v/>
      </c>
      <c r="M265" s="19"/>
      <c r="N265" s="22">
        <f t="shared" si="66"/>
        <v>550</v>
      </c>
      <c r="O265" s="31"/>
    </row>
    <row r="266" spans="1:15" hidden="1">
      <c r="A266" s="7" t="s">
        <v>2525</v>
      </c>
      <c r="B266" s="44">
        <v>46014</v>
      </c>
      <c r="C266" t="s">
        <v>2668</v>
      </c>
      <c r="D266" s="4">
        <v>10000</v>
      </c>
      <c r="E266" s="65" t="s">
        <v>2427</v>
      </c>
      <c r="F266" s="131" t="s">
        <v>49</v>
      </c>
      <c r="G266" t="s">
        <v>296</v>
      </c>
      <c r="H266" s="19" t="str">
        <f t="shared" si="61"/>
        <v/>
      </c>
      <c r="I266" s="19" t="str">
        <f t="shared" si="62"/>
        <v/>
      </c>
      <c r="J266" s="19" t="str">
        <f t="shared" si="63"/>
        <v/>
      </c>
      <c r="K266" s="19" t="str">
        <f t="shared" si="64"/>
        <v/>
      </c>
      <c r="L266" s="19">
        <f t="shared" si="65"/>
        <v>-10000</v>
      </c>
      <c r="M266" s="19"/>
      <c r="N266" s="22">
        <f t="shared" si="66"/>
        <v>-10000</v>
      </c>
      <c r="O266" s="31"/>
    </row>
    <row r="267" spans="1:15" hidden="1">
      <c r="A267" s="7" t="s">
        <v>2525</v>
      </c>
      <c r="B267" s="44">
        <v>46014</v>
      </c>
      <c r="C267" t="s">
        <v>2668</v>
      </c>
      <c r="D267" s="4">
        <v>10000</v>
      </c>
      <c r="E267" s="65" t="s">
        <v>2527</v>
      </c>
      <c r="F267" s="131" t="s">
        <v>49</v>
      </c>
      <c r="G267" t="s">
        <v>2435</v>
      </c>
      <c r="H267" s="19" t="str">
        <f t="shared" si="61"/>
        <v/>
      </c>
      <c r="I267" s="19" t="str">
        <f t="shared" si="62"/>
        <v/>
      </c>
      <c r="J267" s="19" t="str">
        <f t="shared" si="63"/>
        <v/>
      </c>
      <c r="K267" s="19">
        <f t="shared" si="64"/>
        <v>10000</v>
      </c>
      <c r="L267" s="19" t="str">
        <f t="shared" si="65"/>
        <v/>
      </c>
      <c r="M267" s="19"/>
      <c r="N267" s="22">
        <f t="shared" si="66"/>
        <v>10000</v>
      </c>
      <c r="O267" s="31"/>
    </row>
    <row r="268" spans="1:15" ht="20.100000000000001" hidden="1" customHeight="1">
      <c r="A268" s="7" t="s">
        <v>2653</v>
      </c>
      <c r="B268" s="44">
        <v>46013</v>
      </c>
      <c r="C268" t="s">
        <v>2642</v>
      </c>
      <c r="D268" s="4">
        <v>10000</v>
      </c>
      <c r="E268" s="65" t="s">
        <v>2427</v>
      </c>
      <c r="F268" s="131" t="s">
        <v>49</v>
      </c>
      <c r="G268" t="s">
        <v>2435</v>
      </c>
      <c r="H268" s="19" t="str">
        <f t="shared" si="61"/>
        <v/>
      </c>
      <c r="I268" s="19" t="str">
        <f t="shared" si="62"/>
        <v/>
      </c>
      <c r="J268" s="19" t="str">
        <f t="shared" si="63"/>
        <v/>
      </c>
      <c r="K268" s="19">
        <f t="shared" si="64"/>
        <v>-10000</v>
      </c>
      <c r="L268" s="19" t="str">
        <f t="shared" si="65"/>
        <v/>
      </c>
      <c r="M268" s="19"/>
      <c r="N268" s="22">
        <f t="shared" si="66"/>
        <v>-10000</v>
      </c>
      <c r="O268" s="31"/>
    </row>
    <row r="269" spans="1:15" ht="20.100000000000001" hidden="1" customHeight="1">
      <c r="A269" s="7" t="s">
        <v>2653</v>
      </c>
      <c r="B269" s="44">
        <v>46013</v>
      </c>
      <c r="C269" t="s">
        <v>2144</v>
      </c>
      <c r="D269" s="4">
        <v>1218.06</v>
      </c>
      <c r="E269" s="65" t="s">
        <v>2427</v>
      </c>
      <c r="F269" s="131" t="s">
        <v>49</v>
      </c>
      <c r="G269" t="s">
        <v>296</v>
      </c>
      <c r="H269" s="19" t="str">
        <f t="shared" si="61"/>
        <v/>
      </c>
      <c r="I269" s="19" t="str">
        <f t="shared" si="62"/>
        <v/>
      </c>
      <c r="J269" s="19" t="str">
        <f t="shared" si="63"/>
        <v/>
      </c>
      <c r="K269" s="19" t="str">
        <f t="shared" si="64"/>
        <v/>
      </c>
      <c r="L269" s="19">
        <f t="shared" si="65"/>
        <v>-1218.06</v>
      </c>
      <c r="M269" s="19"/>
      <c r="O269" s="31" t="s">
        <v>2669</v>
      </c>
    </row>
    <row r="270" spans="1:15" ht="20.100000000000001" hidden="1" customHeight="1">
      <c r="A270" s="7" t="s">
        <v>2653</v>
      </c>
      <c r="B270" s="44" t="s">
        <v>2655</v>
      </c>
      <c r="C270" t="s">
        <v>2444</v>
      </c>
      <c r="D270" s="4">
        <v>502.41</v>
      </c>
      <c r="E270" s="65" t="s">
        <v>2427</v>
      </c>
      <c r="F270" s="131" t="s">
        <v>49</v>
      </c>
      <c r="G270" t="s">
        <v>2434</v>
      </c>
      <c r="H270" s="19" t="str">
        <f t="shared" si="61"/>
        <v/>
      </c>
      <c r="I270" s="19">
        <f t="shared" si="62"/>
        <v>-502.41</v>
      </c>
      <c r="J270" s="19" t="str">
        <f t="shared" si="63"/>
        <v/>
      </c>
      <c r="K270" s="19" t="str">
        <f t="shared" si="64"/>
        <v/>
      </c>
      <c r="L270" s="19" t="str">
        <f t="shared" si="65"/>
        <v/>
      </c>
      <c r="M270" s="19" t="str">
        <f t="shared" ref="M270:M278" si="67">IF(AND($F270="X",$G270="CASSA"),IF($E270="U",-$D270,$D270),"")</f>
        <v/>
      </c>
      <c r="N270" s="22">
        <f t="shared" ref="N270:N285" si="68">IF(F270="X",IF(E270="U",-D270,D270),"non ancora confermato")</f>
        <v>-502.41</v>
      </c>
      <c r="O270" s="31"/>
    </row>
    <row r="271" spans="1:15" ht="20.100000000000001" hidden="1" customHeight="1">
      <c r="A271" s="7" t="s">
        <v>2653</v>
      </c>
      <c r="B271" s="44" t="s">
        <v>2655</v>
      </c>
      <c r="C271" t="s">
        <v>2303</v>
      </c>
      <c r="D271" s="4">
        <f>40000/5</f>
        <v>8000</v>
      </c>
      <c r="E271" s="65" t="s">
        <v>2427</v>
      </c>
      <c r="F271" s="131"/>
      <c r="G271" t="s">
        <v>345</v>
      </c>
      <c r="H271" s="19" t="str">
        <f t="shared" si="61"/>
        <v/>
      </c>
      <c r="I271" s="19" t="str">
        <f t="shared" si="62"/>
        <v/>
      </c>
      <c r="J271" s="19" t="str">
        <f t="shared" si="63"/>
        <v/>
      </c>
      <c r="K271" s="19" t="str">
        <f t="shared" si="64"/>
        <v/>
      </c>
      <c r="L271" s="19" t="str">
        <f t="shared" si="65"/>
        <v/>
      </c>
      <c r="M271" s="19" t="str">
        <f t="shared" si="67"/>
        <v/>
      </c>
      <c r="N271" s="22" t="str">
        <f t="shared" si="68"/>
        <v>non ancora confermato</v>
      </c>
      <c r="O271" s="31"/>
    </row>
    <row r="272" spans="1:15" ht="20.100000000000001" hidden="1" customHeight="1">
      <c r="A272" s="7" t="s">
        <v>2653</v>
      </c>
      <c r="B272" s="44">
        <v>46015</v>
      </c>
      <c r="C272" t="s">
        <v>2670</v>
      </c>
      <c r="D272" s="4">
        <v>668.56</v>
      </c>
      <c r="E272" s="65" t="s">
        <v>2427</v>
      </c>
      <c r="F272" s="131" t="s">
        <v>49</v>
      </c>
      <c r="G272" t="s">
        <v>345</v>
      </c>
      <c r="H272" s="19">
        <f t="shared" si="61"/>
        <v>-668.56</v>
      </c>
      <c r="I272" s="19" t="str">
        <f t="shared" si="62"/>
        <v/>
      </c>
      <c r="J272" s="19" t="str">
        <f t="shared" si="63"/>
        <v/>
      </c>
      <c r="K272" s="19" t="str">
        <f t="shared" si="64"/>
        <v/>
      </c>
      <c r="L272" s="19" t="str">
        <f t="shared" si="65"/>
        <v/>
      </c>
      <c r="M272" s="19" t="str">
        <f t="shared" si="67"/>
        <v/>
      </c>
      <c r="N272" s="22">
        <f t="shared" si="68"/>
        <v>-668.56</v>
      </c>
      <c r="O272" s="31"/>
    </row>
    <row r="273" spans="1:16" ht="20.100000000000001" hidden="1" customHeight="1">
      <c r="A273" s="7" t="s">
        <v>2653</v>
      </c>
      <c r="B273" s="44">
        <v>46020</v>
      </c>
      <c r="C273" t="s">
        <v>2586</v>
      </c>
      <c r="D273" s="4">
        <v>1922.3</v>
      </c>
      <c r="E273" s="65" t="s">
        <v>2427</v>
      </c>
      <c r="F273" s="131" t="s">
        <v>49</v>
      </c>
      <c r="G273" t="s">
        <v>345</v>
      </c>
      <c r="H273" s="19">
        <f t="shared" si="61"/>
        <v>-1922.3</v>
      </c>
      <c r="I273" s="19" t="str">
        <f t="shared" si="62"/>
        <v/>
      </c>
      <c r="J273" s="19" t="str">
        <f t="shared" si="63"/>
        <v/>
      </c>
      <c r="K273" s="19" t="str">
        <f t="shared" si="64"/>
        <v/>
      </c>
      <c r="L273" s="19" t="str">
        <f t="shared" si="65"/>
        <v/>
      </c>
      <c r="M273" s="19" t="str">
        <f t="shared" si="67"/>
        <v/>
      </c>
      <c r="N273" s="22">
        <f t="shared" si="68"/>
        <v>-1922.3</v>
      </c>
      <c r="O273" s="31"/>
    </row>
    <row r="274" spans="1:16" ht="20.100000000000001" hidden="1" customHeight="1">
      <c r="A274" s="7" t="s">
        <v>2653</v>
      </c>
      <c r="B274" s="44">
        <v>46020</v>
      </c>
      <c r="C274" t="s">
        <v>2671</v>
      </c>
      <c r="D274" s="4">
        <v>441.89</v>
      </c>
      <c r="E274" s="65" t="s">
        <v>2427</v>
      </c>
      <c r="F274" s="131" t="s">
        <v>49</v>
      </c>
      <c r="G274" t="s">
        <v>345</v>
      </c>
      <c r="H274" s="19">
        <f t="shared" si="61"/>
        <v>-441.89</v>
      </c>
      <c r="I274" s="19" t="str">
        <f t="shared" si="62"/>
        <v/>
      </c>
      <c r="J274" s="19" t="str">
        <f t="shared" si="63"/>
        <v/>
      </c>
      <c r="K274" s="19" t="str">
        <f t="shared" si="64"/>
        <v/>
      </c>
      <c r="L274" s="19" t="str">
        <f t="shared" si="65"/>
        <v/>
      </c>
      <c r="M274" s="19" t="str">
        <f t="shared" si="67"/>
        <v/>
      </c>
      <c r="N274" s="22">
        <f t="shared" si="68"/>
        <v>-441.89</v>
      </c>
      <c r="O274" s="31"/>
    </row>
    <row r="275" spans="1:16" ht="45" hidden="1" customHeight="1">
      <c r="A275" s="7" t="s">
        <v>2653</v>
      </c>
      <c r="B275" s="44">
        <v>46019</v>
      </c>
      <c r="C275" t="s">
        <v>2596</v>
      </c>
      <c r="D275" s="4">
        <v>60.9</v>
      </c>
      <c r="E275" s="65" t="s">
        <v>2427</v>
      </c>
      <c r="F275" s="131" t="s">
        <v>49</v>
      </c>
      <c r="G275" t="s">
        <v>345</v>
      </c>
      <c r="H275" s="19">
        <f t="shared" si="61"/>
        <v>-60.9</v>
      </c>
      <c r="I275" s="19" t="str">
        <f t="shared" si="62"/>
        <v/>
      </c>
      <c r="J275" s="19" t="str">
        <f t="shared" si="63"/>
        <v/>
      </c>
      <c r="K275" s="19" t="str">
        <f t="shared" si="64"/>
        <v/>
      </c>
      <c r="L275" s="19" t="str">
        <f t="shared" si="65"/>
        <v/>
      </c>
      <c r="M275" s="19" t="str">
        <f t="shared" si="67"/>
        <v/>
      </c>
      <c r="N275" s="22">
        <f t="shared" si="68"/>
        <v>-60.9</v>
      </c>
      <c r="O275" s="145" t="s">
        <v>2672</v>
      </c>
    </row>
    <row r="276" spans="1:16" ht="20.100000000000001" hidden="1" customHeight="1">
      <c r="A276" s="7" t="s">
        <v>2653</v>
      </c>
      <c r="B276" s="44">
        <v>46019</v>
      </c>
      <c r="C276" t="s">
        <v>2259</v>
      </c>
      <c r="D276" s="4">
        <v>815.94</v>
      </c>
      <c r="E276" s="65" t="s">
        <v>2427</v>
      </c>
      <c r="F276" s="131" t="s">
        <v>49</v>
      </c>
      <c r="G276" t="s">
        <v>345</v>
      </c>
      <c r="H276" s="19">
        <f t="shared" si="61"/>
        <v>-815.94</v>
      </c>
      <c r="I276" s="19" t="str">
        <f t="shared" si="62"/>
        <v/>
      </c>
      <c r="J276" s="19" t="str">
        <f t="shared" si="63"/>
        <v/>
      </c>
      <c r="K276" s="19" t="str">
        <f t="shared" si="64"/>
        <v/>
      </c>
      <c r="L276" s="19" t="str">
        <f t="shared" si="65"/>
        <v/>
      </c>
      <c r="M276" s="19" t="str">
        <f t="shared" si="67"/>
        <v/>
      </c>
      <c r="N276" s="22">
        <f t="shared" si="68"/>
        <v>-815.94</v>
      </c>
      <c r="O276" s="31" t="s">
        <v>2673</v>
      </c>
    </row>
    <row r="277" spans="1:16" ht="20.100000000000001" hidden="1" customHeight="1">
      <c r="A277" s="7" t="s">
        <v>2653</v>
      </c>
      <c r="B277" s="44">
        <v>46022</v>
      </c>
      <c r="C277" t="s">
        <v>2252</v>
      </c>
      <c r="D277" s="4">
        <v>227.51</v>
      </c>
      <c r="E277" s="65" t="s">
        <v>2427</v>
      </c>
      <c r="F277" s="131" t="s">
        <v>49</v>
      </c>
      <c r="G277" t="s">
        <v>345</v>
      </c>
      <c r="H277" s="19">
        <f t="shared" si="61"/>
        <v>-227.51</v>
      </c>
      <c r="I277" s="19" t="str">
        <f t="shared" si="62"/>
        <v/>
      </c>
      <c r="J277" s="19" t="str">
        <f t="shared" si="63"/>
        <v/>
      </c>
      <c r="K277" s="19" t="str">
        <f t="shared" si="64"/>
        <v/>
      </c>
      <c r="L277" s="19" t="str">
        <f t="shared" si="65"/>
        <v/>
      </c>
      <c r="M277" s="19" t="str">
        <f t="shared" si="67"/>
        <v/>
      </c>
      <c r="N277" s="22">
        <f t="shared" si="68"/>
        <v>-227.51</v>
      </c>
      <c r="O277" s="31"/>
    </row>
    <row r="278" spans="1:16" ht="20.100000000000001" hidden="1" customHeight="1">
      <c r="A278" s="7" t="s">
        <v>2653</v>
      </c>
      <c r="B278" s="44">
        <v>46022</v>
      </c>
      <c r="C278" t="s">
        <v>2141</v>
      </c>
      <c r="D278" s="4">
        <v>81</v>
      </c>
      <c r="E278" s="65" t="s">
        <v>2427</v>
      </c>
      <c r="F278" s="131" t="s">
        <v>49</v>
      </c>
      <c r="G278" t="s">
        <v>345</v>
      </c>
      <c r="H278" s="19">
        <f t="shared" si="61"/>
        <v>-81</v>
      </c>
      <c r="I278" s="19" t="str">
        <f t="shared" si="62"/>
        <v/>
      </c>
      <c r="J278" s="19" t="str">
        <f t="shared" si="63"/>
        <v/>
      </c>
      <c r="K278" s="19" t="str">
        <f t="shared" si="64"/>
        <v/>
      </c>
      <c r="L278" s="19" t="str">
        <f t="shared" si="65"/>
        <v/>
      </c>
      <c r="M278" s="19" t="str">
        <f t="shared" si="67"/>
        <v/>
      </c>
      <c r="N278" s="22">
        <f t="shared" si="68"/>
        <v>-81</v>
      </c>
      <c r="O278" s="31"/>
    </row>
    <row r="279" spans="1:16" hidden="1">
      <c r="A279" s="7" t="s">
        <v>2653</v>
      </c>
      <c r="B279" s="44" t="s">
        <v>2655</v>
      </c>
      <c r="C279" t="s">
        <v>2674</v>
      </c>
      <c r="D279" s="4">
        <f>3697.97-333.42</f>
        <v>3364.5499999999997</v>
      </c>
      <c r="E279" s="65" t="s">
        <v>2527</v>
      </c>
      <c r="F279" s="131" t="s">
        <v>49</v>
      </c>
      <c r="G279" t="s">
        <v>296</v>
      </c>
      <c r="H279" s="19" t="str">
        <f t="shared" si="61"/>
        <v/>
      </c>
      <c r="I279" s="19" t="str">
        <f t="shared" si="62"/>
        <v/>
      </c>
      <c r="J279" s="19" t="str">
        <f t="shared" si="63"/>
        <v/>
      </c>
      <c r="K279" s="19" t="str">
        <f t="shared" si="64"/>
        <v/>
      </c>
      <c r="L279" s="19">
        <f t="shared" si="65"/>
        <v>3364.5499999999997</v>
      </c>
      <c r="M279" s="19"/>
      <c r="N279" s="22">
        <f t="shared" si="68"/>
        <v>3364.5499999999997</v>
      </c>
      <c r="O279" s="31"/>
    </row>
    <row r="280" spans="1:16" hidden="1">
      <c r="A280" s="7" t="s">
        <v>2653</v>
      </c>
      <c r="B280" s="44" t="s">
        <v>2655</v>
      </c>
      <c r="C280" t="s">
        <v>2675</v>
      </c>
      <c r="D280" s="4">
        <f>42275.56-3811.73</f>
        <v>38463.829999999994</v>
      </c>
      <c r="E280" s="65" t="s">
        <v>2527</v>
      </c>
      <c r="F280" s="131" t="s">
        <v>49</v>
      </c>
      <c r="G280" t="s">
        <v>296</v>
      </c>
      <c r="H280" s="19" t="str">
        <f t="shared" si="61"/>
        <v/>
      </c>
      <c r="I280" s="19" t="str">
        <f t="shared" si="62"/>
        <v/>
      </c>
      <c r="J280" s="19" t="str">
        <f t="shared" si="63"/>
        <v/>
      </c>
      <c r="K280" s="19" t="str">
        <f t="shared" si="64"/>
        <v/>
      </c>
      <c r="L280" s="19">
        <f t="shared" si="65"/>
        <v>38463.829999999994</v>
      </c>
      <c r="M280" s="19"/>
      <c r="N280" s="22">
        <f t="shared" si="68"/>
        <v>38463.829999999994</v>
      </c>
      <c r="O280" s="31"/>
    </row>
    <row r="281" spans="1:16" ht="20.100000000000001" hidden="1" customHeight="1">
      <c r="A281" s="7" t="s">
        <v>2653</v>
      </c>
      <c r="B281" s="44">
        <v>46021</v>
      </c>
      <c r="C281" t="s">
        <v>2639</v>
      </c>
      <c r="D281" s="4">
        <v>20000</v>
      </c>
      <c r="E281" s="65" t="s">
        <v>2527</v>
      </c>
      <c r="F281" s="48" t="s">
        <v>2431</v>
      </c>
      <c r="G281" t="s">
        <v>2434</v>
      </c>
      <c r="H281" s="19" t="str">
        <f t="shared" si="61"/>
        <v/>
      </c>
      <c r="I281" s="19" t="str">
        <f t="shared" si="62"/>
        <v/>
      </c>
      <c r="J281" s="19" t="str">
        <f t="shared" si="63"/>
        <v/>
      </c>
      <c r="K281" s="19" t="str">
        <f t="shared" si="64"/>
        <v/>
      </c>
      <c r="L281" s="19" t="str">
        <f t="shared" si="65"/>
        <v/>
      </c>
      <c r="M281" s="19" t="str">
        <f>IF(AND($F281="X",$G281="CASSA"),IF($E281="U",-$D281,$D281),"")</f>
        <v/>
      </c>
      <c r="N281" s="22" t="str">
        <f t="shared" si="68"/>
        <v>non ancora confermato</v>
      </c>
      <c r="O281" s="31"/>
    </row>
    <row r="282" spans="1:16" ht="20.100000000000001" hidden="1" customHeight="1">
      <c r="A282" s="7" t="s">
        <v>2653</v>
      </c>
      <c r="B282" s="44">
        <v>46022</v>
      </c>
      <c r="C282" t="s">
        <v>1818</v>
      </c>
      <c r="D282" s="4">
        <v>43000</v>
      </c>
      <c r="E282" s="65" t="s">
        <v>2527</v>
      </c>
      <c r="F282" s="48" t="s">
        <v>2431</v>
      </c>
      <c r="G282" t="s">
        <v>825</v>
      </c>
      <c r="H282" s="19" t="str">
        <f t="shared" si="61"/>
        <v/>
      </c>
      <c r="I282" s="19" t="str">
        <f t="shared" si="62"/>
        <v/>
      </c>
      <c r="J282" s="19" t="str">
        <f t="shared" si="63"/>
        <v/>
      </c>
      <c r="K282" s="19" t="str">
        <f t="shared" si="64"/>
        <v/>
      </c>
      <c r="L282" s="19" t="str">
        <f t="shared" si="65"/>
        <v/>
      </c>
      <c r="M282" s="19" t="str">
        <f>IF(AND($F282="X",$G282="CASSA"),IF($E282="U",-$D282,$D282),"")</f>
        <v/>
      </c>
      <c r="N282" s="22" t="str">
        <f t="shared" si="68"/>
        <v>non ancora confermato</v>
      </c>
      <c r="O282" s="31"/>
    </row>
    <row r="283" spans="1:16" ht="30" hidden="1" customHeight="1">
      <c r="A283" s="7" t="s">
        <v>2653</v>
      </c>
      <c r="B283" s="44">
        <v>46022</v>
      </c>
      <c r="C283" t="s">
        <v>2578</v>
      </c>
      <c r="D283" s="4">
        <f>15000-2000</f>
        <v>13000</v>
      </c>
      <c r="E283" s="65" t="s">
        <v>2527</v>
      </c>
      <c r="F283" s="48" t="s">
        <v>2431</v>
      </c>
      <c r="G283" t="s">
        <v>825</v>
      </c>
      <c r="H283" s="19" t="str">
        <f t="shared" si="61"/>
        <v/>
      </c>
      <c r="I283" s="19" t="str">
        <f t="shared" si="62"/>
        <v/>
      </c>
      <c r="J283" s="19" t="str">
        <f t="shared" si="63"/>
        <v/>
      </c>
      <c r="K283" s="19" t="str">
        <f t="shared" si="64"/>
        <v/>
      </c>
      <c r="L283" s="19" t="str">
        <f t="shared" si="65"/>
        <v/>
      </c>
      <c r="M283" s="19" t="str">
        <f>IF(AND($F283="X",$G283="CASSA"),IF($E283="U",-$D283,$D283),"")</f>
        <v/>
      </c>
      <c r="N283" s="22" t="str">
        <f t="shared" si="68"/>
        <v>non ancora confermato</v>
      </c>
      <c r="O283" s="145" t="s">
        <v>2676</v>
      </c>
    </row>
    <row r="284" spans="1:16" ht="30" hidden="1" customHeight="1">
      <c r="A284" s="7" t="s">
        <v>2653</v>
      </c>
      <c r="B284" s="44">
        <v>46016</v>
      </c>
      <c r="C284" t="s">
        <v>2177</v>
      </c>
      <c r="D284" s="4">
        <v>10000</v>
      </c>
      <c r="E284" s="65" t="s">
        <v>2427</v>
      </c>
      <c r="F284" s="131" t="s">
        <v>49</v>
      </c>
      <c r="G284" t="s">
        <v>296</v>
      </c>
      <c r="H284" s="19" t="str">
        <f t="shared" si="61"/>
        <v/>
      </c>
      <c r="I284" s="19" t="str">
        <f t="shared" si="62"/>
        <v/>
      </c>
      <c r="J284" s="19" t="str">
        <f t="shared" si="63"/>
        <v/>
      </c>
      <c r="K284" s="19" t="str">
        <f t="shared" si="64"/>
        <v/>
      </c>
      <c r="L284" s="19">
        <f t="shared" si="65"/>
        <v>-10000</v>
      </c>
      <c r="M284" s="19"/>
      <c r="N284" s="22">
        <f t="shared" si="68"/>
        <v>-10000</v>
      </c>
      <c r="O284" s="141" t="s">
        <v>2560</v>
      </c>
    </row>
    <row r="285" spans="1:16" ht="20.100000000000001" hidden="1" customHeight="1">
      <c r="A285" s="7" t="s">
        <v>2653</v>
      </c>
      <c r="B285" s="44" t="s">
        <v>2655</v>
      </c>
      <c r="C285" t="s">
        <v>2512</v>
      </c>
      <c r="D285" s="4">
        <v>3127.22</v>
      </c>
      <c r="E285" s="65" t="s">
        <v>2427</v>
      </c>
      <c r="F285" s="131" t="s">
        <v>49</v>
      </c>
      <c r="G285" t="s">
        <v>111</v>
      </c>
      <c r="H285" s="19" t="str">
        <f t="shared" si="61"/>
        <v/>
      </c>
      <c r="I285" s="19" t="str">
        <f t="shared" si="62"/>
        <v/>
      </c>
      <c r="J285" s="19">
        <f t="shared" si="63"/>
        <v>-3127.22</v>
      </c>
      <c r="K285" s="19" t="str">
        <f t="shared" si="64"/>
        <v/>
      </c>
      <c r="L285" s="19" t="str">
        <f t="shared" si="65"/>
        <v/>
      </c>
      <c r="M285" s="19"/>
      <c r="N285" s="22">
        <f t="shared" si="68"/>
        <v>-3127.22</v>
      </c>
      <c r="O285" s="31"/>
    </row>
    <row r="286" spans="1:16" ht="20.100000000000001" hidden="1" customHeight="1">
      <c r="A286" s="7" t="s">
        <v>2653</v>
      </c>
      <c r="B286" s="44">
        <v>46020</v>
      </c>
      <c r="C286" t="s">
        <v>2144</v>
      </c>
      <c r="D286" s="4">
        <f>(8150-2450)/5</f>
        <v>1140</v>
      </c>
      <c r="E286" s="65" t="s">
        <v>2427</v>
      </c>
      <c r="F286" s="131" t="s">
        <v>49</v>
      </c>
      <c r="G286" t="s">
        <v>111</v>
      </c>
      <c r="H286" s="19" t="str">
        <f t="shared" si="61"/>
        <v/>
      </c>
      <c r="I286" s="19" t="str">
        <f t="shared" si="62"/>
        <v/>
      </c>
      <c r="J286" s="19">
        <f t="shared" si="63"/>
        <v>-1140</v>
      </c>
      <c r="K286" s="19" t="str">
        <f t="shared" si="64"/>
        <v/>
      </c>
      <c r="L286" s="19" t="str">
        <f t="shared" si="65"/>
        <v/>
      </c>
      <c r="M286" s="19"/>
      <c r="O286" s="31"/>
    </row>
    <row r="287" spans="1:16" ht="30" hidden="1" customHeight="1">
      <c r="A287" s="13"/>
      <c r="B287" s="53"/>
      <c r="C287" s="9"/>
      <c r="D287" s="10"/>
      <c r="F287" s="45" t="s">
        <v>2516</v>
      </c>
      <c r="G287" s="19">
        <f>SUMIF(E220:E286, "E", D220:D286)</f>
        <v>204384.78</v>
      </c>
      <c r="H287" s="18" t="s">
        <v>2517</v>
      </c>
      <c r="I287" s="12">
        <f>SUMIF(E220:E286, "U", D220:D286)</f>
        <v>140131.43000000002</v>
      </c>
      <c r="J287" s="16" t="s">
        <v>2518</v>
      </c>
      <c r="K287" s="19">
        <f>G287-I287</f>
        <v>64253.349999999977</v>
      </c>
      <c r="L287" s="18" t="s">
        <v>2519</v>
      </c>
      <c r="M287" s="18"/>
      <c r="N287" s="18">
        <f>N219+D219</f>
        <v>171013.83</v>
      </c>
      <c r="O287" s="31"/>
    </row>
    <row r="288" spans="1:16" ht="20.100000000000001" hidden="1" customHeight="1">
      <c r="A288" s="23" t="s">
        <v>2677</v>
      </c>
      <c r="B288" s="52"/>
      <c r="C288" s="24"/>
      <c r="D288" s="27">
        <f>SUMPRODUCT((A295:A372="January 2026")*(E295:E372="E")*D295:D372) - SUMPRODUCT((A295:A372="January 2026")*(E295:E372="U")*D295:D372)</f>
        <v>-203028.41666666669</v>
      </c>
      <c r="E288" s="66"/>
      <c r="F288" s="47"/>
      <c r="G288" s="24" t="s">
        <v>2509</v>
      </c>
      <c r="H288" s="26">
        <f t="shared" ref="H288:M288" si="69">SUM(H219:H286)</f>
        <v>18604.710000000003</v>
      </c>
      <c r="I288" s="26">
        <f t="shared" si="69"/>
        <v>70.14999999999992</v>
      </c>
      <c r="J288" s="26">
        <f t="shared" si="69"/>
        <v>-422.43000000000029</v>
      </c>
      <c r="K288" s="26">
        <f t="shared" si="69"/>
        <v>19173.890000000007</v>
      </c>
      <c r="L288" s="26">
        <f t="shared" si="69"/>
        <v>65587.510000000009</v>
      </c>
      <c r="M288" s="26">
        <f t="shared" si="69"/>
        <v>0</v>
      </c>
      <c r="N288" s="26">
        <f>SUM(H288:M288)</f>
        <v>103013.83000000002</v>
      </c>
      <c r="O288" s="35" t="s">
        <v>2522</v>
      </c>
      <c r="P288" s="14">
        <f>P219+K287</f>
        <v>151323.82999999999</v>
      </c>
    </row>
    <row r="289" spans="1:15" hidden="1">
      <c r="A289" s="7" t="s">
        <v>2525</v>
      </c>
      <c r="B289" s="44">
        <v>46024</v>
      </c>
      <c r="C289" t="s">
        <v>2580</v>
      </c>
      <c r="D289" s="4">
        <v>3000</v>
      </c>
      <c r="E289" s="65" t="s">
        <v>2427</v>
      </c>
      <c r="F289" s="131" t="s">
        <v>49</v>
      </c>
      <c r="G289" t="s">
        <v>345</v>
      </c>
      <c r="H289" s="19">
        <f t="shared" ref="H289:H372" si="70">IF(AND($F289="X",$G289="BCC"),IF($E289="U",-$D289,$D289),"")</f>
        <v>-3000</v>
      </c>
      <c r="I289" s="19" t="str">
        <f t="shared" ref="I289:I372" si="71">IF(AND($F289="X",$G289="INTESA"),IF($E289="U",-$D289,$D289),"")</f>
        <v/>
      </c>
      <c r="J289" s="19" t="str">
        <f t="shared" ref="J289:J372" si="72">IF(AND($F289="X",$G289="BPM"),IF($E289="U",-$D289,$D289),"")</f>
        <v/>
      </c>
      <c r="K289" s="19" t="str">
        <f t="shared" ref="K289:K372" si="73">IF(AND($F289="X",$G289="SONDRIO"),IF($E289="U",-$D289,$D289),"")</f>
        <v/>
      </c>
      <c r="L289" s="19" t="str">
        <f t="shared" ref="L289:L372" si="74">IF(AND($F289="X",$G289="BPER"),IF($E289="U",-$D289,$D289),"")</f>
        <v/>
      </c>
      <c r="M289" s="19"/>
      <c r="N289" s="22">
        <f t="shared" ref="N289:N372" si="75">IF(F289="X",IF(E289="U",-D289,D289),"non ancora confermato")</f>
        <v>-3000</v>
      </c>
      <c r="O289" s="31"/>
    </row>
    <row r="290" spans="1:15" hidden="1">
      <c r="A290" s="7" t="s">
        <v>2525</v>
      </c>
      <c r="B290" s="44">
        <v>46024</v>
      </c>
      <c r="C290" t="s">
        <v>2580</v>
      </c>
      <c r="D290" s="4">
        <v>3000</v>
      </c>
      <c r="E290" s="65" t="s">
        <v>2527</v>
      </c>
      <c r="F290" s="131" t="s">
        <v>49</v>
      </c>
      <c r="G290" t="s">
        <v>111</v>
      </c>
      <c r="H290" s="19" t="str">
        <f t="shared" si="70"/>
        <v/>
      </c>
      <c r="I290" s="19" t="str">
        <f t="shared" si="71"/>
        <v/>
      </c>
      <c r="J290" s="19">
        <f t="shared" si="72"/>
        <v>3000</v>
      </c>
      <c r="K290" s="19" t="str">
        <f t="shared" si="73"/>
        <v/>
      </c>
      <c r="L290" s="19" t="str">
        <f t="shared" si="74"/>
        <v/>
      </c>
      <c r="M290" s="19"/>
      <c r="N290" s="22">
        <f t="shared" si="75"/>
        <v>3000</v>
      </c>
      <c r="O290" s="31"/>
    </row>
    <row r="291" spans="1:15" ht="20.100000000000001" hidden="1" customHeight="1">
      <c r="A291" s="7" t="s">
        <v>2678</v>
      </c>
      <c r="B291" s="44">
        <v>46023</v>
      </c>
      <c r="C291" t="s">
        <v>2515</v>
      </c>
      <c r="D291" s="4">
        <v>237.22</v>
      </c>
      <c r="E291" s="65" t="s">
        <v>2427</v>
      </c>
      <c r="F291" s="131" t="s">
        <v>49</v>
      </c>
      <c r="G291" t="s">
        <v>2435</v>
      </c>
      <c r="H291" s="19" t="str">
        <f>IF(AND($F291="X",$G291="BCC"),IF($E291="U",-$D291,$D291),"")</f>
        <v/>
      </c>
      <c r="I291" s="19" t="str">
        <f>IF(AND($F291="X",$G291="INTESA"),IF($E291="U",-$D291,$D291),"")</f>
        <v/>
      </c>
      <c r="J291" s="19" t="str">
        <f>IF(AND($F291="X",$G291="BPM"),IF($E291="U",-$D291,$D291),"")</f>
        <v/>
      </c>
      <c r="K291" s="19">
        <f>IF(AND($F291="X",$G291="SONDRIO"),IF($E291="U",-$D291,$D291),"")</f>
        <v>-237.22</v>
      </c>
      <c r="L291" s="19" t="str">
        <f>IF(AND($F291="X",$G291="BPER"),IF($E291="U",-$D291,$D291),"")</f>
        <v/>
      </c>
      <c r="M291" s="19"/>
      <c r="N291" s="22">
        <f>IF(F291="X",IF(E291="U",-D291,D291),"non ancora confermato")</f>
        <v>-237.22</v>
      </c>
      <c r="O291" s="31"/>
    </row>
    <row r="292" spans="1:15" hidden="1">
      <c r="A292" s="7" t="s">
        <v>2678</v>
      </c>
      <c r="B292" s="44">
        <v>46024</v>
      </c>
      <c r="C292" t="s">
        <v>2576</v>
      </c>
      <c r="D292" s="4">
        <v>940.35</v>
      </c>
      <c r="E292" s="65" t="s">
        <v>2427</v>
      </c>
      <c r="F292" s="131" t="s">
        <v>49</v>
      </c>
      <c r="G292" t="s">
        <v>345</v>
      </c>
      <c r="H292" s="19">
        <f t="shared" si="70"/>
        <v>-940.35</v>
      </c>
      <c r="I292" s="19" t="str">
        <f t="shared" si="71"/>
        <v/>
      </c>
      <c r="J292" s="19" t="str">
        <f t="shared" si="72"/>
        <v/>
      </c>
      <c r="K292" s="19" t="str">
        <f t="shared" si="73"/>
        <v/>
      </c>
      <c r="L292" s="19" t="str">
        <f t="shared" si="74"/>
        <v/>
      </c>
      <c r="M292" s="19"/>
      <c r="N292" s="22">
        <f t="shared" si="75"/>
        <v>-940.35</v>
      </c>
      <c r="O292" s="31" t="s">
        <v>2681</v>
      </c>
    </row>
    <row r="293" spans="1:15" hidden="1">
      <c r="A293" s="7" t="s">
        <v>2678</v>
      </c>
      <c r="B293" s="44">
        <v>46024</v>
      </c>
      <c r="C293" t="s">
        <v>2576</v>
      </c>
      <c r="D293" s="4">
        <v>9</v>
      </c>
      <c r="E293" s="65" t="s">
        <v>2427</v>
      </c>
      <c r="F293" s="131" t="s">
        <v>49</v>
      </c>
      <c r="G293" t="s">
        <v>2434</v>
      </c>
      <c r="H293" s="19" t="str">
        <f t="shared" si="70"/>
        <v/>
      </c>
      <c r="I293" s="19">
        <f t="shared" si="71"/>
        <v>-9</v>
      </c>
      <c r="J293" s="19" t="str">
        <f t="shared" si="72"/>
        <v/>
      </c>
      <c r="K293" s="19" t="str">
        <f t="shared" si="73"/>
        <v/>
      </c>
      <c r="L293" s="19" t="str">
        <f t="shared" si="74"/>
        <v/>
      </c>
      <c r="M293" s="19"/>
      <c r="N293" s="22">
        <f t="shared" si="75"/>
        <v>-9</v>
      </c>
      <c r="O293" s="31" t="s">
        <v>2682</v>
      </c>
    </row>
    <row r="294" spans="1:15" hidden="1">
      <c r="A294" s="7" t="s">
        <v>2678</v>
      </c>
      <c r="B294" s="44">
        <v>46027</v>
      </c>
      <c r="C294" t="s">
        <v>2210</v>
      </c>
      <c r="D294" s="4">
        <v>560.03</v>
      </c>
      <c r="E294" s="65" t="s">
        <v>2427</v>
      </c>
      <c r="F294" s="131" t="s">
        <v>49</v>
      </c>
      <c r="G294" t="s">
        <v>345</v>
      </c>
      <c r="H294" s="19">
        <f t="shared" si="70"/>
        <v>-560.03</v>
      </c>
      <c r="I294" s="19" t="str">
        <f t="shared" si="71"/>
        <v/>
      </c>
      <c r="J294" s="19" t="str">
        <f t="shared" si="72"/>
        <v/>
      </c>
      <c r="K294" s="19" t="str">
        <f t="shared" si="73"/>
        <v/>
      </c>
      <c r="L294" s="19" t="str">
        <f t="shared" si="74"/>
        <v/>
      </c>
      <c r="M294" s="19"/>
      <c r="N294" s="22">
        <f t="shared" si="75"/>
        <v>-560.03</v>
      </c>
      <c r="O294" s="31"/>
    </row>
    <row r="295" spans="1:15" ht="20.100000000000001" hidden="1" customHeight="1">
      <c r="A295" s="7" t="s">
        <v>2678</v>
      </c>
      <c r="B295" s="44" t="s">
        <v>2683</v>
      </c>
      <c r="C295" t="s">
        <v>2441</v>
      </c>
      <c r="D295" s="4">
        <v>8737.18</v>
      </c>
      <c r="E295" s="65" t="s">
        <v>2427</v>
      </c>
      <c r="F295" s="131" t="s">
        <v>49</v>
      </c>
      <c r="G295" t="s">
        <v>2435</v>
      </c>
      <c r="H295" s="19" t="str">
        <f t="shared" si="70"/>
        <v/>
      </c>
      <c r="I295" s="19" t="str">
        <f t="shared" si="71"/>
        <v/>
      </c>
      <c r="J295" s="19" t="str">
        <f t="shared" si="72"/>
        <v/>
      </c>
      <c r="K295" s="19">
        <f t="shared" si="73"/>
        <v>-8737.18</v>
      </c>
      <c r="L295" s="19" t="str">
        <f t="shared" si="74"/>
        <v/>
      </c>
      <c r="M295" s="19"/>
      <c r="N295" s="22">
        <f t="shared" si="75"/>
        <v>-8737.18</v>
      </c>
      <c r="O295" s="31"/>
    </row>
    <row r="296" spans="1:15" s="9" customFormat="1" ht="33" hidden="1" customHeight="1">
      <c r="A296" s="7" t="s">
        <v>2678</v>
      </c>
      <c r="B296" s="44" t="s">
        <v>2683</v>
      </c>
      <c r="C296" t="s">
        <v>2656</v>
      </c>
      <c r="D296" s="4">
        <v>7598.19</v>
      </c>
      <c r="E296" s="65" t="s">
        <v>2427</v>
      </c>
      <c r="F296" s="131" t="s">
        <v>49</v>
      </c>
      <c r="G296" t="s">
        <v>2435</v>
      </c>
      <c r="H296" s="19" t="str">
        <f t="shared" si="70"/>
        <v/>
      </c>
      <c r="I296" s="19" t="str">
        <f t="shared" si="71"/>
        <v/>
      </c>
      <c r="J296" s="19" t="str">
        <f t="shared" si="72"/>
        <v/>
      </c>
      <c r="K296" s="19">
        <f t="shared" si="73"/>
        <v>-7598.19</v>
      </c>
      <c r="L296" s="19" t="str">
        <f t="shared" si="74"/>
        <v/>
      </c>
      <c r="M296" s="19"/>
      <c r="N296" s="22">
        <f t="shared" si="75"/>
        <v>-7598.19</v>
      </c>
      <c r="O296" s="31"/>
    </row>
    <row r="297" spans="1:15" ht="20.100000000000001" hidden="1" customHeight="1">
      <c r="A297" s="7" t="s">
        <v>2678</v>
      </c>
      <c r="B297" s="44">
        <v>45664</v>
      </c>
      <c r="C297" t="s">
        <v>2355</v>
      </c>
      <c r="D297" s="4">
        <v>5155.1099999999997</v>
      </c>
      <c r="E297" s="65" t="s">
        <v>2427</v>
      </c>
      <c r="F297" s="131" t="s">
        <v>49</v>
      </c>
      <c r="G297" t="s">
        <v>2435</v>
      </c>
      <c r="H297" s="19" t="str">
        <f t="shared" si="70"/>
        <v/>
      </c>
      <c r="I297" s="19" t="str">
        <f t="shared" si="71"/>
        <v/>
      </c>
      <c r="J297" s="19" t="str">
        <f t="shared" si="72"/>
        <v/>
      </c>
      <c r="K297" s="19">
        <f t="shared" si="73"/>
        <v>-5155.1099999999997</v>
      </c>
      <c r="L297" s="19" t="str">
        <f t="shared" si="74"/>
        <v/>
      </c>
      <c r="M297" s="19"/>
      <c r="N297" s="22">
        <f t="shared" si="75"/>
        <v>-5155.1099999999997</v>
      </c>
      <c r="O297" s="31" t="s">
        <v>2684</v>
      </c>
    </row>
    <row r="298" spans="1:15" ht="30" hidden="1">
      <c r="A298" s="7" t="s">
        <v>2678</v>
      </c>
      <c r="B298" s="44">
        <v>46031</v>
      </c>
      <c r="C298" t="s">
        <v>2596</v>
      </c>
      <c r="D298" s="4">
        <v>29.4</v>
      </c>
      <c r="E298" s="65" t="s">
        <v>2427</v>
      </c>
      <c r="F298" s="131" t="s">
        <v>49</v>
      </c>
      <c r="G298" t="s">
        <v>345</v>
      </c>
      <c r="H298" s="19">
        <f t="shared" si="70"/>
        <v>-29.4</v>
      </c>
      <c r="I298" s="19" t="str">
        <f t="shared" si="71"/>
        <v/>
      </c>
      <c r="J298" s="19" t="str">
        <f t="shared" si="72"/>
        <v/>
      </c>
      <c r="K298" s="19" t="str">
        <f t="shared" si="73"/>
        <v/>
      </c>
      <c r="L298" s="19" t="str">
        <f t="shared" si="74"/>
        <v/>
      </c>
      <c r="M298" s="19"/>
      <c r="N298" s="22">
        <f t="shared" ref="N298" si="76">IF(F298="X",IF(E298="U",-D298,D298),"non ancora confermato")</f>
        <v>-29.4</v>
      </c>
      <c r="O298" s="145" t="s">
        <v>3303</v>
      </c>
    </row>
    <row r="299" spans="1:15" hidden="1">
      <c r="A299" s="7" t="s">
        <v>2678</v>
      </c>
      <c r="B299" s="44">
        <v>46029</v>
      </c>
      <c r="C299" t="s">
        <v>2144</v>
      </c>
      <c r="D299" s="4">
        <v>1644.77</v>
      </c>
      <c r="E299" s="65" t="s">
        <v>2427</v>
      </c>
      <c r="F299" s="131" t="s">
        <v>49</v>
      </c>
      <c r="G299" t="s">
        <v>345</v>
      </c>
      <c r="H299" s="19">
        <f>IF(AND($F299="X",$G299="BCC"),IF($E299="U",-$D299,$D299),"")</f>
        <v>-1644.77</v>
      </c>
      <c r="I299" s="19" t="str">
        <f>IF(AND($F299="X",$G299="INTESA"),IF($E299="U",-$D299,$D299),"")</f>
        <v/>
      </c>
      <c r="J299" s="19" t="str">
        <f>IF(AND($F299="X",$G299="BPM"),IF($E299="U",-$D299,$D299),"")</f>
        <v/>
      </c>
      <c r="K299" s="19" t="str">
        <f>IF(AND($F299="X",$G299="SONDRIO"),IF($E299="U",-$D299,$D299),"")</f>
        <v/>
      </c>
      <c r="L299" s="19" t="str">
        <f>IF(AND($F299="X",$G299="BPER"),IF($E299="U",-$D299,$D299),"")</f>
        <v/>
      </c>
      <c r="M299" s="19"/>
      <c r="N299" s="22">
        <f>IF(F299="X",IF(E299="U",-D299,D299),"non ancora confermato")</f>
        <v>-1644.77</v>
      </c>
      <c r="O299" s="176" t="s">
        <v>3302</v>
      </c>
    </row>
    <row r="300" spans="1:15" hidden="1">
      <c r="A300" s="7" t="s">
        <v>2678</v>
      </c>
      <c r="B300" s="44">
        <v>46024</v>
      </c>
      <c r="C300" t="s">
        <v>2576</v>
      </c>
      <c r="D300" s="4">
        <f>-121.78+100.84+5+8.49</f>
        <v>-7.4499999999999975</v>
      </c>
      <c r="E300" s="65" t="s">
        <v>2427</v>
      </c>
      <c r="F300" s="131" t="s">
        <v>49</v>
      </c>
      <c r="G300" t="s">
        <v>111</v>
      </c>
      <c r="H300" s="19" t="str">
        <f>IF(AND($F300="X",$G300="BCC"),IF($E300="U",-$D300,$D300),"")</f>
        <v/>
      </c>
      <c r="I300" s="19" t="str">
        <f>IF(AND($F300="X",$G300="INTESA"),IF($E300="U",-$D300,$D300),"")</f>
        <v/>
      </c>
      <c r="J300" s="19">
        <f>IF(AND($F300="X",$G300="BPM"),IF($E300="U",-$D300,$D300),"")</f>
        <v>7.4499999999999975</v>
      </c>
      <c r="K300" s="19" t="str">
        <f>IF(AND($F300="X",$G300="SONDRIO"),IF($E300="U",-$D300,$D300),"")</f>
        <v/>
      </c>
      <c r="L300" s="19" t="str">
        <f>IF(AND($F300="X",$G300="BPER"),IF($E300="U",-$D300,$D300),"")</f>
        <v/>
      </c>
      <c r="M300" s="19"/>
      <c r="N300" s="22">
        <f>IF(F300="X",IF(E300="U",-D300,D300),"non ancora confermato")</f>
        <v>7.4499999999999975</v>
      </c>
      <c r="O300" s="31" t="s">
        <v>2680</v>
      </c>
    </row>
    <row r="301" spans="1:15" hidden="1">
      <c r="A301" s="7" t="s">
        <v>2678</v>
      </c>
      <c r="B301" s="44">
        <v>46029</v>
      </c>
      <c r="C301" t="s">
        <v>2576</v>
      </c>
      <c r="D301" s="4">
        <f>20.93+2.75</f>
        <v>23.68</v>
      </c>
      <c r="E301" s="65" t="s">
        <v>2427</v>
      </c>
      <c r="F301" s="131" t="s">
        <v>49</v>
      </c>
      <c r="G301" t="s">
        <v>345</v>
      </c>
      <c r="H301" s="19">
        <f>IF(AND($F301="X",$G301="BCC"),IF($E301="U",-$D301,$D301),"")</f>
        <v>-23.68</v>
      </c>
      <c r="I301" s="19" t="str">
        <f>IF(AND($F301="X",$G301="INTESA"),IF($E301="U",-$D301,$D301),"")</f>
        <v/>
      </c>
      <c r="J301" s="19" t="str">
        <f>IF(AND($F301="X",$G301="BPM"),IF($E301="U",-$D301,$D301),"")</f>
        <v/>
      </c>
      <c r="K301" s="19" t="str">
        <f>IF(AND($F301="X",$G301="SONDRIO"),IF($E301="U",-$D301,$D301),"")</f>
        <v/>
      </c>
      <c r="L301" s="19" t="str">
        <f>IF(AND($F301="X",$G301="BPER"),IF($E301="U",-$D301,$D301),"")</f>
        <v/>
      </c>
      <c r="M301" s="19"/>
      <c r="N301" s="22">
        <f>IF(F301="X",IF(E301="U",-D301,D301),"non ancora confermato")</f>
        <v>-23.68</v>
      </c>
      <c r="O301" s="31" t="s">
        <v>2681</v>
      </c>
    </row>
    <row r="302" spans="1:15" hidden="1">
      <c r="A302" s="7" t="s">
        <v>2678</v>
      </c>
      <c r="B302" s="44">
        <v>46024</v>
      </c>
      <c r="C302" t="s">
        <v>2576</v>
      </c>
      <c r="D302" s="4">
        <f>3.14+77.23+25+8.54+1.5</f>
        <v>115.41</v>
      </c>
      <c r="E302" s="65" t="s">
        <v>2427</v>
      </c>
      <c r="F302" s="131" t="s">
        <v>49</v>
      </c>
      <c r="G302" t="s">
        <v>296</v>
      </c>
      <c r="H302" s="19" t="str">
        <f>IF(AND($F302="X",$G302="BCC"),IF($E302="U",-$D302,$D302),"")</f>
        <v/>
      </c>
      <c r="I302" s="19" t="str">
        <f>IF(AND($F302="X",$G302="INTESA"),IF($E302="U",-$D302,$D302),"")</f>
        <v/>
      </c>
      <c r="J302" s="19" t="str">
        <f>IF(AND($F302="X",$G302="BPM"),IF($E302="U",-$D302,$D302),"")</f>
        <v/>
      </c>
      <c r="K302" s="19" t="str">
        <f>IF(AND($F302="X",$G302="SONDRIO"),IF($E302="U",-$D302,$D302),"")</f>
        <v/>
      </c>
      <c r="L302" s="19">
        <f>IF(AND($F302="X",$G302="BPER"),IF($E302="U",-$D302,$D302),"")</f>
        <v>-115.41</v>
      </c>
      <c r="M302" s="19"/>
      <c r="N302" s="22">
        <f>IF(F302="X",IF(E302="U",-D302,D302),"non ancora confermato")</f>
        <v>-115.41</v>
      </c>
      <c r="O302" s="31" t="s">
        <v>2679</v>
      </c>
    </row>
    <row r="303" spans="1:15" ht="20.100000000000001" hidden="1" customHeight="1">
      <c r="A303" s="7" t="s">
        <v>2678</v>
      </c>
      <c r="B303" s="44">
        <v>46029</v>
      </c>
      <c r="C303" t="s">
        <v>2440</v>
      </c>
      <c r="D303" s="4">
        <v>6540.63</v>
      </c>
      <c r="E303" s="65" t="s">
        <v>2427</v>
      </c>
      <c r="F303" s="131" t="s">
        <v>49</v>
      </c>
      <c r="G303" t="s">
        <v>296</v>
      </c>
      <c r="H303" s="19" t="str">
        <f>IF(AND($F303="X",$G303="BCC"),IF($E303="U",-$D303,$D303),"")</f>
        <v/>
      </c>
      <c r="I303" s="19" t="str">
        <f>IF(AND($F303="X",$G303="INTESA"),IF($E303="U",-$D303,$D303),"")</f>
        <v/>
      </c>
      <c r="J303" s="19" t="str">
        <f>IF(AND($F303="X",$G303="BPM"),IF($E303="U",-$D303,$D303),"")</f>
        <v/>
      </c>
      <c r="K303" s="19" t="str">
        <f>IF(AND($F303="X",$G303="SONDRIO"),IF($E303="U",-$D303,$D303),"")</f>
        <v/>
      </c>
      <c r="L303" s="19">
        <f>IF(AND($F303="X",$G303="BPER"),IF($E303="U",-$D303,$D303),"")</f>
        <v>-6540.63</v>
      </c>
      <c r="M303" s="19"/>
      <c r="N303" s="22">
        <f>IF(F303="X",IF(E303="U",-D303,D303),"non ancora confermato")</f>
        <v>-6540.63</v>
      </c>
      <c r="O303" s="31"/>
    </row>
    <row r="304" spans="1:15" ht="20.100000000000001" hidden="1" customHeight="1">
      <c r="A304" s="7" t="s">
        <v>2678</v>
      </c>
      <c r="B304" s="44">
        <v>46031</v>
      </c>
      <c r="C304" t="s">
        <v>2446</v>
      </c>
      <c r="D304" s="4">
        <f>1933+3164+1125</f>
        <v>6222</v>
      </c>
      <c r="E304" s="65" t="s">
        <v>2427</v>
      </c>
      <c r="F304" s="131" t="s">
        <v>49</v>
      </c>
      <c r="G304" t="s">
        <v>296</v>
      </c>
      <c r="H304" s="19" t="str">
        <f t="shared" si="70"/>
        <v/>
      </c>
      <c r="I304" s="19" t="str">
        <f t="shared" si="71"/>
        <v/>
      </c>
      <c r="J304" s="19" t="str">
        <f t="shared" si="72"/>
        <v/>
      </c>
      <c r="K304" s="19" t="str">
        <f t="shared" si="73"/>
        <v/>
      </c>
      <c r="L304" s="19">
        <f t="shared" si="74"/>
        <v>-6222</v>
      </c>
      <c r="M304" s="19"/>
      <c r="N304" s="22">
        <f t="shared" si="75"/>
        <v>-6222</v>
      </c>
      <c r="O304" s="31" t="s">
        <v>3304</v>
      </c>
    </row>
    <row r="305" spans="1:15" hidden="1">
      <c r="A305" s="7" t="s">
        <v>2678</v>
      </c>
      <c r="B305" s="44">
        <v>46031</v>
      </c>
      <c r="C305" t="s">
        <v>2424</v>
      </c>
      <c r="D305" s="4">
        <f>12500/5</f>
        <v>2500</v>
      </c>
      <c r="E305" s="65" t="s">
        <v>2427</v>
      </c>
      <c r="F305" s="160" t="s">
        <v>2431</v>
      </c>
      <c r="G305" t="s">
        <v>296</v>
      </c>
      <c r="H305" s="19" t="str">
        <f>IF(AND($F305="X",$G305="BCC"),IF($E305="U",-$D305,$D305),"")</f>
        <v/>
      </c>
      <c r="I305" s="19" t="str">
        <f>IF(AND($F305="X",$G305="INTESA"),IF($E305="U",-$D305,$D305),"")</f>
        <v/>
      </c>
      <c r="J305" s="19" t="str">
        <f>IF(AND($F305="X",$G305="BPM"),IF($E305="U",-$D305,$D305),"")</f>
        <v/>
      </c>
      <c r="K305" s="19" t="str">
        <f>IF(AND($F305="X",$G305="SONDRIO"),IF($E305="U",-$D305,$D305),"")</f>
        <v/>
      </c>
      <c r="L305" s="19" t="str">
        <f>IF(AND($F305="X",$G305="BPER"),IF($E305="U",-$D305,$D305),"")</f>
        <v/>
      </c>
      <c r="M305" s="19" t="str">
        <f>IF(AND($F305="X",$G305="CASSA"),IF($E305="U",-$D305,$D305),"")</f>
        <v/>
      </c>
      <c r="N305" s="22" t="str">
        <f>IF(F305="X",IF(E305="U",-D305,D305),"non ancora confermato")</f>
        <v>non ancora confermato</v>
      </c>
      <c r="O305" s="31"/>
    </row>
    <row r="306" spans="1:15" hidden="1">
      <c r="A306" s="7" t="s">
        <v>2678</v>
      </c>
      <c r="B306" s="44">
        <v>46031</v>
      </c>
      <c r="C306" t="s">
        <v>2331</v>
      </c>
      <c r="D306" s="4">
        <f>65000/5</f>
        <v>13000</v>
      </c>
      <c r="E306" s="65" t="s">
        <v>2427</v>
      </c>
      <c r="F306" s="131" t="s">
        <v>49</v>
      </c>
      <c r="G306" t="s">
        <v>296</v>
      </c>
      <c r="H306" s="19" t="str">
        <f>IF(AND($F306="X",$G306="BCC"),IF($E306="U",-$D306,$D306),"")</f>
        <v/>
      </c>
      <c r="I306" s="19" t="str">
        <f>IF(AND($F306="X",$G306="INTESA"),IF($E306="U",-$D306,$D306),"")</f>
        <v/>
      </c>
      <c r="J306" s="19" t="str">
        <f>IF(AND($F306="X",$G306="BPM"),IF($E306="U",-$D306,$D306),"")</f>
        <v/>
      </c>
      <c r="K306" s="19" t="str">
        <f>IF(AND($F306="X",$G306="SONDRIO"),IF($E306="U",-$D306,$D306),"")</f>
        <v/>
      </c>
      <c r="L306" s="19">
        <f>IF(AND($F306="X",$G306="BPER"),IF($E306="U",-$D306,$D306),"")</f>
        <v>-13000</v>
      </c>
      <c r="M306" s="19"/>
      <c r="N306" s="22">
        <f>IF(F306="X",IF(E306="U",-D306,D306),"non ancora confermato")</f>
        <v>-13000</v>
      </c>
      <c r="O306" s="31"/>
    </row>
    <row r="307" spans="1:15" ht="20.100000000000001" hidden="1" customHeight="1">
      <c r="A307" s="7" t="s">
        <v>2678</v>
      </c>
      <c r="B307" s="44">
        <v>46032</v>
      </c>
      <c r="C307" t="s">
        <v>2152</v>
      </c>
      <c r="D307" s="4">
        <v>3068</v>
      </c>
      <c r="E307" s="65" t="s">
        <v>2427</v>
      </c>
      <c r="F307" s="131" t="s">
        <v>49</v>
      </c>
      <c r="G307" t="s">
        <v>345</v>
      </c>
      <c r="H307" s="19">
        <f t="shared" si="70"/>
        <v>-3068</v>
      </c>
      <c r="I307" s="19" t="str">
        <f t="shared" si="71"/>
        <v/>
      </c>
      <c r="J307" s="19" t="str">
        <f t="shared" si="72"/>
        <v/>
      </c>
      <c r="K307" s="19" t="str">
        <f t="shared" si="73"/>
        <v/>
      </c>
      <c r="L307" s="19" t="str">
        <f t="shared" si="74"/>
        <v/>
      </c>
      <c r="M307" s="19"/>
      <c r="N307" s="22">
        <f t="shared" si="75"/>
        <v>-3068</v>
      </c>
      <c r="O307" s="31" t="s">
        <v>2545</v>
      </c>
    </row>
    <row r="308" spans="1:15" ht="20.100000000000001" hidden="1" customHeight="1">
      <c r="A308" s="7" t="s">
        <v>2678</v>
      </c>
      <c r="B308" s="44">
        <v>46032</v>
      </c>
      <c r="C308" t="s">
        <v>2155</v>
      </c>
      <c r="D308" s="4">
        <v>189.1</v>
      </c>
      <c r="E308" s="65" t="s">
        <v>2427</v>
      </c>
      <c r="F308" s="131" t="s">
        <v>49</v>
      </c>
      <c r="G308" t="s">
        <v>345</v>
      </c>
      <c r="H308" s="19">
        <f>IF(AND($F308="X",$G308="BCC"),IF($E308="U",-$D308,$D308),"")</f>
        <v>-189.1</v>
      </c>
      <c r="I308" s="19" t="str">
        <f>IF(AND($F308="X",$G308="INTESA"),IF($E308="U",-$D308,$D308),"")</f>
        <v/>
      </c>
      <c r="J308" s="19" t="str">
        <f>IF(AND($F308="X",$G308="BPM"),IF($E308="U",-$D308,$D308),"")</f>
        <v/>
      </c>
      <c r="K308" s="19" t="str">
        <f>IF(AND($F308="X",$G308="SONDRIO"),IF($E308="U",-$D308,$D308),"")</f>
        <v/>
      </c>
      <c r="L308" s="19" t="str">
        <f>IF(AND($F308="X",$G308="BPER"),IF($E308="U",-$D308,$D308),"")</f>
        <v/>
      </c>
      <c r="M308" s="19"/>
      <c r="N308" s="22">
        <f>IF(F308="X",IF(E308="U",-D308,D308),"non ancora confermato")</f>
        <v>-189.1</v>
      </c>
      <c r="O308" s="31" t="s">
        <v>2691</v>
      </c>
    </row>
    <row r="309" spans="1:15" ht="20.100000000000001" customHeight="1">
      <c r="A309" s="7" t="s">
        <v>2678</v>
      </c>
      <c r="B309" s="44">
        <v>46032</v>
      </c>
      <c r="C309" t="s">
        <v>2321</v>
      </c>
      <c r="D309" s="4">
        <v>552.73</v>
      </c>
      <c r="E309" s="65" t="s">
        <v>2427</v>
      </c>
      <c r="F309" s="131" t="s">
        <v>49</v>
      </c>
      <c r="G309" t="s">
        <v>345</v>
      </c>
      <c r="H309" s="19">
        <f>IF(AND($F309="X",$G309="BCC"),IF($E309="U",-$D309,$D309),"")</f>
        <v>-552.73</v>
      </c>
      <c r="I309" s="19" t="str">
        <f>IF(AND($F309="X",$G309="INTESA"),IF($E309="U",-$D309,$D309),"")</f>
        <v/>
      </c>
      <c r="J309" s="19" t="str">
        <f>IF(AND($F309="X",$G309="BPM"),IF($E309="U",-$D309,$D309),"")</f>
        <v/>
      </c>
      <c r="K309" s="19" t="str">
        <f>IF(AND($F309="X",$G309="SONDRIO"),IF($E309="U",-$D309,$D309),"")</f>
        <v/>
      </c>
      <c r="L309" s="19" t="str">
        <f>IF(AND($F309="X",$G309="BPER"),IF($E309="U",-$D309,$D309),"")</f>
        <v/>
      </c>
      <c r="M309" s="19"/>
      <c r="N309" s="22">
        <f>IF(F309="X",IF(E309="U",-D309,D309),"non ancora confermato")</f>
        <v>-552.73</v>
      </c>
      <c r="O309" s="31"/>
    </row>
    <row r="310" spans="1:15" ht="20.100000000000001" hidden="1" customHeight="1">
      <c r="A310" s="7" t="s">
        <v>2678</v>
      </c>
      <c r="B310" s="44">
        <v>46032</v>
      </c>
      <c r="C310" t="s">
        <v>2650</v>
      </c>
      <c r="D310" s="4">
        <v>523.5</v>
      </c>
      <c r="E310" s="65" t="s">
        <v>2427</v>
      </c>
      <c r="F310" s="131" t="s">
        <v>49</v>
      </c>
      <c r="G310" t="s">
        <v>345</v>
      </c>
      <c r="H310" s="19">
        <f>IF(AND($F310="X",$G310="BCC"),IF($E310="U",-$D310,$D310),"")</f>
        <v>-523.5</v>
      </c>
      <c r="I310" s="19" t="str">
        <f>IF(AND($F310="X",$G310="INTESA"),IF($E310="U",-$D310,$D310),"")</f>
        <v/>
      </c>
      <c r="J310" s="19" t="str">
        <f>IF(AND($F310="X",$G310="BPM"),IF($E310="U",-$D310,$D310),"")</f>
        <v/>
      </c>
      <c r="K310" s="19" t="str">
        <f>IF(AND($F310="X",$G310="SONDRIO"),IF($E310="U",-$D310,$D310),"")</f>
        <v/>
      </c>
      <c r="L310" s="19" t="str">
        <f>IF(AND($F310="X",$G310="BPER"),IF($E310="U",-$D310,$D310),"")</f>
        <v/>
      </c>
      <c r="M310" s="19"/>
      <c r="N310" s="22">
        <f>IF(F310="X",IF(E310="U",-D310,D310),"non ancora confermato")</f>
        <v>-523.5</v>
      </c>
      <c r="O310" s="31" t="s">
        <v>2651</v>
      </c>
    </row>
    <row r="311" spans="1:15" ht="20.100000000000001" hidden="1" customHeight="1">
      <c r="A311" s="7" t="s">
        <v>2678</v>
      </c>
      <c r="B311" s="44">
        <v>46309</v>
      </c>
      <c r="C311" t="s">
        <v>2554</v>
      </c>
      <c r="D311" s="4">
        <v>2709</v>
      </c>
      <c r="E311" s="65" t="s">
        <v>2427</v>
      </c>
      <c r="F311" s="131" t="s">
        <v>49</v>
      </c>
      <c r="G311" t="s">
        <v>345</v>
      </c>
      <c r="H311" s="19">
        <f>IF(AND($F311="X",$G311="BCC"),IF($E311="U",-$D311,$D311),"")</f>
        <v>-2709</v>
      </c>
      <c r="I311" s="19" t="str">
        <f>IF(AND($F311="X",$G311="INTESA"),IF($E311="U",-$D311,$D311),"")</f>
        <v/>
      </c>
      <c r="J311" s="19" t="str">
        <f>IF(AND($F311="X",$G311="BPM"),IF($E311="U",-$D311,$D311),"")</f>
        <v/>
      </c>
      <c r="K311" s="19" t="str">
        <f>IF(AND($F311="X",$G311="SONDRIO"),IF($E311="U",-$D311,$D311),"")</f>
        <v/>
      </c>
      <c r="L311" s="19" t="str">
        <f>IF(AND($F311="X",$G311="BPER"),IF($E311="U",-$D311,$D311),"")</f>
        <v/>
      </c>
      <c r="M311" s="19"/>
      <c r="N311" s="22">
        <f>IF(F311="X",IF(E311="U",-D311,D311),"non ancora confermato")</f>
        <v>-2709</v>
      </c>
      <c r="O311" s="31" t="s">
        <v>4085</v>
      </c>
    </row>
    <row r="312" spans="1:15" ht="20.100000000000001" hidden="1" customHeight="1">
      <c r="A312" s="7" t="s">
        <v>2678</v>
      </c>
      <c r="B312" s="44">
        <v>45670</v>
      </c>
      <c r="C312" t="s">
        <v>2335</v>
      </c>
      <c r="D312" s="4">
        <v>56.33</v>
      </c>
      <c r="E312" s="65" t="s">
        <v>2427</v>
      </c>
      <c r="F312" s="131" t="s">
        <v>49</v>
      </c>
      <c r="G312" t="s">
        <v>345</v>
      </c>
      <c r="H312" s="19">
        <f>IF(AND($F312="X",$G312="BCC"),IF($E312="U",-$D312,$D312),"")</f>
        <v>-56.33</v>
      </c>
      <c r="I312" s="19" t="str">
        <f>IF(AND($F312="X",$G312="INTESA"),IF($E312="U",-$D312,$D312),"")</f>
        <v/>
      </c>
      <c r="J312" s="19" t="str">
        <f>IF(AND($F312="X",$G312="BPM"),IF($E312="U",-$D312,$D312),"")</f>
        <v/>
      </c>
      <c r="K312" s="19" t="str">
        <f>IF(AND($F312="X",$G312="SONDRIO"),IF($E312="U",-$D312,$D312),"")</f>
        <v/>
      </c>
      <c r="L312" s="19" t="str">
        <f>IF(AND($F312="X",$G312="BPER"),IF($E312="U",-$D312,$D312),"")</f>
        <v/>
      </c>
      <c r="M312" s="19"/>
      <c r="N312" s="22">
        <f>IF(F312="X",IF(E312="U",-D312,D312),"non ancora confermato")</f>
        <v>-56.33</v>
      </c>
      <c r="O312" s="31" t="s">
        <v>2685</v>
      </c>
    </row>
    <row r="313" spans="1:15" ht="20.100000000000001" hidden="1" customHeight="1">
      <c r="A313" s="7" t="s">
        <v>2525</v>
      </c>
      <c r="B313" s="44">
        <v>46014</v>
      </c>
      <c r="C313" t="s">
        <v>4089</v>
      </c>
      <c r="D313" s="4">
        <v>3000</v>
      </c>
      <c r="E313" s="65" t="s">
        <v>2527</v>
      </c>
      <c r="F313" s="131" t="s">
        <v>49</v>
      </c>
      <c r="G313" t="s">
        <v>2435</v>
      </c>
      <c r="H313" s="19" t="str">
        <f t="shared" ref="H313:H314" si="77">IF(AND($F313="X",$G313="BCC"),IF($E313="U",-$D313,$D313),"")</f>
        <v/>
      </c>
      <c r="I313" s="19" t="str">
        <f t="shared" ref="I313:I314" si="78">IF(AND($F313="X",$G313="INTESA"),IF($E313="U",-$D313,$D313),"")</f>
        <v/>
      </c>
      <c r="J313" s="19" t="str">
        <f t="shared" ref="J313:J314" si="79">IF(AND($F313="X",$G313="BPM"),IF($E313="U",-$D313,$D313),"")</f>
        <v/>
      </c>
      <c r="K313" s="19">
        <f t="shared" ref="K313:K314" si="80">IF(AND($F313="X",$G313="SONDRIO"),IF($E313="U",-$D313,$D313),"")</f>
        <v>3000</v>
      </c>
      <c r="L313" s="19" t="str">
        <f t="shared" ref="L313:L314" si="81">IF(AND($F313="X",$G313="BPER"),IF($E313="U",-$D313,$D313),"")</f>
        <v/>
      </c>
      <c r="M313" s="19"/>
      <c r="N313" s="22">
        <f t="shared" ref="N313:N314" si="82">IF(F313="X",IF(E313="U",-D313,D313),"non ancora confermato")</f>
        <v>3000</v>
      </c>
      <c r="O313" s="31"/>
    </row>
    <row r="314" spans="1:15" ht="20.100000000000001" hidden="1" customHeight="1">
      <c r="A314" s="7" t="s">
        <v>2525</v>
      </c>
      <c r="B314" s="44">
        <v>46014</v>
      </c>
      <c r="C314" t="s">
        <v>4089</v>
      </c>
      <c r="D314" s="4">
        <v>3000</v>
      </c>
      <c r="E314" s="65" t="s">
        <v>2427</v>
      </c>
      <c r="F314" s="131" t="s">
        <v>49</v>
      </c>
      <c r="G314" t="s">
        <v>296</v>
      </c>
      <c r="H314" s="19" t="str">
        <f t="shared" si="77"/>
        <v/>
      </c>
      <c r="I314" s="19" t="str">
        <f t="shared" si="78"/>
        <v/>
      </c>
      <c r="J314" s="19" t="str">
        <f t="shared" si="79"/>
        <v/>
      </c>
      <c r="K314" s="19" t="str">
        <f t="shared" si="80"/>
        <v/>
      </c>
      <c r="L314" s="19">
        <f t="shared" si="81"/>
        <v>-3000</v>
      </c>
      <c r="M314" s="19"/>
      <c r="N314" s="22">
        <f t="shared" si="82"/>
        <v>-3000</v>
      </c>
      <c r="O314" s="31"/>
    </row>
    <row r="315" spans="1:15" ht="20.100000000000001" hidden="1" customHeight="1">
      <c r="A315" s="7" t="s">
        <v>2678</v>
      </c>
      <c r="B315" s="44">
        <v>46036</v>
      </c>
      <c r="C315" t="s">
        <v>2576</v>
      </c>
      <c r="D315" s="4">
        <f>61.15-35.95</f>
        <v>25.199999999999996</v>
      </c>
      <c r="E315" s="65" t="s">
        <v>2427</v>
      </c>
      <c r="F315" s="131" t="s">
        <v>49</v>
      </c>
      <c r="G315" t="s">
        <v>2434</v>
      </c>
      <c r="H315" s="19" t="str">
        <f>IF(AND($F315="X",$G315="BCC"),IF($E315="U",-$D315,$D315),"")</f>
        <v/>
      </c>
      <c r="I315" s="19">
        <f>IF(AND($F315="X",$G315="INTESA"),IF($E315="U",-$D315,$D315),"")</f>
        <v>-25.199999999999996</v>
      </c>
      <c r="J315" s="19" t="str">
        <f>IF(AND($F315="X",$G315="BPM"),IF($E315="U",-$D315,$D315),"")</f>
        <v/>
      </c>
      <c r="K315" s="19" t="str">
        <f>IF(AND($F315="X",$G315="SONDRIO"),IF($E315="U",-$D315,$D315),"")</f>
        <v/>
      </c>
      <c r="L315" s="19" t="str">
        <f>IF(AND($F315="X",$G315="BPER"),IF($E315="U",-$D315,$D315),"")</f>
        <v/>
      </c>
      <c r="M315" s="19"/>
      <c r="N315" s="22">
        <f>IF(F315="X",IF(E315="U",-D315,D315),"non ancora confermato")</f>
        <v>-25.199999999999996</v>
      </c>
      <c r="O315" s="31" t="s">
        <v>4086</v>
      </c>
    </row>
    <row r="316" spans="1:15" ht="20.100000000000001" hidden="1" customHeight="1">
      <c r="A316" s="7" t="s">
        <v>2678</v>
      </c>
      <c r="B316" s="44">
        <v>46036</v>
      </c>
      <c r="C316" t="s">
        <v>2576</v>
      </c>
      <c r="D316" s="4">
        <v>6.51</v>
      </c>
      <c r="E316" s="65" t="s">
        <v>2427</v>
      </c>
      <c r="F316" s="131" t="s">
        <v>49</v>
      </c>
      <c r="G316" t="s">
        <v>345</v>
      </c>
      <c r="H316" s="19">
        <f>IF(AND($F316="X",$G316="BCC"),IF($E316="U",-$D316,$D316),"")</f>
        <v>-6.51</v>
      </c>
      <c r="I316" s="19" t="str">
        <f>IF(AND($F316="X",$G316="INTESA"),IF($E316="U",-$D316,$D316),"")</f>
        <v/>
      </c>
      <c r="J316" s="19" t="str">
        <f>IF(AND($F316="X",$G316="BPM"),IF($E316="U",-$D316,$D316),"")</f>
        <v/>
      </c>
      <c r="K316" s="19" t="str">
        <f>IF(AND($F316="X",$G316="SONDRIO"),IF($E316="U",-$D316,$D316),"")</f>
        <v/>
      </c>
      <c r="L316" s="19" t="str">
        <f>IF(AND($F316="X",$G316="BPER"),IF($E316="U",-$D316,$D316),"")</f>
        <v/>
      </c>
      <c r="M316" s="19"/>
      <c r="N316" s="22">
        <f>IF(F316="X",IF(E316="U",-D316,D316),"non ancora confermato")</f>
        <v>-6.51</v>
      </c>
      <c r="O316" s="31" t="s">
        <v>4087</v>
      </c>
    </row>
    <row r="317" spans="1:15" ht="20.100000000000001" hidden="1" customHeight="1">
      <c r="A317" s="7" t="s">
        <v>2678</v>
      </c>
      <c r="B317" s="44">
        <v>46036</v>
      </c>
      <c r="C317" t="s">
        <v>2576</v>
      </c>
      <c r="D317" s="4">
        <v>225.23</v>
      </c>
      <c r="E317" s="65" t="s">
        <v>2427</v>
      </c>
      <c r="F317" s="131" t="s">
        <v>49</v>
      </c>
      <c r="G317" t="s">
        <v>2435</v>
      </c>
      <c r="H317" s="19" t="str">
        <f>IF(AND($F317="X",$G317="BCC"),IF($E317="U",-$D317,$D317),"")</f>
        <v/>
      </c>
      <c r="I317" s="19" t="str">
        <f>IF(AND($F317="X",$G317="INTESA"),IF($E317="U",-$D317,$D317),"")</f>
        <v/>
      </c>
      <c r="J317" s="19" t="str">
        <f>IF(AND($F317="X",$G317="BPM"),IF($E317="U",-$D317,$D317),"")</f>
        <v/>
      </c>
      <c r="K317" s="19">
        <f>IF(AND($F317="X",$G317="SONDRIO"),IF($E317="U",-$D317,$D317),"")</f>
        <v>-225.23</v>
      </c>
      <c r="L317" s="19" t="str">
        <f>IF(AND($F317="X",$G317="BPER"),IF($E317="U",-$D317,$D317),"")</f>
        <v/>
      </c>
      <c r="M317" s="19"/>
      <c r="N317" s="22">
        <f>IF(F317="X",IF(E317="U",-D317,D317),"non ancora confermato")</f>
        <v>-225.23</v>
      </c>
      <c r="O317" s="31"/>
    </row>
    <row r="318" spans="1:15" ht="20.100000000000001" hidden="1" customHeight="1">
      <c r="A318" s="7" t="s">
        <v>2678</v>
      </c>
      <c r="B318" s="44">
        <v>46036</v>
      </c>
      <c r="C318" t="s">
        <v>2576</v>
      </c>
      <c r="D318" s="4">
        <v>2</v>
      </c>
      <c r="E318" s="65" t="s">
        <v>2427</v>
      </c>
      <c r="F318" s="131" t="s">
        <v>49</v>
      </c>
      <c r="G318" t="s">
        <v>111</v>
      </c>
      <c r="H318" s="19" t="str">
        <f>IF(AND($F318="X",$G318="BCC"),IF($E318="U",-$D318,$D318),"")</f>
        <v/>
      </c>
      <c r="I318" s="19" t="str">
        <f>IF(AND($F318="X",$G318="INTESA"),IF($E318="U",-$D318,$D318),"")</f>
        <v/>
      </c>
      <c r="J318" s="19">
        <f>IF(AND($F318="X",$G318="BPM"),IF($E318="U",-$D318,$D318),"")</f>
        <v>-2</v>
      </c>
      <c r="K318" s="19" t="str">
        <f>IF(AND($F318="X",$G318="SONDRIO"),IF($E318="U",-$D318,$D318),"")</f>
        <v/>
      </c>
      <c r="L318" s="19" t="str">
        <f>IF(AND($F318="X",$G318="BPER"),IF($E318="U",-$D318,$D318),"")</f>
        <v/>
      </c>
      <c r="M318" s="19"/>
      <c r="N318" s="22">
        <f>IF(F318="X",IF(E318="U",-D318,D318),"non ancora confermato")</f>
        <v>-2</v>
      </c>
      <c r="O318" s="31" t="s">
        <v>4088</v>
      </c>
    </row>
    <row r="319" spans="1:15" ht="20.100000000000001" hidden="1" customHeight="1">
      <c r="A319" s="7" t="s">
        <v>2678</v>
      </c>
      <c r="B319" s="44">
        <v>46036</v>
      </c>
      <c r="C319" t="s">
        <v>2576</v>
      </c>
      <c r="D319" s="4">
        <v>2</v>
      </c>
      <c r="E319" s="65" t="s">
        <v>2427</v>
      </c>
      <c r="F319" s="131" t="s">
        <v>49</v>
      </c>
      <c r="H319" s="19"/>
      <c r="I319" s="19"/>
      <c r="J319" s="19"/>
      <c r="K319" s="19"/>
      <c r="L319" s="19"/>
      <c r="M319" s="19"/>
      <c r="O319" s="31"/>
    </row>
    <row r="320" spans="1:15" ht="20.100000000000001" hidden="1" customHeight="1">
      <c r="A320" s="7" t="s">
        <v>2678</v>
      </c>
      <c r="B320" s="44">
        <v>46041</v>
      </c>
      <c r="C320" t="s">
        <v>4103</v>
      </c>
      <c r="D320" s="4">
        <v>1312.43</v>
      </c>
      <c r="E320" s="65" t="s">
        <v>2527</v>
      </c>
      <c r="F320" s="131" t="s">
        <v>49</v>
      </c>
      <c r="G320" t="s">
        <v>345</v>
      </c>
      <c r="H320" s="19">
        <f t="shared" ref="H320:H332" si="83">IF(AND($F320="X",$G320="BCC"),IF($E320="U",-$D320,$D320),"")</f>
        <v>1312.43</v>
      </c>
      <c r="I320" s="19" t="str">
        <f t="shared" ref="I320:I332" si="84">IF(AND($F320="X",$G320="INTESA"),IF($E320="U",-$D320,$D320),"")</f>
        <v/>
      </c>
      <c r="J320" s="19" t="str">
        <f t="shared" ref="J320:J332" si="85">IF(AND($F320="X",$G320="BPM"),IF($E320="U",-$D320,$D320),"")</f>
        <v/>
      </c>
      <c r="K320" s="19" t="str">
        <f t="shared" ref="K320:K332" si="86">IF(AND($F320="X",$G320="SONDRIO"),IF($E320="U",-$D320,$D320),"")</f>
        <v/>
      </c>
      <c r="L320" s="19" t="str">
        <f t="shared" ref="L320:L332" si="87">IF(AND($F320="X",$G320="BPER"),IF($E320="U",-$D320,$D320),"")</f>
        <v/>
      </c>
      <c r="M320" s="19" t="str">
        <f>IF(AND($F320="X",$G320="CASSA"),IF($E320="U",-$D320,$D320),"")</f>
        <v/>
      </c>
      <c r="N320" s="22">
        <f t="shared" ref="N320:N331" si="88">IF(F320="X",IF(E320="U",-D320,D320),"non ancora confermato")</f>
        <v>1312.43</v>
      </c>
      <c r="O320" s="31" t="s">
        <v>4104</v>
      </c>
    </row>
    <row r="321" spans="1:15" ht="20.100000000000001" hidden="1" customHeight="1">
      <c r="A321" s="7" t="s">
        <v>2678</v>
      </c>
      <c r="B321" s="44">
        <v>46037</v>
      </c>
      <c r="C321" t="s">
        <v>2533</v>
      </c>
      <c r="D321" s="4">
        <v>51.4</v>
      </c>
      <c r="E321" s="65" t="s">
        <v>2427</v>
      </c>
      <c r="F321" s="131" t="s">
        <v>49</v>
      </c>
      <c r="G321" t="s">
        <v>345</v>
      </c>
      <c r="H321" s="19">
        <f t="shared" si="83"/>
        <v>-51.4</v>
      </c>
      <c r="I321" s="19" t="str">
        <f t="shared" si="84"/>
        <v/>
      </c>
      <c r="J321" s="19" t="str">
        <f t="shared" si="85"/>
        <v/>
      </c>
      <c r="K321" s="19" t="str">
        <f t="shared" si="86"/>
        <v/>
      </c>
      <c r="L321" s="19" t="str">
        <f t="shared" si="87"/>
        <v/>
      </c>
      <c r="M321" s="19" t="str">
        <f>IF(AND($F321="X",$G321="CASSA"),IF($E321="U",-$D321,$D321),"")</f>
        <v/>
      </c>
      <c r="N321" s="22">
        <f t="shared" si="88"/>
        <v>-51.4</v>
      </c>
      <c r="O321" s="31" t="s">
        <v>4105</v>
      </c>
    </row>
    <row r="322" spans="1:15" ht="20.100000000000001" hidden="1" customHeight="1">
      <c r="A322" s="7" t="s">
        <v>2678</v>
      </c>
      <c r="B322" s="44">
        <v>46041</v>
      </c>
      <c r="C322" t="s">
        <v>2196</v>
      </c>
      <c r="D322" s="4">
        <v>410</v>
      </c>
      <c r="E322" s="65" t="s">
        <v>2427</v>
      </c>
      <c r="F322" s="131" t="s">
        <v>49</v>
      </c>
      <c r="G322" t="s">
        <v>345</v>
      </c>
      <c r="H322" s="19">
        <f t="shared" si="83"/>
        <v>-410</v>
      </c>
      <c r="I322" s="19" t="str">
        <f t="shared" si="84"/>
        <v/>
      </c>
      <c r="J322" s="19" t="str">
        <f t="shared" si="85"/>
        <v/>
      </c>
      <c r="K322" s="19" t="str">
        <f t="shared" si="86"/>
        <v/>
      </c>
      <c r="L322" s="19" t="str">
        <f t="shared" si="87"/>
        <v/>
      </c>
      <c r="M322" s="19" t="str">
        <f>IF(AND($F322="X",$G322="CASSA"),IF($E322="U",-$D322,$D322),"")</f>
        <v/>
      </c>
      <c r="N322" s="22">
        <f t="shared" si="88"/>
        <v>-410</v>
      </c>
      <c r="O322" s="31"/>
    </row>
    <row r="323" spans="1:15" hidden="1">
      <c r="A323" s="7" t="s">
        <v>2678</v>
      </c>
      <c r="B323" s="44">
        <v>46052</v>
      </c>
      <c r="C323" t="s">
        <v>2449</v>
      </c>
      <c r="D323" s="4">
        <f>8000/4</f>
        <v>2000</v>
      </c>
      <c r="E323" s="65" t="s">
        <v>2427</v>
      </c>
      <c r="F323" s="160" t="s">
        <v>2431</v>
      </c>
      <c r="G323" t="s">
        <v>296</v>
      </c>
      <c r="H323" s="19" t="str">
        <f t="shared" si="83"/>
        <v/>
      </c>
      <c r="I323" s="19" t="str">
        <f t="shared" si="84"/>
        <v/>
      </c>
      <c r="J323" s="19" t="str">
        <f t="shared" si="85"/>
        <v/>
      </c>
      <c r="K323" s="19" t="str">
        <f t="shared" si="86"/>
        <v/>
      </c>
      <c r="L323" s="19" t="str">
        <f t="shared" si="87"/>
        <v/>
      </c>
      <c r="M323" s="19" t="str">
        <f>IF(AND($F323="X",$G323="CASSA"),IF($E323="U",-$D323,$D323),"")</f>
        <v/>
      </c>
      <c r="N323" s="22" t="str">
        <f t="shared" si="88"/>
        <v>non ancora confermato</v>
      </c>
      <c r="O323" s="31"/>
    </row>
    <row r="324" spans="1:15" ht="20.100000000000001" hidden="1" customHeight="1">
      <c r="A324" s="7" t="s">
        <v>2678</v>
      </c>
      <c r="B324" s="44">
        <v>45687</v>
      </c>
      <c r="C324" t="s">
        <v>2144</v>
      </c>
      <c r="D324" s="4">
        <f>(8150-2450)/5</f>
        <v>1140</v>
      </c>
      <c r="E324" s="65" t="s">
        <v>2427</v>
      </c>
      <c r="F324" s="131" t="s">
        <v>49</v>
      </c>
      <c r="G324" t="s">
        <v>111</v>
      </c>
      <c r="H324" s="19" t="str">
        <f t="shared" si="83"/>
        <v/>
      </c>
      <c r="I324" s="19" t="str">
        <f t="shared" si="84"/>
        <v/>
      </c>
      <c r="J324" s="19">
        <f t="shared" si="85"/>
        <v>-1140</v>
      </c>
      <c r="K324" s="19" t="str">
        <f t="shared" si="86"/>
        <v/>
      </c>
      <c r="L324" s="19" t="str">
        <f t="shared" si="87"/>
        <v/>
      </c>
      <c r="M324" s="19"/>
      <c r="N324" s="22">
        <f t="shared" si="88"/>
        <v>-1140</v>
      </c>
      <c r="O324" s="31"/>
    </row>
    <row r="325" spans="1:15" ht="20.100000000000001" hidden="1" customHeight="1">
      <c r="A325" s="7" t="s">
        <v>2678</v>
      </c>
      <c r="B325" s="44">
        <v>46041</v>
      </c>
      <c r="C325" s="42" t="s">
        <v>2133</v>
      </c>
      <c r="D325" s="4">
        <f>(17109.85-$D$107)/7-158.55</f>
        <v>1999.9999999999998</v>
      </c>
      <c r="E325" s="65" t="s">
        <v>2427</v>
      </c>
      <c r="F325" s="131" t="s">
        <v>49</v>
      </c>
      <c r="G325" t="s">
        <v>345</v>
      </c>
      <c r="H325" s="19">
        <f t="shared" si="83"/>
        <v>-1999.9999999999998</v>
      </c>
      <c r="I325" s="19" t="str">
        <f t="shared" si="84"/>
        <v/>
      </c>
      <c r="J325" s="19" t="str">
        <f t="shared" si="85"/>
        <v/>
      </c>
      <c r="K325" s="19" t="str">
        <f t="shared" si="86"/>
        <v/>
      </c>
      <c r="L325" s="19" t="str">
        <f t="shared" si="87"/>
        <v/>
      </c>
      <c r="M325" s="19"/>
      <c r="N325" s="22">
        <f t="shared" si="88"/>
        <v>-1999.9999999999998</v>
      </c>
      <c r="O325" s="31"/>
    </row>
    <row r="326" spans="1:15" ht="45" hidden="1">
      <c r="A326" s="7" t="s">
        <v>2678</v>
      </c>
      <c r="B326" s="44">
        <v>46041</v>
      </c>
      <c r="C326" s="42" t="s">
        <v>2596</v>
      </c>
      <c r="D326" s="4">
        <v>353.3</v>
      </c>
      <c r="E326" s="65" t="s">
        <v>2427</v>
      </c>
      <c r="F326" s="131" t="s">
        <v>49</v>
      </c>
      <c r="G326" t="s">
        <v>345</v>
      </c>
      <c r="H326" s="19">
        <f t="shared" si="83"/>
        <v>-353.3</v>
      </c>
      <c r="I326" s="19" t="str">
        <f t="shared" si="84"/>
        <v/>
      </c>
      <c r="J326" s="19" t="str">
        <f t="shared" si="85"/>
        <v/>
      </c>
      <c r="K326" s="19" t="str">
        <f t="shared" si="86"/>
        <v/>
      </c>
      <c r="L326" s="19" t="str">
        <f t="shared" si="87"/>
        <v/>
      </c>
      <c r="M326" s="19"/>
      <c r="N326" s="22">
        <f t="shared" si="88"/>
        <v>-353.3</v>
      </c>
      <c r="O326" s="145" t="s">
        <v>4107</v>
      </c>
    </row>
    <row r="327" spans="1:15" ht="45" hidden="1">
      <c r="A327" s="7" t="s">
        <v>2678</v>
      </c>
      <c r="B327" s="44">
        <v>46041</v>
      </c>
      <c r="C327" s="42" t="s">
        <v>2596</v>
      </c>
      <c r="D327" s="4">
        <v>752.58</v>
      </c>
      <c r="E327" s="65" t="s">
        <v>2427</v>
      </c>
      <c r="F327" s="131" t="s">
        <v>49</v>
      </c>
      <c r="G327" t="s">
        <v>345</v>
      </c>
      <c r="H327" s="19">
        <f t="shared" si="83"/>
        <v>-752.58</v>
      </c>
      <c r="I327" s="19" t="str">
        <f t="shared" si="84"/>
        <v/>
      </c>
      <c r="J327" s="19" t="str">
        <f t="shared" si="85"/>
        <v/>
      </c>
      <c r="K327" s="19" t="str">
        <f t="shared" si="86"/>
        <v/>
      </c>
      <c r="L327" s="19" t="str">
        <f t="shared" si="87"/>
        <v/>
      </c>
      <c r="M327" s="19"/>
      <c r="N327" s="22">
        <f t="shared" si="88"/>
        <v>-752.58</v>
      </c>
      <c r="O327" s="145" t="s">
        <v>4106</v>
      </c>
    </row>
    <row r="328" spans="1:15" ht="45" hidden="1">
      <c r="A328" s="7" t="s">
        <v>2678</v>
      </c>
      <c r="B328" s="44">
        <v>46041</v>
      </c>
      <c r="C328" s="42" t="s">
        <v>2596</v>
      </c>
      <c r="D328" s="4">
        <v>223.98</v>
      </c>
      <c r="E328" s="65" t="s">
        <v>2427</v>
      </c>
      <c r="F328" s="131" t="s">
        <v>49</v>
      </c>
      <c r="G328" t="s">
        <v>345</v>
      </c>
      <c r="H328" s="19">
        <f t="shared" si="83"/>
        <v>-223.98</v>
      </c>
      <c r="I328" s="19" t="str">
        <f t="shared" si="84"/>
        <v/>
      </c>
      <c r="J328" s="19" t="str">
        <f t="shared" si="85"/>
        <v/>
      </c>
      <c r="K328" s="19" t="str">
        <f t="shared" si="86"/>
        <v/>
      </c>
      <c r="L328" s="19" t="str">
        <f t="shared" si="87"/>
        <v/>
      </c>
      <c r="M328" s="19"/>
      <c r="N328" s="22">
        <f t="shared" si="88"/>
        <v>-223.98</v>
      </c>
      <c r="O328" s="145" t="s">
        <v>4108</v>
      </c>
    </row>
    <row r="329" spans="1:15" hidden="1">
      <c r="A329" s="7" t="s">
        <v>2678</v>
      </c>
      <c r="B329" s="44">
        <v>46041</v>
      </c>
      <c r="C329" s="42" t="s">
        <v>4109</v>
      </c>
      <c r="D329" s="4">
        <v>5843.75</v>
      </c>
      <c r="E329" s="65" t="s">
        <v>2527</v>
      </c>
      <c r="F329" s="131" t="s">
        <v>49</v>
      </c>
      <c r="G329" t="s">
        <v>345</v>
      </c>
      <c r="H329" s="19">
        <f t="shared" si="83"/>
        <v>5843.75</v>
      </c>
      <c r="I329" s="19" t="str">
        <f t="shared" si="84"/>
        <v/>
      </c>
      <c r="J329" s="19" t="str">
        <f t="shared" si="85"/>
        <v/>
      </c>
      <c r="K329" s="19" t="str">
        <f t="shared" si="86"/>
        <v/>
      </c>
      <c r="L329" s="19" t="str">
        <f t="shared" si="87"/>
        <v/>
      </c>
      <c r="M329" s="19"/>
      <c r="N329" s="22">
        <f t="shared" si="88"/>
        <v>5843.75</v>
      </c>
      <c r="O329" s="145"/>
    </row>
    <row r="330" spans="1:15" hidden="1">
      <c r="A330" s="7" t="s">
        <v>2678</v>
      </c>
      <c r="B330" s="44">
        <v>46041</v>
      </c>
      <c r="C330" s="42" t="s">
        <v>2533</v>
      </c>
      <c r="D330" s="4">
        <v>57.78</v>
      </c>
      <c r="E330" s="65" t="s">
        <v>2427</v>
      </c>
      <c r="F330" s="131" t="s">
        <v>49</v>
      </c>
      <c r="G330" t="s">
        <v>345</v>
      </c>
      <c r="H330" s="19">
        <f t="shared" si="83"/>
        <v>-57.78</v>
      </c>
      <c r="I330" s="19" t="str">
        <f t="shared" si="84"/>
        <v/>
      </c>
      <c r="J330" s="19" t="str">
        <f t="shared" si="85"/>
        <v/>
      </c>
      <c r="K330" s="19" t="str">
        <f t="shared" si="86"/>
        <v/>
      </c>
      <c r="L330" s="19" t="str">
        <f t="shared" si="87"/>
        <v/>
      </c>
      <c r="M330" s="19"/>
      <c r="N330" s="22">
        <f t="shared" si="88"/>
        <v>-57.78</v>
      </c>
      <c r="O330" s="145" t="s">
        <v>4110</v>
      </c>
    </row>
    <row r="331" spans="1:15" hidden="1">
      <c r="A331" s="7" t="s">
        <v>2678</v>
      </c>
      <c r="B331" s="44">
        <v>46041</v>
      </c>
      <c r="C331" s="42" t="s">
        <v>2210</v>
      </c>
      <c r="D331" s="4">
        <v>741.56</v>
      </c>
      <c r="E331" s="65" t="s">
        <v>2427</v>
      </c>
      <c r="F331" s="131" t="s">
        <v>49</v>
      </c>
      <c r="G331" t="s">
        <v>345</v>
      </c>
      <c r="H331" s="19">
        <f t="shared" si="83"/>
        <v>-741.56</v>
      </c>
      <c r="I331" s="19" t="str">
        <f t="shared" si="84"/>
        <v/>
      </c>
      <c r="J331" s="19" t="str">
        <f t="shared" si="85"/>
        <v/>
      </c>
      <c r="K331" s="19" t="str">
        <f t="shared" si="86"/>
        <v/>
      </c>
      <c r="L331" s="19" t="str">
        <f t="shared" si="87"/>
        <v/>
      </c>
      <c r="M331" s="19"/>
      <c r="N331" s="22">
        <f t="shared" si="88"/>
        <v>-741.56</v>
      </c>
      <c r="O331" s="145"/>
    </row>
    <row r="332" spans="1:15" ht="75" hidden="1">
      <c r="A332" s="7" t="s">
        <v>2678</v>
      </c>
      <c r="B332" s="44">
        <v>46048</v>
      </c>
      <c r="C332" s="42" t="s">
        <v>2596</v>
      </c>
      <c r="D332" s="4">
        <v>16</v>
      </c>
      <c r="E332" s="65" t="s">
        <v>2427</v>
      </c>
      <c r="F332" s="131" t="s">
        <v>49</v>
      </c>
      <c r="G332" t="s">
        <v>2435</v>
      </c>
      <c r="H332" s="19" t="str">
        <f t="shared" si="83"/>
        <v/>
      </c>
      <c r="I332" s="19" t="str">
        <f t="shared" si="84"/>
        <v/>
      </c>
      <c r="J332" s="19" t="str">
        <f t="shared" si="85"/>
        <v/>
      </c>
      <c r="K332" s="19">
        <f t="shared" si="86"/>
        <v>-16</v>
      </c>
      <c r="L332" s="19" t="str">
        <f t="shared" si="87"/>
        <v/>
      </c>
      <c r="M332" s="19"/>
      <c r="N332" s="22">
        <f t="shared" ref="N332" si="89">IF(F332="X",IF(E332="U",-D332,D332),"non ancora confermato")</f>
        <v>-16</v>
      </c>
      <c r="O332" s="145" t="s">
        <v>4249</v>
      </c>
    </row>
    <row r="333" spans="1:15" hidden="1">
      <c r="A333" s="7" t="s">
        <v>2678</v>
      </c>
      <c r="B333" s="44">
        <v>46048</v>
      </c>
      <c r="C333" s="42" t="s">
        <v>2586</v>
      </c>
      <c r="D333" s="4">
        <v>1852.64</v>
      </c>
      <c r="E333" s="65" t="s">
        <v>2427</v>
      </c>
      <c r="F333" s="131" t="s">
        <v>49</v>
      </c>
      <c r="G333" t="s">
        <v>345</v>
      </c>
      <c r="H333" s="19">
        <f t="shared" ref="H333:H358" si="90">IF(AND($F333="X",$G333="BCC"),IF($E333="U",-$D333,$D333),"")</f>
        <v>-1852.64</v>
      </c>
      <c r="I333" s="19" t="str">
        <f t="shared" ref="I333:I358" si="91">IF(AND($F333="X",$G333="INTESA"),IF($E333="U",-$D333,$D333),"")</f>
        <v/>
      </c>
      <c r="J333" s="19" t="str">
        <f t="shared" ref="J333:J358" si="92">IF(AND($F333="X",$G333="BPM"),IF($E333="U",-$D333,$D333),"")</f>
        <v/>
      </c>
      <c r="K333" s="19" t="str">
        <f t="shared" ref="K333:K358" si="93">IF(AND($F333="X",$G333="SONDRIO"),IF($E333="U",-$D333,$D333),"")</f>
        <v/>
      </c>
      <c r="L333" s="19" t="str">
        <f t="shared" ref="L333:L358" si="94">IF(AND($F333="X",$G333="BPER"),IF($E333="U",-$D333,$D333),"")</f>
        <v/>
      </c>
      <c r="M333" s="19"/>
      <c r="N333" s="22">
        <f t="shared" ref="N333:N334" si="95">IF(F333="X",IF(E333="U",-D333,D333),"non ancora confermato")</f>
        <v>-1852.64</v>
      </c>
      <c r="O333" s="145"/>
    </row>
    <row r="334" spans="1:15" hidden="1">
      <c r="A334" s="7" t="s">
        <v>2678</v>
      </c>
      <c r="B334" s="44">
        <v>46048</v>
      </c>
      <c r="C334" s="42" t="s">
        <v>2671</v>
      </c>
      <c r="D334" s="4">
        <v>159.61000000000001</v>
      </c>
      <c r="E334" s="65" t="s">
        <v>2427</v>
      </c>
      <c r="F334" s="131" t="s">
        <v>49</v>
      </c>
      <c r="G334" t="s">
        <v>345</v>
      </c>
      <c r="H334" s="19">
        <f t="shared" si="90"/>
        <v>-159.61000000000001</v>
      </c>
      <c r="I334" s="19" t="str">
        <f t="shared" si="91"/>
        <v/>
      </c>
      <c r="J334" s="19" t="str">
        <f t="shared" si="92"/>
        <v/>
      </c>
      <c r="K334" s="19" t="str">
        <f t="shared" si="93"/>
        <v/>
      </c>
      <c r="L334" s="19" t="str">
        <f t="shared" si="94"/>
        <v/>
      </c>
      <c r="M334" s="19"/>
      <c r="N334" s="22">
        <f t="shared" si="95"/>
        <v>-159.61000000000001</v>
      </c>
      <c r="O334" s="145"/>
    </row>
    <row r="335" spans="1:15" hidden="1">
      <c r="A335" s="7" t="s">
        <v>2678</v>
      </c>
      <c r="B335" s="44">
        <v>46036</v>
      </c>
      <c r="C335" s="42" t="s">
        <v>2543</v>
      </c>
      <c r="D335" s="4">
        <v>200</v>
      </c>
      <c r="E335" s="65" t="s">
        <v>2427</v>
      </c>
      <c r="F335" s="131" t="s">
        <v>49</v>
      </c>
      <c r="G335" t="s">
        <v>111</v>
      </c>
      <c r="H335" s="19" t="str">
        <f t="shared" si="90"/>
        <v/>
      </c>
      <c r="I335" s="19" t="str">
        <f t="shared" si="91"/>
        <v/>
      </c>
      <c r="J335" s="19">
        <f t="shared" si="92"/>
        <v>-200</v>
      </c>
      <c r="K335" s="19" t="str">
        <f t="shared" si="93"/>
        <v/>
      </c>
      <c r="L335" s="19" t="str">
        <f t="shared" si="94"/>
        <v/>
      </c>
      <c r="M335" s="19"/>
      <c r="N335" s="22">
        <f t="shared" ref="N335" si="96">IF(F335="X",IF(E335="U",-D335,D335),"non ancora confermato")</f>
        <v>-200</v>
      </c>
      <c r="O335" s="145"/>
    </row>
    <row r="336" spans="1:15" ht="30" hidden="1">
      <c r="A336" s="7" t="s">
        <v>2678</v>
      </c>
      <c r="B336" s="44">
        <v>46041</v>
      </c>
      <c r="C336" s="42" t="s">
        <v>4111</v>
      </c>
      <c r="D336" s="4">
        <v>1183</v>
      </c>
      <c r="E336" s="65" t="s">
        <v>2427</v>
      </c>
      <c r="F336" s="131" t="s">
        <v>49</v>
      </c>
      <c r="G336" t="s">
        <v>111</v>
      </c>
      <c r="H336" s="19" t="str">
        <f t="shared" si="90"/>
        <v/>
      </c>
      <c r="I336" s="19" t="str">
        <f t="shared" si="91"/>
        <v/>
      </c>
      <c r="J336" s="19">
        <f t="shared" si="92"/>
        <v>-1183</v>
      </c>
      <c r="K336" s="19" t="str">
        <f t="shared" si="93"/>
        <v/>
      </c>
      <c r="L336" s="19" t="str">
        <f t="shared" si="94"/>
        <v/>
      </c>
      <c r="M336" s="19"/>
      <c r="N336" s="22">
        <f t="shared" ref="N336" si="97">IF(F336="X",IF(E336="U",-D336,D336),"non ancora confermato")</f>
        <v>-1183</v>
      </c>
      <c r="O336" s="145" t="s">
        <v>4112</v>
      </c>
    </row>
    <row r="337" spans="1:15" ht="60" hidden="1">
      <c r="A337" s="7" t="s">
        <v>2678</v>
      </c>
      <c r="B337" s="44">
        <v>46041</v>
      </c>
      <c r="C337" s="42" t="s">
        <v>4113</v>
      </c>
      <c r="D337" s="4">
        <v>29.62</v>
      </c>
      <c r="E337" s="65" t="s">
        <v>2427</v>
      </c>
      <c r="F337" s="131" t="s">
        <v>49</v>
      </c>
      <c r="G337" t="s">
        <v>111</v>
      </c>
      <c r="H337" s="19" t="str">
        <f t="shared" si="90"/>
        <v/>
      </c>
      <c r="I337" s="19" t="str">
        <f t="shared" si="91"/>
        <v/>
      </c>
      <c r="J337" s="19">
        <f t="shared" si="92"/>
        <v>-29.62</v>
      </c>
      <c r="K337" s="19" t="str">
        <f t="shared" si="93"/>
        <v/>
      </c>
      <c r="L337" s="19" t="str">
        <f t="shared" si="94"/>
        <v/>
      </c>
      <c r="M337" s="19"/>
      <c r="N337" s="22">
        <f t="shared" ref="N337" si="98">IF(F337="X",IF(E337="U",-D337,D337),"non ancora confermato")</f>
        <v>-29.62</v>
      </c>
      <c r="O337" s="145" t="s">
        <v>4114</v>
      </c>
    </row>
    <row r="338" spans="1:15" hidden="1">
      <c r="A338" s="7" t="s">
        <v>2678</v>
      </c>
      <c r="B338" s="44">
        <v>46037</v>
      </c>
      <c r="C338" s="42" t="s">
        <v>2081</v>
      </c>
      <c r="D338" s="4">
        <v>5955.05</v>
      </c>
      <c r="E338" s="65" t="s">
        <v>2427</v>
      </c>
      <c r="F338" s="131" t="s">
        <v>49</v>
      </c>
      <c r="G338" t="s">
        <v>296</v>
      </c>
      <c r="H338" s="19" t="str">
        <f t="shared" si="90"/>
        <v/>
      </c>
      <c r="I338" s="19" t="str">
        <f t="shared" si="91"/>
        <v/>
      </c>
      <c r="J338" s="19" t="str">
        <f t="shared" si="92"/>
        <v/>
      </c>
      <c r="K338" s="19" t="str">
        <f t="shared" si="93"/>
        <v/>
      </c>
      <c r="L338" s="19">
        <f t="shared" si="94"/>
        <v>-5955.05</v>
      </c>
      <c r="M338" s="19"/>
      <c r="N338" s="22">
        <f t="shared" ref="N338" si="99">IF(F338="X",IF(E338="U",-D338,D338),"non ancora confermato")</f>
        <v>-5955.05</v>
      </c>
      <c r="O338" s="145"/>
    </row>
    <row r="339" spans="1:15" hidden="1">
      <c r="A339" s="7" t="s">
        <v>2678</v>
      </c>
      <c r="B339" s="44">
        <v>46042</v>
      </c>
      <c r="C339" s="42" t="s">
        <v>2446</v>
      </c>
      <c r="D339" s="4">
        <v>2500</v>
      </c>
      <c r="E339" s="65" t="s">
        <v>2427</v>
      </c>
      <c r="F339" s="131" t="s">
        <v>49</v>
      </c>
      <c r="G339" t="s">
        <v>296</v>
      </c>
      <c r="H339" s="19" t="str">
        <f t="shared" si="90"/>
        <v/>
      </c>
      <c r="I339" s="19" t="str">
        <f t="shared" si="91"/>
        <v/>
      </c>
      <c r="J339" s="19" t="str">
        <f t="shared" si="92"/>
        <v/>
      </c>
      <c r="K339" s="19" t="str">
        <f t="shared" si="93"/>
        <v/>
      </c>
      <c r="L339" s="19">
        <f t="shared" si="94"/>
        <v>-2500</v>
      </c>
      <c r="M339" s="19"/>
      <c r="N339" s="22">
        <f t="shared" ref="N339" si="100">IF(F339="X",IF(E339="U",-D339,D339),"non ancora confermato")</f>
        <v>-2500</v>
      </c>
      <c r="O339" s="145" t="s">
        <v>2183</v>
      </c>
    </row>
    <row r="340" spans="1:15" hidden="1">
      <c r="A340" s="7" t="s">
        <v>2678</v>
      </c>
      <c r="B340" s="44">
        <v>46042</v>
      </c>
      <c r="C340" s="42" t="s">
        <v>2144</v>
      </c>
      <c r="D340" s="4">
        <v>1053.32</v>
      </c>
      <c r="E340" s="65" t="s">
        <v>2427</v>
      </c>
      <c r="F340" s="131" t="s">
        <v>49</v>
      </c>
      <c r="G340" t="s">
        <v>296</v>
      </c>
      <c r="H340" s="19" t="str">
        <f t="shared" si="90"/>
        <v/>
      </c>
      <c r="I340" s="19" t="str">
        <f t="shared" si="91"/>
        <v/>
      </c>
      <c r="J340" s="19" t="str">
        <f t="shared" si="92"/>
        <v/>
      </c>
      <c r="K340" s="19" t="str">
        <f t="shared" si="93"/>
        <v/>
      </c>
      <c r="L340" s="19">
        <f t="shared" si="94"/>
        <v>-1053.32</v>
      </c>
      <c r="M340" s="19"/>
      <c r="N340" s="22">
        <f t="shared" ref="N340" si="101">IF(F340="X",IF(E340="U",-D340,D340),"non ancora confermato")</f>
        <v>-1053.32</v>
      </c>
      <c r="O340" s="145"/>
    </row>
    <row r="341" spans="1:15" hidden="1">
      <c r="A341" s="7" t="s">
        <v>2678</v>
      </c>
      <c r="B341" s="44">
        <v>46042</v>
      </c>
      <c r="C341" s="42" t="s">
        <v>2098</v>
      </c>
      <c r="D341" s="4">
        <v>882.08</v>
      </c>
      <c r="E341" s="65" t="s">
        <v>2427</v>
      </c>
      <c r="F341" s="131" t="s">
        <v>49</v>
      </c>
      <c r="G341" t="s">
        <v>296</v>
      </c>
      <c r="H341" s="19" t="str">
        <f t="shared" si="90"/>
        <v/>
      </c>
      <c r="I341" s="19" t="str">
        <f t="shared" si="91"/>
        <v/>
      </c>
      <c r="J341" s="19" t="str">
        <f t="shared" si="92"/>
        <v/>
      </c>
      <c r="K341" s="19" t="str">
        <f t="shared" si="93"/>
        <v/>
      </c>
      <c r="L341" s="19">
        <f t="shared" si="94"/>
        <v>-882.08</v>
      </c>
      <c r="M341" s="19"/>
      <c r="N341" s="22">
        <f t="shared" ref="N341" si="102">IF(F341="X",IF(E341="U",-D341,D341),"non ancora confermato")</f>
        <v>-882.08</v>
      </c>
      <c r="O341" s="145"/>
    </row>
    <row r="342" spans="1:15" ht="30" hidden="1">
      <c r="A342" s="7" t="s">
        <v>2678</v>
      </c>
      <c r="B342" s="44">
        <v>46045</v>
      </c>
      <c r="C342" s="42" t="s">
        <v>2200</v>
      </c>
      <c r="D342" s="4">
        <v>2162</v>
      </c>
      <c r="E342" s="65" t="s">
        <v>2427</v>
      </c>
      <c r="F342" s="131" t="s">
        <v>49</v>
      </c>
      <c r="G342" t="s">
        <v>296</v>
      </c>
      <c r="H342" s="19" t="str">
        <f t="shared" si="90"/>
        <v/>
      </c>
      <c r="I342" s="19" t="str">
        <f t="shared" si="91"/>
        <v/>
      </c>
      <c r="J342" s="19" t="str">
        <f t="shared" si="92"/>
        <v/>
      </c>
      <c r="K342" s="19" t="str">
        <f t="shared" si="93"/>
        <v/>
      </c>
      <c r="L342" s="19">
        <f t="shared" si="94"/>
        <v>-2162</v>
      </c>
      <c r="M342" s="19"/>
      <c r="N342" s="22">
        <f t="shared" ref="N342" si="103">IF(F342="X",IF(E342="U",-D342,D342),"non ancora confermato")</f>
        <v>-2162</v>
      </c>
      <c r="O342" s="145" t="s">
        <v>4138</v>
      </c>
    </row>
    <row r="343" spans="1:15" hidden="1">
      <c r="A343" s="7" t="s">
        <v>2678</v>
      </c>
      <c r="B343" s="44">
        <v>46045</v>
      </c>
      <c r="C343" s="42" t="s">
        <v>2229</v>
      </c>
      <c r="D343" s="4">
        <v>679.82</v>
      </c>
      <c r="E343" s="65" t="s">
        <v>2427</v>
      </c>
      <c r="F343" s="131" t="s">
        <v>49</v>
      </c>
      <c r="G343" t="s">
        <v>296</v>
      </c>
      <c r="H343" s="19" t="str">
        <f t="shared" si="90"/>
        <v/>
      </c>
      <c r="I343" s="19" t="str">
        <f t="shared" si="91"/>
        <v/>
      </c>
      <c r="J343" s="19" t="str">
        <f t="shared" si="92"/>
        <v/>
      </c>
      <c r="K343" s="19" t="str">
        <f t="shared" si="93"/>
        <v/>
      </c>
      <c r="L343" s="19">
        <f t="shared" si="94"/>
        <v>-679.82</v>
      </c>
      <c r="M343" s="19"/>
      <c r="N343" s="22">
        <f t="shared" ref="N343" si="104">IF(F343="X",IF(E343="U",-D343,D343),"non ancora confermato")</f>
        <v>-679.82</v>
      </c>
      <c r="O343" s="145"/>
    </row>
    <row r="344" spans="1:15" hidden="1">
      <c r="A344" s="7" t="s">
        <v>2678</v>
      </c>
      <c r="B344" s="44">
        <v>46049</v>
      </c>
      <c r="C344" t="s">
        <v>2055</v>
      </c>
      <c r="D344" s="4">
        <f>2072.13-$D$142</f>
        <v>1072.1300000000001</v>
      </c>
      <c r="E344" s="65" t="s">
        <v>2427</v>
      </c>
      <c r="F344" s="131" t="s">
        <v>49</v>
      </c>
      <c r="G344" t="s">
        <v>345</v>
      </c>
      <c r="H344" s="19">
        <f t="shared" si="90"/>
        <v>-1072.1300000000001</v>
      </c>
      <c r="I344" s="19" t="str">
        <f t="shared" si="91"/>
        <v/>
      </c>
      <c r="J344" s="19" t="str">
        <f t="shared" si="92"/>
        <v/>
      </c>
      <c r="K344" s="19" t="str">
        <f t="shared" si="93"/>
        <v/>
      </c>
      <c r="L344" s="19" t="str">
        <f t="shared" si="94"/>
        <v/>
      </c>
      <c r="M344" s="19"/>
      <c r="N344" s="22">
        <f t="shared" ref="N344" si="105">IF(F344="X",IF(E344="U",-D344,D344),"non ancora confermato")</f>
        <v>-1072.1300000000001</v>
      </c>
      <c r="O344" s="145"/>
    </row>
    <row r="345" spans="1:15" hidden="1">
      <c r="A345" s="7" t="s">
        <v>2678</v>
      </c>
      <c r="B345" s="44">
        <v>46049</v>
      </c>
      <c r="C345" t="s">
        <v>2543</v>
      </c>
      <c r="D345" s="4">
        <v>200</v>
      </c>
      <c r="E345" s="65" t="s">
        <v>2427</v>
      </c>
      <c r="F345" s="131" t="s">
        <v>49</v>
      </c>
      <c r="G345" t="s">
        <v>111</v>
      </c>
      <c r="H345" s="19" t="str">
        <f t="shared" si="90"/>
        <v/>
      </c>
      <c r="I345" s="19" t="str">
        <f t="shared" si="91"/>
        <v/>
      </c>
      <c r="J345" s="19">
        <f t="shared" si="92"/>
        <v>-200</v>
      </c>
      <c r="K345" s="19" t="str">
        <f t="shared" si="93"/>
        <v/>
      </c>
      <c r="L345" s="19" t="str">
        <f t="shared" si="94"/>
        <v/>
      </c>
      <c r="M345" s="19"/>
      <c r="N345" s="22">
        <f t="shared" ref="N345" si="106">IF(F345="X",IF(E345="U",-D345,D345),"non ancora confermato")</f>
        <v>-200</v>
      </c>
      <c r="O345" s="145"/>
    </row>
    <row r="346" spans="1:15" hidden="1">
      <c r="A346" s="7" t="s">
        <v>2525</v>
      </c>
      <c r="B346" s="44">
        <v>46051</v>
      </c>
      <c r="C346" t="s">
        <v>2668</v>
      </c>
      <c r="D346" s="4">
        <v>15000</v>
      </c>
      <c r="E346" s="65" t="s">
        <v>2427</v>
      </c>
      <c r="F346" s="131" t="s">
        <v>49</v>
      </c>
      <c r="G346" t="s">
        <v>296</v>
      </c>
      <c r="H346" s="19" t="str">
        <f t="shared" si="90"/>
        <v/>
      </c>
      <c r="I346" s="19" t="str">
        <f t="shared" si="91"/>
        <v/>
      </c>
      <c r="J346" s="19" t="str">
        <f t="shared" si="92"/>
        <v/>
      </c>
      <c r="K346" s="19" t="str">
        <f t="shared" si="93"/>
        <v/>
      </c>
      <c r="L346" s="19">
        <f t="shared" si="94"/>
        <v>-15000</v>
      </c>
      <c r="M346" s="19"/>
      <c r="N346" s="22">
        <f t="shared" ref="N346:N347" si="107">IF(F346="X",IF(E346="U",-D346,D346),"non ancora confermato")</f>
        <v>-15000</v>
      </c>
      <c r="O346" s="145"/>
    </row>
    <row r="347" spans="1:15" hidden="1">
      <c r="A347" s="7" t="s">
        <v>2525</v>
      </c>
      <c r="B347" s="44">
        <v>46051</v>
      </c>
      <c r="C347" t="s">
        <v>2668</v>
      </c>
      <c r="D347" s="4">
        <v>15000</v>
      </c>
      <c r="E347" s="65" t="s">
        <v>2527</v>
      </c>
      <c r="F347" s="131" t="s">
        <v>49</v>
      </c>
      <c r="G347" t="s">
        <v>2435</v>
      </c>
      <c r="H347" s="19" t="str">
        <f t="shared" si="90"/>
        <v/>
      </c>
      <c r="I347" s="19" t="str">
        <f t="shared" si="91"/>
        <v/>
      </c>
      <c r="J347" s="19" t="str">
        <f t="shared" si="92"/>
        <v/>
      </c>
      <c r="K347" s="19">
        <f t="shared" si="93"/>
        <v>15000</v>
      </c>
      <c r="L347" s="19" t="str">
        <f t="shared" si="94"/>
        <v/>
      </c>
      <c r="M347" s="19"/>
      <c r="N347" s="22">
        <f t="shared" si="107"/>
        <v>15000</v>
      </c>
      <c r="O347" s="145"/>
    </row>
    <row r="348" spans="1:15" hidden="1">
      <c r="A348" s="7" t="s">
        <v>2525</v>
      </c>
      <c r="B348" s="44">
        <v>46051</v>
      </c>
      <c r="C348" t="s">
        <v>2668</v>
      </c>
      <c r="D348" s="4">
        <v>1000</v>
      </c>
      <c r="E348" s="65" t="s">
        <v>2427</v>
      </c>
      <c r="F348" s="131" t="s">
        <v>49</v>
      </c>
      <c r="G348" t="s">
        <v>296</v>
      </c>
      <c r="H348" s="19" t="str">
        <f t="shared" si="90"/>
        <v/>
      </c>
      <c r="I348" s="19" t="str">
        <f t="shared" si="91"/>
        <v/>
      </c>
      <c r="J348" s="19" t="str">
        <f t="shared" si="92"/>
        <v/>
      </c>
      <c r="K348" s="19" t="str">
        <f t="shared" si="93"/>
        <v/>
      </c>
      <c r="L348" s="19">
        <f t="shared" si="94"/>
        <v>-1000</v>
      </c>
      <c r="M348" s="19"/>
      <c r="N348" s="22">
        <f t="shared" ref="N348:N349" si="108">IF(F348="X",IF(E348="U",-D348,D348),"non ancora confermato")</f>
        <v>-1000</v>
      </c>
      <c r="O348" s="145"/>
    </row>
    <row r="349" spans="1:15" hidden="1">
      <c r="A349" s="7" t="s">
        <v>2525</v>
      </c>
      <c r="B349" s="44">
        <v>46051</v>
      </c>
      <c r="C349" t="s">
        <v>2668</v>
      </c>
      <c r="D349" s="4">
        <v>1000</v>
      </c>
      <c r="E349" s="65" t="s">
        <v>2527</v>
      </c>
      <c r="F349" s="131" t="s">
        <v>49</v>
      </c>
      <c r="G349" t="s">
        <v>2435</v>
      </c>
      <c r="H349" s="19" t="str">
        <f t="shared" si="90"/>
        <v/>
      </c>
      <c r="I349" s="19" t="str">
        <f t="shared" si="91"/>
        <v/>
      </c>
      <c r="J349" s="19" t="str">
        <f t="shared" si="92"/>
        <v/>
      </c>
      <c r="K349" s="19">
        <f t="shared" si="93"/>
        <v>1000</v>
      </c>
      <c r="L349" s="19" t="str">
        <f t="shared" si="94"/>
        <v/>
      </c>
      <c r="M349" s="19"/>
      <c r="N349" s="22">
        <f t="shared" si="108"/>
        <v>1000</v>
      </c>
      <c r="O349" s="145"/>
    </row>
    <row r="350" spans="1:15" hidden="1">
      <c r="A350" s="7" t="s">
        <v>2525</v>
      </c>
      <c r="B350" s="44">
        <v>46051</v>
      </c>
      <c r="C350" t="s">
        <v>4244</v>
      </c>
      <c r="D350" s="4">
        <v>1200</v>
      </c>
      <c r="E350" s="65" t="s">
        <v>2427</v>
      </c>
      <c r="F350" s="131" t="s">
        <v>49</v>
      </c>
      <c r="G350" t="s">
        <v>345</v>
      </c>
      <c r="H350" s="19">
        <f t="shared" si="90"/>
        <v>-1200</v>
      </c>
      <c r="I350" s="19" t="str">
        <f t="shared" si="91"/>
        <v/>
      </c>
      <c r="J350" s="19" t="str">
        <f t="shared" si="92"/>
        <v/>
      </c>
      <c r="K350" s="19" t="str">
        <f t="shared" si="93"/>
        <v/>
      </c>
      <c r="L350" s="19" t="str">
        <f t="shared" si="94"/>
        <v/>
      </c>
      <c r="M350" s="19"/>
      <c r="N350" s="22">
        <f t="shared" ref="N350" si="109">IF(F350="X",IF(E350="U",-D350,D350),"non ancora confermato")</f>
        <v>-1200</v>
      </c>
      <c r="O350" s="145"/>
    </row>
    <row r="351" spans="1:15" hidden="1">
      <c r="A351" s="7" t="s">
        <v>2525</v>
      </c>
      <c r="B351" s="44">
        <v>46051</v>
      </c>
      <c r="C351" t="s">
        <v>4244</v>
      </c>
      <c r="D351" s="4">
        <v>1200</v>
      </c>
      <c r="E351" s="65" t="s">
        <v>2527</v>
      </c>
      <c r="F351" s="131" t="s">
        <v>49</v>
      </c>
      <c r="G351" t="s">
        <v>2435</v>
      </c>
      <c r="H351" s="19" t="str">
        <f t="shared" si="90"/>
        <v/>
      </c>
      <c r="I351" s="19" t="str">
        <f t="shared" si="91"/>
        <v/>
      </c>
      <c r="J351" s="19" t="str">
        <f t="shared" si="92"/>
        <v/>
      </c>
      <c r="K351" s="19">
        <f t="shared" si="93"/>
        <v>1200</v>
      </c>
      <c r="L351" s="19" t="str">
        <f t="shared" si="94"/>
        <v/>
      </c>
      <c r="M351" s="19"/>
      <c r="N351" s="22">
        <f t="shared" ref="N351:N353" si="110">IF(F351="X",IF(E351="U",-D351,D351),"non ancora confermato")</f>
        <v>1200</v>
      </c>
      <c r="O351" s="145"/>
    </row>
    <row r="352" spans="1:15" hidden="1">
      <c r="A352" s="7" t="s">
        <v>2525</v>
      </c>
      <c r="B352" s="44">
        <v>46051</v>
      </c>
      <c r="C352" t="s">
        <v>2580</v>
      </c>
      <c r="D352" s="4">
        <v>300</v>
      </c>
      <c r="E352" s="65" t="s">
        <v>2427</v>
      </c>
      <c r="F352" s="131" t="s">
        <v>49</v>
      </c>
      <c r="G352" t="s">
        <v>345</v>
      </c>
      <c r="H352" s="19">
        <f t="shared" si="90"/>
        <v>-300</v>
      </c>
      <c r="I352" s="19" t="str">
        <f t="shared" si="91"/>
        <v/>
      </c>
      <c r="J352" s="19" t="str">
        <f t="shared" si="92"/>
        <v/>
      </c>
      <c r="K352" s="19" t="str">
        <f t="shared" si="93"/>
        <v/>
      </c>
      <c r="L352" s="19" t="str">
        <f t="shared" si="94"/>
        <v/>
      </c>
      <c r="M352" s="19"/>
      <c r="N352" s="22">
        <f t="shared" si="110"/>
        <v>-300</v>
      </c>
      <c r="O352" s="145"/>
    </row>
    <row r="353" spans="1:15" hidden="1">
      <c r="A353" s="7" t="s">
        <v>2525</v>
      </c>
      <c r="B353" s="44">
        <v>46051</v>
      </c>
      <c r="C353" t="s">
        <v>2580</v>
      </c>
      <c r="D353" s="4">
        <v>300</v>
      </c>
      <c r="E353" s="65" t="s">
        <v>2527</v>
      </c>
      <c r="F353" s="131" t="s">
        <v>49</v>
      </c>
      <c r="G353" t="s">
        <v>111</v>
      </c>
      <c r="H353" s="19" t="str">
        <f t="shared" si="90"/>
        <v/>
      </c>
      <c r="I353" s="19" t="str">
        <f t="shared" si="91"/>
        <v/>
      </c>
      <c r="J353" s="19">
        <f t="shared" si="92"/>
        <v>300</v>
      </c>
      <c r="K353" s="19" t="str">
        <f t="shared" si="93"/>
        <v/>
      </c>
      <c r="L353" s="19" t="str">
        <f t="shared" si="94"/>
        <v/>
      </c>
      <c r="M353" s="19"/>
      <c r="N353" s="22">
        <f t="shared" si="110"/>
        <v>300</v>
      </c>
      <c r="O353" s="145"/>
    </row>
    <row r="354" spans="1:15" hidden="1">
      <c r="A354" s="7" t="s">
        <v>2525</v>
      </c>
      <c r="B354" s="44">
        <v>46051</v>
      </c>
      <c r="C354" t="s">
        <v>2632</v>
      </c>
      <c r="D354" s="4">
        <v>200</v>
      </c>
      <c r="E354" s="65" t="s">
        <v>2427</v>
      </c>
      <c r="F354" s="131" t="s">
        <v>49</v>
      </c>
      <c r="G354" t="s">
        <v>345</v>
      </c>
      <c r="H354" s="19">
        <f t="shared" si="90"/>
        <v>-200</v>
      </c>
      <c r="I354" s="19" t="str">
        <f t="shared" si="91"/>
        <v/>
      </c>
      <c r="J354" s="19" t="str">
        <f t="shared" si="92"/>
        <v/>
      </c>
      <c r="K354" s="19" t="str">
        <f t="shared" si="93"/>
        <v/>
      </c>
      <c r="L354" s="19" t="str">
        <f t="shared" si="94"/>
        <v/>
      </c>
      <c r="M354" s="19"/>
      <c r="N354" s="22">
        <f t="shared" ref="N354:N355" si="111">IF(F354="X",IF(E354="U",-D354,D354),"non ancora confermato")</f>
        <v>-200</v>
      </c>
      <c r="O354" s="145"/>
    </row>
    <row r="355" spans="1:15" hidden="1">
      <c r="A355" s="7" t="s">
        <v>2525</v>
      </c>
      <c r="B355" s="44">
        <v>46051</v>
      </c>
      <c r="C355" t="s">
        <v>2632</v>
      </c>
      <c r="D355" s="4">
        <v>200</v>
      </c>
      <c r="E355" s="65" t="s">
        <v>2527</v>
      </c>
      <c r="F355" s="131" t="s">
        <v>49</v>
      </c>
      <c r="G355" t="s">
        <v>2434</v>
      </c>
      <c r="H355" s="19" t="str">
        <f t="shared" si="90"/>
        <v/>
      </c>
      <c r="I355" s="19">
        <f t="shared" si="91"/>
        <v>200</v>
      </c>
      <c r="J355" s="19" t="str">
        <f t="shared" si="92"/>
        <v/>
      </c>
      <c r="K355" s="19" t="str">
        <f t="shared" si="93"/>
        <v/>
      </c>
      <c r="L355" s="19" t="str">
        <f t="shared" si="94"/>
        <v/>
      </c>
      <c r="M355" s="19"/>
      <c r="N355" s="22">
        <f t="shared" si="111"/>
        <v>200</v>
      </c>
      <c r="O355" s="145"/>
    </row>
    <row r="356" spans="1:15" hidden="1">
      <c r="A356" s="7" t="s">
        <v>2525</v>
      </c>
      <c r="B356" s="44">
        <v>46052</v>
      </c>
      <c r="C356" t="s">
        <v>2632</v>
      </c>
      <c r="D356" s="4">
        <v>300</v>
      </c>
      <c r="E356" s="65" t="s">
        <v>2427</v>
      </c>
      <c r="F356" s="131" t="s">
        <v>49</v>
      </c>
      <c r="G356" t="s">
        <v>345</v>
      </c>
      <c r="H356" s="19">
        <f t="shared" si="90"/>
        <v>-300</v>
      </c>
      <c r="I356" s="19" t="str">
        <f t="shared" si="91"/>
        <v/>
      </c>
      <c r="J356" s="19" t="str">
        <f t="shared" si="92"/>
        <v/>
      </c>
      <c r="K356" s="19" t="str">
        <f t="shared" si="93"/>
        <v/>
      </c>
      <c r="L356" s="19" t="str">
        <f t="shared" si="94"/>
        <v/>
      </c>
      <c r="M356" s="19"/>
      <c r="N356" s="22">
        <f t="shared" ref="N356:N357" si="112">IF(F356="X",IF(E356="U",-D356,D356),"non ancora confermato")</f>
        <v>-300</v>
      </c>
      <c r="O356" s="145"/>
    </row>
    <row r="357" spans="1:15" hidden="1">
      <c r="A357" s="7" t="s">
        <v>2525</v>
      </c>
      <c r="B357" s="44">
        <v>46052</v>
      </c>
      <c r="C357" t="s">
        <v>2632</v>
      </c>
      <c r="D357" s="4">
        <v>300</v>
      </c>
      <c r="E357" s="65" t="s">
        <v>2527</v>
      </c>
      <c r="F357" s="131" t="s">
        <v>49</v>
      </c>
      <c r="G357" t="s">
        <v>2434</v>
      </c>
      <c r="H357" s="19" t="str">
        <f t="shared" si="90"/>
        <v/>
      </c>
      <c r="I357" s="19">
        <f t="shared" si="91"/>
        <v>300</v>
      </c>
      <c r="J357" s="19" t="str">
        <f t="shared" si="92"/>
        <v/>
      </c>
      <c r="K357" s="19" t="str">
        <f t="shared" si="93"/>
        <v/>
      </c>
      <c r="L357" s="19" t="str">
        <f t="shared" si="94"/>
        <v/>
      </c>
      <c r="M357" s="19"/>
      <c r="N357" s="22">
        <f t="shared" si="112"/>
        <v>300</v>
      </c>
      <c r="O357" s="145"/>
    </row>
    <row r="358" spans="1:15" hidden="1">
      <c r="A358" s="7" t="s">
        <v>2689</v>
      </c>
      <c r="B358" s="44">
        <v>46052</v>
      </c>
      <c r="C358" t="s">
        <v>2515</v>
      </c>
      <c r="D358" s="4">
        <v>293.89999999999998</v>
      </c>
      <c r="E358" s="65" t="s">
        <v>2427</v>
      </c>
      <c r="F358" s="131" t="s">
        <v>49</v>
      </c>
      <c r="G358" t="s">
        <v>2435</v>
      </c>
      <c r="H358" s="19" t="str">
        <f t="shared" si="90"/>
        <v/>
      </c>
      <c r="I358" s="19" t="str">
        <f t="shared" si="91"/>
        <v/>
      </c>
      <c r="J358" s="19" t="str">
        <f t="shared" si="92"/>
        <v/>
      </c>
      <c r="K358" s="19">
        <f t="shared" si="93"/>
        <v>-293.89999999999998</v>
      </c>
      <c r="L358" s="19" t="str">
        <f t="shared" si="94"/>
        <v/>
      </c>
      <c r="M358" s="19"/>
      <c r="N358" s="22">
        <f t="shared" ref="N358" si="113">IF(F358="X",IF(E358="U",-D358,D358),"non ancora confermato")</f>
        <v>-293.89999999999998</v>
      </c>
      <c r="O358" s="145"/>
    </row>
    <row r="359" spans="1:15" ht="20.100000000000001" hidden="1" customHeight="1">
      <c r="A359" s="7" t="s">
        <v>2678</v>
      </c>
      <c r="B359" s="44" t="s">
        <v>2438</v>
      </c>
      <c r="C359" t="s">
        <v>2270</v>
      </c>
      <c r="D359" s="4">
        <f>(105000-$D$57-$D$144)/6</f>
        <v>13166.666666666666</v>
      </c>
      <c r="E359" s="65" t="s">
        <v>2427</v>
      </c>
      <c r="F359" s="160" t="s">
        <v>2431</v>
      </c>
      <c r="G359" t="s">
        <v>2435</v>
      </c>
      <c r="H359" s="19" t="str">
        <f>IF(AND($F359="X",$G359="BCC"),IF($E359="U",-$D359,$D359),"")</f>
        <v/>
      </c>
      <c r="I359" s="19" t="str">
        <f>IF(AND($F359="X",$G359="INTESA"),IF($E359="U",-$D359,$D359),"")</f>
        <v/>
      </c>
      <c r="J359" s="19" t="str">
        <f>IF(AND($F359="X",$G359="BPM"),IF($E359="U",-$D359,$D359),"")</f>
        <v/>
      </c>
      <c r="K359" s="19" t="str">
        <f>IF(AND($F359="X",$G359="SONDRIO"),IF($E359="U",-$D359,$D359),"")</f>
        <v/>
      </c>
      <c r="L359" s="19" t="str">
        <f>IF(AND($F359="X",$G359="BPER"),IF($E359="U",-$D359,$D359),"")</f>
        <v/>
      </c>
      <c r="M359" s="19"/>
      <c r="N359" s="22" t="str">
        <f>IF(F359="X",IF(E359="U",-D359,D359),"non ancora confermato")</f>
        <v>non ancora confermato</v>
      </c>
      <c r="O359" s="31"/>
    </row>
    <row r="360" spans="1:15" ht="20.100000000000001" hidden="1" customHeight="1">
      <c r="A360" s="7" t="s">
        <v>2678</v>
      </c>
      <c r="B360" s="44">
        <v>45688</v>
      </c>
      <c r="C360" t="s">
        <v>2124</v>
      </c>
      <c r="D360" s="4">
        <f>6969.12/3</f>
        <v>2323.04</v>
      </c>
      <c r="E360" s="65" t="s">
        <v>2427</v>
      </c>
      <c r="G360" t="s">
        <v>2435</v>
      </c>
      <c r="H360" s="19" t="str">
        <f t="shared" si="70"/>
        <v/>
      </c>
      <c r="I360" s="19" t="str">
        <f t="shared" si="71"/>
        <v/>
      </c>
      <c r="J360" s="19" t="str">
        <f t="shared" si="72"/>
        <v/>
      </c>
      <c r="K360" s="19" t="str">
        <f t="shared" si="73"/>
        <v/>
      </c>
      <c r="L360" s="19" t="str">
        <f t="shared" si="74"/>
        <v/>
      </c>
      <c r="M360" s="19" t="str">
        <f>IF(AND($F360="X",$G360="CASSA"),IF($E360="U",-$D360,$D360),"")</f>
        <v/>
      </c>
      <c r="N360" s="22" t="str">
        <f t="shared" si="75"/>
        <v>non ancora confermato</v>
      </c>
      <c r="O360" s="31" t="s">
        <v>2563</v>
      </c>
    </row>
    <row r="361" spans="1:15" ht="20.100000000000001" hidden="1" customHeight="1">
      <c r="A361" s="7" t="s">
        <v>2678</v>
      </c>
      <c r="B361" s="44" t="s">
        <v>2438</v>
      </c>
      <c r="C361" t="s">
        <v>2180</v>
      </c>
      <c r="D361" s="4">
        <f>60000/6</f>
        <v>10000</v>
      </c>
      <c r="E361" s="65" t="s">
        <v>2427</v>
      </c>
      <c r="F361" s="48" t="s">
        <v>2431</v>
      </c>
      <c r="G361" t="s">
        <v>345</v>
      </c>
      <c r="H361" s="19" t="str">
        <f t="shared" si="70"/>
        <v/>
      </c>
      <c r="I361" s="19" t="str">
        <f t="shared" si="71"/>
        <v/>
      </c>
      <c r="J361" s="19" t="str">
        <f t="shared" si="72"/>
        <v/>
      </c>
      <c r="K361" s="19" t="str">
        <f t="shared" si="73"/>
        <v/>
      </c>
      <c r="L361" s="19" t="str">
        <f t="shared" si="74"/>
        <v/>
      </c>
      <c r="M361" s="19"/>
      <c r="N361" s="22" t="str">
        <f t="shared" si="75"/>
        <v>non ancora confermato</v>
      </c>
      <c r="O361" s="31"/>
    </row>
    <row r="362" spans="1:15" ht="20.100000000000001" hidden="1" customHeight="1">
      <c r="A362" s="7" t="s">
        <v>2678</v>
      </c>
      <c r="B362" s="44" t="s">
        <v>2438</v>
      </c>
      <c r="C362" t="s">
        <v>2323</v>
      </c>
      <c r="D362" s="4">
        <f>12180/4+45</f>
        <v>3090</v>
      </c>
      <c r="E362" s="65" t="s">
        <v>2427</v>
      </c>
      <c r="G362" t="s">
        <v>2435</v>
      </c>
      <c r="H362" s="19" t="str">
        <f t="shared" si="70"/>
        <v/>
      </c>
      <c r="I362" s="19" t="str">
        <f t="shared" si="71"/>
        <v/>
      </c>
      <c r="J362" s="19" t="str">
        <f t="shared" si="72"/>
        <v/>
      </c>
      <c r="K362" s="19" t="str">
        <f t="shared" si="73"/>
        <v/>
      </c>
      <c r="L362" s="19" t="str">
        <f t="shared" si="74"/>
        <v/>
      </c>
      <c r="M362" s="19"/>
      <c r="N362" s="22" t="str">
        <f t="shared" si="75"/>
        <v>non ancora confermato</v>
      </c>
      <c r="O362" s="31"/>
    </row>
    <row r="363" spans="1:15" ht="20.100000000000001" hidden="1" customHeight="1">
      <c r="A363" s="7" t="s">
        <v>2678</v>
      </c>
      <c r="B363" s="44" t="s">
        <v>2438</v>
      </c>
      <c r="C363" t="s">
        <v>2303</v>
      </c>
      <c r="D363" s="4">
        <f>40000/5</f>
        <v>8000</v>
      </c>
      <c r="E363" s="65" t="s">
        <v>2427</v>
      </c>
      <c r="F363" s="48" t="s">
        <v>2431</v>
      </c>
      <c r="G363" t="s">
        <v>2435</v>
      </c>
      <c r="H363" s="19" t="str">
        <f t="shared" si="70"/>
        <v/>
      </c>
      <c r="I363" s="19" t="str">
        <f t="shared" si="71"/>
        <v/>
      </c>
      <c r="J363" s="19" t="str">
        <f t="shared" si="72"/>
        <v/>
      </c>
      <c r="K363" s="19" t="str">
        <f t="shared" si="73"/>
        <v/>
      </c>
      <c r="L363" s="19" t="str">
        <f t="shared" si="74"/>
        <v/>
      </c>
      <c r="M363" s="19"/>
      <c r="N363" s="22" t="str">
        <f t="shared" si="75"/>
        <v>non ancora confermato</v>
      </c>
      <c r="O363" s="31"/>
    </row>
    <row r="364" spans="1:15" ht="30" hidden="1" customHeight="1">
      <c r="A364" s="7" t="s">
        <v>2678</v>
      </c>
      <c r="B364" s="44">
        <v>46042</v>
      </c>
      <c r="C364" t="s">
        <v>2241</v>
      </c>
      <c r="D364" s="4">
        <v>1163.22</v>
      </c>
      <c r="E364" s="65" t="s">
        <v>2427</v>
      </c>
      <c r="F364" s="48" t="s">
        <v>2431</v>
      </c>
      <c r="G364" t="s">
        <v>296</v>
      </c>
      <c r="H364" s="19" t="str">
        <f t="shared" si="70"/>
        <v/>
      </c>
      <c r="I364" s="19" t="str">
        <f t="shared" si="71"/>
        <v/>
      </c>
      <c r="J364" s="19" t="str">
        <f t="shared" si="72"/>
        <v/>
      </c>
      <c r="K364" s="19" t="str">
        <f t="shared" si="73"/>
        <v/>
      </c>
      <c r="L364" s="19" t="str">
        <f t="shared" si="74"/>
        <v/>
      </c>
      <c r="M364" s="19"/>
      <c r="N364" s="22" t="str">
        <f t="shared" si="75"/>
        <v>non ancora confermato</v>
      </c>
      <c r="O364" s="145" t="s">
        <v>2686</v>
      </c>
    </row>
    <row r="365" spans="1:15" hidden="1">
      <c r="A365" s="7" t="s">
        <v>2678</v>
      </c>
      <c r="B365" s="44">
        <v>46052</v>
      </c>
      <c r="C365" t="s">
        <v>2339</v>
      </c>
      <c r="D365" s="4">
        <v>70000</v>
      </c>
      <c r="E365" s="65" t="s">
        <v>2427</v>
      </c>
      <c r="F365" s="48" t="s">
        <v>2431</v>
      </c>
      <c r="G365" t="s">
        <v>111</v>
      </c>
      <c r="H365" s="19" t="str">
        <f t="shared" si="70"/>
        <v/>
      </c>
      <c r="I365" s="19" t="str">
        <f t="shared" si="71"/>
        <v/>
      </c>
      <c r="J365" s="19" t="str">
        <f t="shared" si="72"/>
        <v/>
      </c>
      <c r="K365" s="19" t="str">
        <f t="shared" si="73"/>
        <v/>
      </c>
      <c r="L365" s="19" t="str">
        <f t="shared" si="74"/>
        <v/>
      </c>
      <c r="M365" s="19"/>
      <c r="N365" s="22" t="str">
        <f t="shared" si="75"/>
        <v>non ancora confermato</v>
      </c>
      <c r="O365" s="31"/>
    </row>
    <row r="366" spans="1:15" ht="20.100000000000001" hidden="1" customHeight="1">
      <c r="A366" s="7" t="s">
        <v>2678</v>
      </c>
      <c r="B366" s="44">
        <v>46052</v>
      </c>
      <c r="C366" t="s">
        <v>2289</v>
      </c>
      <c r="D366" s="4">
        <v>10000</v>
      </c>
      <c r="E366" s="65" t="s">
        <v>2427</v>
      </c>
      <c r="F366" s="48" t="s">
        <v>2431</v>
      </c>
      <c r="G366" t="s">
        <v>2435</v>
      </c>
      <c r="H366" s="19" t="str">
        <f t="shared" si="70"/>
        <v/>
      </c>
      <c r="I366" s="19" t="str">
        <f t="shared" si="71"/>
        <v/>
      </c>
      <c r="J366" s="19" t="str">
        <f t="shared" si="72"/>
        <v/>
      </c>
      <c r="K366" s="19" t="str">
        <f t="shared" si="73"/>
        <v/>
      </c>
      <c r="L366" s="19" t="str">
        <f t="shared" si="74"/>
        <v/>
      </c>
      <c r="M366" s="19" t="str">
        <f>IF(AND($F366="X",$G366="CASSA"),IF($E366="U",-$D366,$D366),"")</f>
        <v/>
      </c>
      <c r="N366" s="22" t="str">
        <f t="shared" si="75"/>
        <v>non ancora confermato</v>
      </c>
      <c r="O366" s="31"/>
    </row>
    <row r="367" spans="1:15" ht="20.100000000000001" hidden="1" customHeight="1">
      <c r="A367" s="7" t="s">
        <v>2678</v>
      </c>
      <c r="B367" s="44" t="s">
        <v>2438</v>
      </c>
      <c r="C367" t="s">
        <v>2436</v>
      </c>
      <c r="D367" s="4">
        <v>5000</v>
      </c>
      <c r="E367" s="65" t="s">
        <v>2427</v>
      </c>
      <c r="F367" s="48" t="s">
        <v>2431</v>
      </c>
      <c r="G367" t="s">
        <v>345</v>
      </c>
      <c r="H367" s="19" t="str">
        <f t="shared" si="70"/>
        <v/>
      </c>
      <c r="I367" s="19" t="str">
        <f t="shared" si="71"/>
        <v/>
      </c>
      <c r="J367" s="19" t="str">
        <f t="shared" si="72"/>
        <v/>
      </c>
      <c r="K367" s="19" t="str">
        <f t="shared" si="73"/>
        <v/>
      </c>
      <c r="L367" s="19" t="str">
        <f t="shared" si="74"/>
        <v/>
      </c>
      <c r="M367" s="19"/>
      <c r="N367" s="22" t="str">
        <f t="shared" si="75"/>
        <v>non ancora confermato</v>
      </c>
      <c r="O367" s="31"/>
    </row>
    <row r="368" spans="1:15" ht="20.100000000000001" hidden="1" customHeight="1">
      <c r="A368" s="7" t="s">
        <v>2678</v>
      </c>
      <c r="B368" s="44" t="s">
        <v>2438</v>
      </c>
      <c r="C368" t="s">
        <v>2246</v>
      </c>
      <c r="D368" s="4">
        <v>448.4</v>
      </c>
      <c r="E368" s="65" t="s">
        <v>2427</v>
      </c>
      <c r="G368" t="s">
        <v>345</v>
      </c>
      <c r="H368" s="19" t="str">
        <f t="shared" si="70"/>
        <v/>
      </c>
      <c r="I368" s="19" t="str">
        <f t="shared" si="71"/>
        <v/>
      </c>
      <c r="J368" s="19" t="str">
        <f t="shared" si="72"/>
        <v/>
      </c>
      <c r="K368" s="19" t="str">
        <f t="shared" si="73"/>
        <v/>
      </c>
      <c r="L368" s="19" t="str">
        <f t="shared" si="74"/>
        <v/>
      </c>
      <c r="M368" s="19"/>
      <c r="N368" s="22" t="str">
        <f t="shared" si="75"/>
        <v>non ancora confermato</v>
      </c>
      <c r="O368" s="31"/>
    </row>
    <row r="369" spans="1:16" ht="30" hidden="1" customHeight="1">
      <c r="A369" s="7" t="s">
        <v>2678</v>
      </c>
      <c r="B369" s="44" t="s">
        <v>2438</v>
      </c>
      <c r="C369" s="159" t="s">
        <v>2300</v>
      </c>
      <c r="D369" s="4">
        <v>1700</v>
      </c>
      <c r="E369" s="65" t="s">
        <v>2427</v>
      </c>
      <c r="F369" s="48" t="s">
        <v>2431</v>
      </c>
      <c r="G369" t="s">
        <v>345</v>
      </c>
      <c r="H369" s="19" t="str">
        <f t="shared" si="70"/>
        <v/>
      </c>
      <c r="I369" s="19" t="str">
        <f t="shared" si="71"/>
        <v/>
      </c>
      <c r="J369" s="19" t="str">
        <f t="shared" si="72"/>
        <v/>
      </c>
      <c r="K369" s="19" t="str">
        <f t="shared" si="73"/>
        <v/>
      </c>
      <c r="L369" s="19" t="str">
        <f t="shared" si="74"/>
        <v/>
      </c>
      <c r="M369" s="19"/>
      <c r="N369" s="22" t="str">
        <f t="shared" si="75"/>
        <v>non ancora confermato</v>
      </c>
      <c r="O369" s="145" t="s">
        <v>2687</v>
      </c>
    </row>
    <row r="370" spans="1:16" ht="30" hidden="1">
      <c r="A370" s="7" t="s">
        <v>2678</v>
      </c>
      <c r="B370" s="44" t="s">
        <v>2438</v>
      </c>
      <c r="C370" t="s">
        <v>2172</v>
      </c>
      <c r="D370" s="4">
        <v>139.08000000000001</v>
      </c>
      <c r="E370" s="65" t="s">
        <v>2427</v>
      </c>
      <c r="F370" s="48" t="s">
        <v>2431</v>
      </c>
      <c r="G370" t="s">
        <v>2435</v>
      </c>
      <c r="H370" s="19" t="str">
        <f>IF(AND($F370="X",$G370="BCC"),IF($E370="U",-$D370,$D370),"")</f>
        <v/>
      </c>
      <c r="I370" s="19" t="str">
        <f>IF(AND($F370="X",$G370="INTESA"),IF($E370="U",-$D370,$D370),"")</f>
        <v/>
      </c>
      <c r="J370" s="19" t="str">
        <f>IF(AND($F370="X",$G370="BPM"),IF($E370="U",-$D370,$D370),"")</f>
        <v/>
      </c>
      <c r="K370" s="19" t="str">
        <f>IF(AND($F370="X",$G370="SONDRIO"),IF($E370="U",-$D370,$D370),"")</f>
        <v/>
      </c>
      <c r="L370" s="19" t="str">
        <f>IF(AND($F370="X",$G370="BPER"),IF($E370="U",-$D370,$D370),"")</f>
        <v/>
      </c>
      <c r="M370" s="19"/>
      <c r="N370" s="22" t="str">
        <f>IF(F370="X",IF(E370="U",-D370,D370),"non ancora confermato")</f>
        <v>non ancora confermato</v>
      </c>
      <c r="O370" s="145" t="s">
        <v>3393</v>
      </c>
    </row>
    <row r="371" spans="1:16" s="42" customFormat="1" hidden="1">
      <c r="A371" s="7" t="s">
        <v>2678</v>
      </c>
      <c r="B371" s="44" t="s">
        <v>2438</v>
      </c>
      <c r="C371" s="42" t="s">
        <v>2269</v>
      </c>
      <c r="D371" s="4">
        <v>57.2</v>
      </c>
      <c r="E371" s="65" t="s">
        <v>2427</v>
      </c>
      <c r="F371" s="48" t="s">
        <v>2431</v>
      </c>
      <c r="G371" t="s">
        <v>345</v>
      </c>
      <c r="H371" s="19" t="str">
        <f>IF(AND($F371="X",$G371="BCC"),IF($E371="U",-$D371,$D371),"")</f>
        <v/>
      </c>
      <c r="I371" s="19" t="str">
        <f>IF(AND($F371="X",$G371="INTESA"),IF($E371="U",-$D371,$D371),"")</f>
        <v/>
      </c>
      <c r="J371" s="19" t="str">
        <f>IF(AND($F371="X",$G371="BPM"),IF($E371="U",-$D371,$D371),"")</f>
        <v/>
      </c>
      <c r="K371" s="19" t="str">
        <f>IF(AND($F371="X",$G371="SONDRIO"),IF($E371="U",-$D371,$D371),"")</f>
        <v/>
      </c>
      <c r="L371" s="19" t="str">
        <f>IF(AND($F371="X",$G371="BPER"),IF($E371="U",-$D371,$D371),"")</f>
        <v/>
      </c>
      <c r="M371" s="19"/>
      <c r="N371" s="22" t="str">
        <f>IF(F371="X",IF(E371="U",-D371,D371),"non ancora confermato")</f>
        <v>non ancora confermato</v>
      </c>
      <c r="O371" s="31"/>
    </row>
    <row r="372" spans="1:16" ht="20.100000000000001" hidden="1" customHeight="1">
      <c r="A372" s="7" t="s">
        <v>2678</v>
      </c>
      <c r="B372" s="44" t="s">
        <v>2438</v>
      </c>
      <c r="C372" t="s">
        <v>2444</v>
      </c>
      <c r="D372" s="4">
        <v>502.6</v>
      </c>
      <c r="E372" s="65" t="s">
        <v>2427</v>
      </c>
      <c r="F372" s="131" t="s">
        <v>49</v>
      </c>
      <c r="G372" t="s">
        <v>2434</v>
      </c>
      <c r="H372" s="19" t="str">
        <f t="shared" si="70"/>
        <v/>
      </c>
      <c r="I372" s="19">
        <f t="shared" si="71"/>
        <v>-502.6</v>
      </c>
      <c r="J372" s="19" t="str">
        <f t="shared" si="72"/>
        <v/>
      </c>
      <c r="K372" s="19" t="str">
        <f t="shared" si="73"/>
        <v/>
      </c>
      <c r="L372" s="19" t="str">
        <f t="shared" si="74"/>
        <v/>
      </c>
      <c r="M372" s="19"/>
      <c r="N372" s="22">
        <f t="shared" si="75"/>
        <v>-502.6</v>
      </c>
      <c r="O372" s="31"/>
    </row>
    <row r="373" spans="1:16" ht="30" hidden="1" customHeight="1">
      <c r="A373" s="13"/>
      <c r="B373" s="53"/>
      <c r="C373" s="9"/>
      <c r="D373" s="10"/>
      <c r="F373" s="45" t="s">
        <v>2516</v>
      </c>
      <c r="G373" s="19">
        <f>SUMIF(E295:E372, "E", D295:D372)</f>
        <v>28156.18</v>
      </c>
      <c r="H373" s="18" t="s">
        <v>2517</v>
      </c>
      <c r="I373" s="12">
        <f>SUMIF(E295:E372, "U", D295:D372)</f>
        <v>231478.49666666667</v>
      </c>
      <c r="J373" s="16" t="s">
        <v>2518</v>
      </c>
      <c r="K373" s="19">
        <f>G373-I373</f>
        <v>-203322.31666666668</v>
      </c>
      <c r="L373" s="18" t="s">
        <v>2519</v>
      </c>
      <c r="M373" s="18"/>
      <c r="N373" s="19">
        <f>N288+D288</f>
        <v>-100014.58666666667</v>
      </c>
      <c r="O373" s="31"/>
    </row>
    <row r="374" spans="1:16" ht="20.100000000000001" hidden="1" customHeight="1">
      <c r="A374" s="23" t="s">
        <v>2688</v>
      </c>
      <c r="B374" s="52"/>
      <c r="C374" s="24"/>
      <c r="D374" s="27">
        <f>SUMPRODUCT((A375:A411="February 2026")*(E375:E411="E")*D375:D411) - SUMPRODUCT((A375:A411="February 2026")*(E375:E411="U")*D375:D411)</f>
        <v>-122491.13166666667</v>
      </c>
      <c r="E374" s="46"/>
      <c r="F374" s="47"/>
      <c r="G374" s="24" t="s">
        <v>2509</v>
      </c>
      <c r="H374" s="26">
        <f t="shared" ref="H374:M374" si="114">SUM(H288:H372)</f>
        <v>2782.5100000000011</v>
      </c>
      <c r="I374" s="26">
        <f t="shared" si="114"/>
        <v>33.349999999999909</v>
      </c>
      <c r="J374" s="26">
        <f t="shared" si="114"/>
        <v>130.39999999999952</v>
      </c>
      <c r="K374" s="26">
        <f t="shared" si="114"/>
        <v>17111.060000000005</v>
      </c>
      <c r="L374" s="26">
        <f t="shared" si="114"/>
        <v>7477.200000000008</v>
      </c>
      <c r="M374" s="26">
        <f t="shared" si="114"/>
        <v>0</v>
      </c>
      <c r="N374" s="26">
        <f>SUM(H374:L374)</f>
        <v>27534.520000000015</v>
      </c>
      <c r="O374" s="35" t="s">
        <v>2522</v>
      </c>
      <c r="P374" s="14">
        <f>P288+K373</f>
        <v>-51998.486666666693</v>
      </c>
    </row>
    <row r="375" spans="1:16" ht="20.100000000000001" hidden="1" customHeight="1">
      <c r="A375" s="7" t="s">
        <v>2689</v>
      </c>
      <c r="B375" s="44" t="s">
        <v>2442</v>
      </c>
      <c r="C375" t="s">
        <v>2441</v>
      </c>
      <c r="D375" s="4">
        <v>8748.8700000000008</v>
      </c>
      <c r="E375" s="65" t="s">
        <v>2427</v>
      </c>
      <c r="F375" s="131" t="s">
        <v>49</v>
      </c>
      <c r="G375" t="s">
        <v>2435</v>
      </c>
      <c r="H375" s="19" t="str">
        <f t="shared" ref="H375:H411" si="115">IF(AND($F375="X",$G375="BCC"),IF($E375="U",-$D375,$D375),"")</f>
        <v/>
      </c>
      <c r="I375" s="19" t="str">
        <f t="shared" ref="I375:I411" si="116">IF(AND($F375="X",$G375="INTESA"),IF($E375="U",-$D375,$D375),"")</f>
        <v/>
      </c>
      <c r="J375" s="19" t="str">
        <f t="shared" ref="J375:J411" si="117">IF(AND($F375="X",$G375="BPM"),IF($E375="U",-$D375,$D375),"")</f>
        <v/>
      </c>
      <c r="K375" s="19">
        <f t="shared" ref="K375:K411" si="118">IF(AND($F375="X",$G375="SONDRIO"),IF($E375="U",-$D375,$D375),"")</f>
        <v>-8748.8700000000008</v>
      </c>
      <c r="L375" s="19" t="str">
        <f t="shared" ref="L375:L411" si="119">IF(AND($F375="X",$G375="BPER"),IF($E375="U",-$D375,$D375),"")</f>
        <v/>
      </c>
      <c r="M375" s="19"/>
      <c r="N375" s="22">
        <f t="shared" ref="N375:N411" si="120">IF(F375="X",IF(E375="U",-D375,D375),"non ancora confermato")</f>
        <v>-8748.8700000000008</v>
      </c>
      <c r="O375" s="31"/>
    </row>
    <row r="376" spans="1:16" s="9" customFormat="1" ht="33" hidden="1" customHeight="1">
      <c r="A376" s="7" t="s">
        <v>2689</v>
      </c>
      <c r="B376" s="44" t="s">
        <v>2437</v>
      </c>
      <c r="C376" t="s">
        <v>2656</v>
      </c>
      <c r="D376" s="4">
        <v>7528.19</v>
      </c>
      <c r="E376" s="65" t="s">
        <v>2427</v>
      </c>
      <c r="F376" s="131" t="s">
        <v>49</v>
      </c>
      <c r="G376" t="s">
        <v>2435</v>
      </c>
      <c r="H376" s="19" t="str">
        <f>IF(AND($F376="X",$G376="BCC"),IF($E376="U",-$D376,$D376),"")</f>
        <v/>
      </c>
      <c r="I376" s="19" t="str">
        <f>IF(AND($F376="X",$G376="INTESA"),IF($E376="U",-$D376,$D376),"")</f>
        <v/>
      </c>
      <c r="J376" s="19" t="str">
        <f>IF(AND($F376="X",$G376="BPM"),IF($E376="U",-$D376,$D376),"")</f>
        <v/>
      </c>
      <c r="K376" s="19">
        <f>IF(AND($F376="X",$G376="SONDRIO"),IF($E376="U",-$D376,$D376),"")</f>
        <v>-7528.19</v>
      </c>
      <c r="L376" s="19" t="str">
        <f>IF(AND($F376="X",$G376="BPER"),IF($E376="U",-$D376,$D376),"")</f>
        <v/>
      </c>
      <c r="M376" s="19"/>
      <c r="N376" s="22">
        <f>IF(F376="X",IF(E376="U",-D376,D376),"non ancora confermato")</f>
        <v>-7528.19</v>
      </c>
      <c r="O376" s="31"/>
    </row>
    <row r="377" spans="1:16" ht="20.100000000000001" hidden="1" customHeight="1">
      <c r="A377" s="7" t="s">
        <v>2689</v>
      </c>
      <c r="B377" s="44">
        <v>46055</v>
      </c>
      <c r="C377" t="s">
        <v>2103</v>
      </c>
      <c r="D377" s="4">
        <v>104.16</v>
      </c>
      <c r="E377" s="65" t="s">
        <v>2427</v>
      </c>
      <c r="F377" s="131" t="s">
        <v>49</v>
      </c>
      <c r="G377" t="s">
        <v>345</v>
      </c>
      <c r="H377" s="19">
        <f t="shared" si="115"/>
        <v>-104.16</v>
      </c>
      <c r="I377" s="19" t="str">
        <f t="shared" si="116"/>
        <v/>
      </c>
      <c r="J377" s="19" t="str">
        <f t="shared" si="117"/>
        <v/>
      </c>
      <c r="K377" s="19" t="str">
        <f t="shared" si="118"/>
        <v/>
      </c>
      <c r="L377" s="19" t="str">
        <f t="shared" si="119"/>
        <v/>
      </c>
      <c r="M377" s="19"/>
      <c r="N377" s="22">
        <f t="shared" ref="N377:N379" si="121">IF(F377="X",IF(E377="U",-D377,D377),"non ancora confermato")</f>
        <v>-104.16</v>
      </c>
      <c r="O377" s="31"/>
    </row>
    <row r="378" spans="1:16" ht="20.100000000000001" hidden="1" customHeight="1">
      <c r="A378" s="7" t="s">
        <v>2689</v>
      </c>
      <c r="B378" s="44">
        <v>46057</v>
      </c>
      <c r="C378" t="s">
        <v>2533</v>
      </c>
      <c r="D378" s="4">
        <f>58.8+51.4+57.78</f>
        <v>167.98</v>
      </c>
      <c r="E378" s="65" t="s">
        <v>2427</v>
      </c>
      <c r="F378" s="131" t="s">
        <v>49</v>
      </c>
      <c r="G378" t="s">
        <v>345</v>
      </c>
      <c r="H378" s="19">
        <f t="shared" si="115"/>
        <v>-167.98</v>
      </c>
      <c r="I378" s="19" t="str">
        <f t="shared" si="116"/>
        <v/>
      </c>
      <c r="J378" s="19" t="str">
        <f t="shared" si="117"/>
        <v/>
      </c>
      <c r="K378" s="19" t="str">
        <f t="shared" si="118"/>
        <v/>
      </c>
      <c r="L378" s="19" t="str">
        <f t="shared" si="119"/>
        <v/>
      </c>
      <c r="M378" s="19"/>
      <c r="N378" s="22">
        <f t="shared" si="121"/>
        <v>-167.98</v>
      </c>
      <c r="O378" s="31"/>
    </row>
    <row r="379" spans="1:16" ht="20.100000000000001" hidden="1" customHeight="1">
      <c r="A379" s="7" t="s">
        <v>2689</v>
      </c>
      <c r="B379" s="44">
        <v>46058</v>
      </c>
      <c r="C379" t="s">
        <v>2210</v>
      </c>
      <c r="D379" s="4">
        <v>672</v>
      </c>
      <c r="E379" s="65" t="s">
        <v>2427</v>
      </c>
      <c r="F379" s="131" t="s">
        <v>49</v>
      </c>
      <c r="G379" t="s">
        <v>345</v>
      </c>
      <c r="H379" s="19">
        <f t="shared" si="115"/>
        <v>-672</v>
      </c>
      <c r="I379" s="19" t="str">
        <f t="shared" si="116"/>
        <v/>
      </c>
      <c r="J379" s="19" t="str">
        <f t="shared" si="117"/>
        <v/>
      </c>
      <c r="K379" s="19" t="str">
        <f t="shared" si="118"/>
        <v/>
      </c>
      <c r="L379" s="19" t="str">
        <f t="shared" si="119"/>
        <v/>
      </c>
      <c r="M379" s="19"/>
      <c r="N379" s="22">
        <f t="shared" si="121"/>
        <v>-672</v>
      </c>
      <c r="O379" s="31"/>
    </row>
    <row r="380" spans="1:16" ht="20.100000000000001" hidden="1" customHeight="1">
      <c r="A380" s="7" t="s">
        <v>2689</v>
      </c>
      <c r="B380" s="44">
        <v>46055</v>
      </c>
      <c r="C380" t="s">
        <v>2259</v>
      </c>
      <c r="D380" s="4">
        <v>954.87</v>
      </c>
      <c r="E380" s="65" t="s">
        <v>2427</v>
      </c>
      <c r="F380" s="131" t="s">
        <v>49</v>
      </c>
      <c r="G380" t="s">
        <v>345</v>
      </c>
      <c r="H380" s="19">
        <f t="shared" si="115"/>
        <v>-954.87</v>
      </c>
      <c r="I380" s="19" t="str">
        <f t="shared" si="116"/>
        <v/>
      </c>
      <c r="J380" s="19" t="str">
        <f t="shared" si="117"/>
        <v/>
      </c>
      <c r="K380" s="19" t="str">
        <f t="shared" si="118"/>
        <v/>
      </c>
      <c r="L380" s="19" t="str">
        <f t="shared" si="119"/>
        <v/>
      </c>
      <c r="M380" s="19"/>
      <c r="N380" s="22">
        <f t="shared" ref="N380" si="122">IF(F380="X",IF(E380="U",-D380,D380),"non ancora confermato")</f>
        <v>-954.87</v>
      </c>
      <c r="O380" s="31"/>
    </row>
    <row r="381" spans="1:16" ht="20.100000000000001" hidden="1" customHeight="1">
      <c r="A381" s="7" t="s">
        <v>2525</v>
      </c>
      <c r="B381" s="44">
        <v>46058</v>
      </c>
      <c r="C381" t="s">
        <v>2580</v>
      </c>
      <c r="D381" s="4">
        <v>250</v>
      </c>
      <c r="E381" s="65" t="s">
        <v>2427</v>
      </c>
      <c r="F381" s="131" t="s">
        <v>49</v>
      </c>
      <c r="G381" t="s">
        <v>345</v>
      </c>
      <c r="H381" s="19">
        <f t="shared" si="115"/>
        <v>-250</v>
      </c>
      <c r="I381" s="19" t="str">
        <f t="shared" si="116"/>
        <v/>
      </c>
      <c r="J381" s="19" t="str">
        <f t="shared" si="117"/>
        <v/>
      </c>
      <c r="K381" s="19" t="str">
        <f t="shared" si="118"/>
        <v/>
      </c>
      <c r="L381" s="19" t="str">
        <f t="shared" si="119"/>
        <v/>
      </c>
      <c r="M381" s="19"/>
      <c r="N381" s="22">
        <f t="shared" ref="N381:N382" si="123">IF(F381="X",IF(E381="U",-D381,D381),"non ancora confermato")</f>
        <v>-250</v>
      </c>
      <c r="O381" s="31"/>
    </row>
    <row r="382" spans="1:16" ht="20.100000000000001" hidden="1" customHeight="1">
      <c r="A382" s="7" t="s">
        <v>2525</v>
      </c>
      <c r="B382" s="44">
        <v>46058</v>
      </c>
      <c r="C382" t="s">
        <v>2580</v>
      </c>
      <c r="D382" s="4">
        <v>250</v>
      </c>
      <c r="E382" s="65" t="s">
        <v>2527</v>
      </c>
      <c r="F382" s="131" t="s">
        <v>49</v>
      </c>
      <c r="G382" t="s">
        <v>111</v>
      </c>
      <c r="H382" s="19" t="str">
        <f t="shared" si="115"/>
        <v/>
      </c>
      <c r="I382" s="19" t="str">
        <f t="shared" si="116"/>
        <v/>
      </c>
      <c r="J382" s="19">
        <f t="shared" si="117"/>
        <v>250</v>
      </c>
      <c r="K382" s="19" t="str">
        <f t="shared" si="118"/>
        <v/>
      </c>
      <c r="L382" s="19" t="str">
        <f t="shared" si="119"/>
        <v/>
      </c>
      <c r="M382" s="19"/>
      <c r="N382" s="22">
        <f t="shared" si="123"/>
        <v>250</v>
      </c>
      <c r="O382" s="31"/>
    </row>
    <row r="383" spans="1:16" ht="20.100000000000001" hidden="1" customHeight="1">
      <c r="A383" s="7" t="s">
        <v>2689</v>
      </c>
      <c r="B383" s="44">
        <v>46058</v>
      </c>
      <c r="C383" t="s">
        <v>2543</v>
      </c>
      <c r="D383" s="4">
        <v>250</v>
      </c>
      <c r="E383" s="65" t="s">
        <v>2427</v>
      </c>
      <c r="F383" s="131" t="s">
        <v>49</v>
      </c>
      <c r="G383" t="s">
        <v>111</v>
      </c>
      <c r="H383" s="19" t="str">
        <f t="shared" si="115"/>
        <v/>
      </c>
      <c r="I383" s="19" t="str">
        <f t="shared" si="116"/>
        <v/>
      </c>
      <c r="J383" s="19">
        <f t="shared" si="117"/>
        <v>-250</v>
      </c>
      <c r="K383" s="19" t="str">
        <f t="shared" si="118"/>
        <v/>
      </c>
      <c r="L383" s="19" t="str">
        <f t="shared" si="119"/>
        <v/>
      </c>
      <c r="M383" s="19"/>
      <c r="N383" s="22">
        <f t="shared" ref="N383" si="124">IF(F383="X",IF(E383="U",-D383,D383),"non ancora confermato")</f>
        <v>-250</v>
      </c>
      <c r="O383" s="31"/>
    </row>
    <row r="384" spans="1:16" ht="20.100000000000001" hidden="1" customHeight="1">
      <c r="A384" s="7" t="s">
        <v>2689</v>
      </c>
      <c r="B384" s="44">
        <v>46060</v>
      </c>
      <c r="C384" t="s">
        <v>2440</v>
      </c>
      <c r="D384" s="4">
        <v>6540.63</v>
      </c>
      <c r="E384" s="65" t="s">
        <v>2427</v>
      </c>
      <c r="F384" s="131" t="s">
        <v>49</v>
      </c>
      <c r="G384" t="s">
        <v>296</v>
      </c>
      <c r="H384" s="19" t="str">
        <f>IF(AND($F384="X",$G384="BCC"),IF($E384="U",-$D384,$D384),"")</f>
        <v/>
      </c>
      <c r="I384" s="19" t="str">
        <f>IF(AND($F384="X",$G384="INTESA"),IF($E384="U",-$D384,$D384),"")</f>
        <v/>
      </c>
      <c r="J384" s="19" t="str">
        <f>IF(AND($F384="X",$G384="BPM"),IF($E384="U",-$D384,$D384),"")</f>
        <v/>
      </c>
      <c r="K384" s="19" t="str">
        <f>IF(AND($F384="X",$G384="SONDRIO"),IF($E384="U",-$D384,$D384),"")</f>
        <v/>
      </c>
      <c r="L384" s="19">
        <f>IF(AND($F384="X",$G384="BPER"),IF($E384="U",-$D384,$D384),"")</f>
        <v>-6540.63</v>
      </c>
      <c r="M384" s="19"/>
      <c r="N384" s="22">
        <f>IF(F384="X",IF(E384="U",-D384,D384),"non ancora confermato")</f>
        <v>-6540.63</v>
      </c>
      <c r="O384" s="31"/>
    </row>
    <row r="385" spans="1:18" ht="20.100000000000001" hidden="1" customHeight="1">
      <c r="A385" s="7" t="s">
        <v>2689</v>
      </c>
      <c r="B385" s="44">
        <v>46066</v>
      </c>
      <c r="C385" t="s">
        <v>2335</v>
      </c>
      <c r="D385" s="4">
        <v>27.94</v>
      </c>
      <c r="E385" s="65" t="s">
        <v>2427</v>
      </c>
      <c r="F385" s="131" t="s">
        <v>49</v>
      </c>
      <c r="G385" t="s">
        <v>345</v>
      </c>
      <c r="H385" s="19">
        <f t="shared" si="115"/>
        <v>-27.94</v>
      </c>
      <c r="I385" s="19" t="str">
        <f t="shared" si="116"/>
        <v/>
      </c>
      <c r="J385" s="19" t="str">
        <f t="shared" si="117"/>
        <v/>
      </c>
      <c r="K385" s="19" t="str">
        <f t="shared" si="118"/>
        <v/>
      </c>
      <c r="L385" s="19" t="str">
        <f t="shared" si="119"/>
        <v/>
      </c>
      <c r="M385" s="19"/>
      <c r="N385" s="22">
        <f t="shared" ref="N385" si="125">IF(F385="X",IF(E385="U",-D385,D385),"non ancora confermato")</f>
        <v>-27.94</v>
      </c>
      <c r="O385" s="31"/>
    </row>
    <row r="386" spans="1:18" ht="20.100000000000001" hidden="1" customHeight="1">
      <c r="A386" s="7" t="s">
        <v>2689</v>
      </c>
      <c r="B386" s="44">
        <v>46066</v>
      </c>
      <c r="C386" t="s">
        <v>2335</v>
      </c>
      <c r="D386" s="4">
        <v>29.39</v>
      </c>
      <c r="E386" s="65" t="s">
        <v>2427</v>
      </c>
      <c r="F386" s="131" t="s">
        <v>49</v>
      </c>
      <c r="G386" t="s">
        <v>345</v>
      </c>
      <c r="H386" s="19">
        <f t="shared" si="115"/>
        <v>-29.39</v>
      </c>
      <c r="I386" s="19" t="str">
        <f t="shared" si="116"/>
        <v/>
      </c>
      <c r="J386" s="19" t="str">
        <f t="shared" si="117"/>
        <v/>
      </c>
      <c r="K386" s="19" t="str">
        <f t="shared" si="118"/>
        <v/>
      </c>
      <c r="L386" s="19" t="str">
        <f t="shared" si="119"/>
        <v/>
      </c>
      <c r="M386" s="19"/>
      <c r="N386" s="22">
        <f t="shared" ref="N386" si="126">IF(F386="X",IF(E386="U",-D386,D386),"non ancora confermato")</f>
        <v>-29.39</v>
      </c>
      <c r="O386" s="31"/>
    </row>
    <row r="387" spans="1:18" ht="20.100000000000001" hidden="1" customHeight="1">
      <c r="A387" s="7" t="s">
        <v>2689</v>
      </c>
      <c r="B387" s="44">
        <v>46066</v>
      </c>
      <c r="C387" t="s">
        <v>2650</v>
      </c>
      <c r="D387" s="4">
        <v>523.5</v>
      </c>
      <c r="E387" s="65" t="s">
        <v>2427</v>
      </c>
      <c r="F387" s="131" t="s">
        <v>49</v>
      </c>
      <c r="G387" t="s">
        <v>345</v>
      </c>
      <c r="H387" s="19">
        <f t="shared" si="115"/>
        <v>-523.5</v>
      </c>
      <c r="I387" s="19" t="str">
        <f t="shared" si="116"/>
        <v/>
      </c>
      <c r="J387" s="19" t="str">
        <f t="shared" si="117"/>
        <v/>
      </c>
      <c r="K387" s="19" t="str">
        <f t="shared" si="118"/>
        <v/>
      </c>
      <c r="L387" s="19" t="str">
        <f t="shared" si="119"/>
        <v/>
      </c>
      <c r="M387" s="19"/>
      <c r="N387" s="22">
        <f t="shared" ref="N387" si="127">IF(F387="X",IF(E387="U",-D387,D387),"non ancora confermato")</f>
        <v>-523.5</v>
      </c>
      <c r="O387" s="31"/>
    </row>
    <row r="388" spans="1:18" ht="30" hidden="1">
      <c r="A388" s="7" t="s">
        <v>2689</v>
      </c>
      <c r="B388" s="44">
        <v>46066</v>
      </c>
      <c r="C388" t="s">
        <v>2576</v>
      </c>
      <c r="D388" s="4">
        <f>SUM(H374:H387)+2.89</f>
        <v>55.56000000000121</v>
      </c>
      <c r="E388" s="65" t="s">
        <v>2427</v>
      </c>
      <c r="F388" s="131" t="s">
        <v>49</v>
      </c>
      <c r="G388" t="s">
        <v>345</v>
      </c>
      <c r="H388" s="19">
        <f t="shared" si="115"/>
        <v>-55.56000000000121</v>
      </c>
      <c r="I388" s="19" t="str">
        <f t="shared" si="116"/>
        <v/>
      </c>
      <c r="J388" s="19" t="str">
        <f t="shared" si="117"/>
        <v/>
      </c>
      <c r="K388" s="19" t="str">
        <f t="shared" si="118"/>
        <v/>
      </c>
      <c r="L388" s="19" t="str">
        <f t="shared" si="119"/>
        <v/>
      </c>
      <c r="M388" s="19"/>
      <c r="N388" s="22">
        <f t="shared" ref="N388" si="128">IF(F388="X",IF(E388="U",-D388,D388),"non ancora confermato")</f>
        <v>-55.56000000000121</v>
      </c>
      <c r="O388" s="145" t="s">
        <v>4245</v>
      </c>
    </row>
    <row r="389" spans="1:18" ht="30" hidden="1">
      <c r="A389" s="7" t="s">
        <v>2689</v>
      </c>
      <c r="B389" s="44">
        <v>46066</v>
      </c>
      <c r="C389" t="s">
        <v>2576</v>
      </c>
      <c r="D389" s="4">
        <f>SUM(I374:I387)-24.53</f>
        <v>8.8199999999999079</v>
      </c>
      <c r="E389" s="65" t="s">
        <v>2427</v>
      </c>
      <c r="F389" s="131" t="s">
        <v>49</v>
      </c>
      <c r="G389" t="s">
        <v>2434</v>
      </c>
      <c r="H389" s="19" t="str">
        <f t="shared" si="115"/>
        <v/>
      </c>
      <c r="I389" s="19">
        <f t="shared" si="116"/>
        <v>-8.8199999999999079</v>
      </c>
      <c r="J389" s="19" t="str">
        <f t="shared" si="117"/>
        <v/>
      </c>
      <c r="K389" s="19" t="str">
        <f t="shared" si="118"/>
        <v/>
      </c>
      <c r="L389" s="19" t="str">
        <f t="shared" si="119"/>
        <v/>
      </c>
      <c r="M389" s="19"/>
      <c r="N389" s="22">
        <f t="shared" ref="N389" si="129">IF(F389="X",IF(E389="U",-D389,D389),"non ancora confermato")</f>
        <v>-8.8199999999999079</v>
      </c>
      <c r="O389" s="145" t="s">
        <v>4246</v>
      </c>
    </row>
    <row r="390" spans="1:18" ht="30" hidden="1">
      <c r="A390" s="7" t="s">
        <v>2689</v>
      </c>
      <c r="B390" s="44">
        <v>46066</v>
      </c>
      <c r="C390" t="s">
        <v>2576</v>
      </c>
      <c r="D390" s="4">
        <f>SUM(J374:J387)-34.39</f>
        <v>96.009999999999522</v>
      </c>
      <c r="E390" s="65" t="s">
        <v>2427</v>
      </c>
      <c r="F390" s="131" t="s">
        <v>49</v>
      </c>
      <c r="G390" t="s">
        <v>111</v>
      </c>
      <c r="H390" s="19" t="str">
        <f t="shared" si="115"/>
        <v/>
      </c>
      <c r="I390" s="19" t="str">
        <f t="shared" si="116"/>
        <v/>
      </c>
      <c r="J390" s="19">
        <f t="shared" si="117"/>
        <v>-96.009999999999522</v>
      </c>
      <c r="K390" s="19" t="str">
        <f t="shared" si="118"/>
        <v/>
      </c>
      <c r="L390" s="19" t="str">
        <f t="shared" si="119"/>
        <v/>
      </c>
      <c r="M390" s="19"/>
      <c r="N390" s="22">
        <f t="shared" ref="N390" si="130">IF(F390="X",IF(E390="U",-D390,D390),"non ancora confermato")</f>
        <v>-96.009999999999522</v>
      </c>
      <c r="O390" s="145" t="s">
        <v>4247</v>
      </c>
      <c r="R390" s="328"/>
    </row>
    <row r="391" spans="1:18" ht="30" hidden="1">
      <c r="A391" s="7" t="s">
        <v>2689</v>
      </c>
      <c r="B391" s="44">
        <v>46066</v>
      </c>
      <c r="C391" t="s">
        <v>2576</v>
      </c>
      <c r="D391" s="4">
        <f>SUM(L374:L387)-923.23</f>
        <v>13.340000000007876</v>
      </c>
      <c r="E391" s="65" t="s">
        <v>2427</v>
      </c>
      <c r="F391" s="131" t="s">
        <v>49</v>
      </c>
      <c r="G391" t="s">
        <v>296</v>
      </c>
      <c r="H391" s="19" t="str">
        <f t="shared" si="115"/>
        <v/>
      </c>
      <c r="I391" s="19" t="str">
        <f t="shared" si="116"/>
        <v/>
      </c>
      <c r="J391" s="19" t="str">
        <f t="shared" si="117"/>
        <v/>
      </c>
      <c r="K391" s="19" t="str">
        <f t="shared" si="118"/>
        <v/>
      </c>
      <c r="L391" s="19">
        <f t="shared" si="119"/>
        <v>-13.340000000007876</v>
      </c>
      <c r="M391" s="19"/>
      <c r="N391" s="22">
        <f t="shared" ref="N391" si="131">IF(F391="X",IF(E391="U",-D391,D391),"non ancora confermato")</f>
        <v>-13.340000000007876</v>
      </c>
      <c r="O391" s="145" t="s">
        <v>4248</v>
      </c>
    </row>
    <row r="392" spans="1:18" ht="30" hidden="1">
      <c r="A392" s="7" t="s">
        <v>2689</v>
      </c>
      <c r="B392" s="44">
        <v>46066</v>
      </c>
      <c r="C392" t="s">
        <v>2576</v>
      </c>
      <c r="D392" s="4">
        <f>10.31</f>
        <v>10.31</v>
      </c>
      <c r="E392" s="65" t="s">
        <v>2427</v>
      </c>
      <c r="F392" s="131" t="s">
        <v>49</v>
      </c>
      <c r="G392" t="s">
        <v>2435</v>
      </c>
      <c r="H392" s="19" t="str">
        <f t="shared" si="115"/>
        <v/>
      </c>
      <c r="I392" s="19" t="str">
        <f t="shared" si="116"/>
        <v/>
      </c>
      <c r="J392" s="19" t="str">
        <f t="shared" si="117"/>
        <v/>
      </c>
      <c r="K392" s="19">
        <f t="shared" si="118"/>
        <v>-10.31</v>
      </c>
      <c r="L392" s="19" t="str">
        <f t="shared" si="119"/>
        <v/>
      </c>
      <c r="M392" s="19"/>
      <c r="N392" s="22">
        <f t="shared" ref="N392" si="132">IF(F392="X",IF(E392="U",-D392,D392),"non ancora confermato")</f>
        <v>-10.31</v>
      </c>
      <c r="O392" s="145" t="s">
        <v>4251</v>
      </c>
    </row>
    <row r="393" spans="1:18" ht="20.100000000000001" hidden="1" customHeight="1">
      <c r="A393" s="7" t="s">
        <v>2689</v>
      </c>
      <c r="B393" s="44">
        <v>46081</v>
      </c>
      <c r="C393" s="42" t="s">
        <v>2231</v>
      </c>
      <c r="D393" s="4">
        <v>2500</v>
      </c>
      <c r="E393" s="65" t="s">
        <v>2427</v>
      </c>
      <c r="F393" s="160" t="s">
        <v>2431</v>
      </c>
      <c r="G393" t="s">
        <v>2435</v>
      </c>
      <c r="H393" s="19" t="str">
        <f t="shared" si="115"/>
        <v/>
      </c>
      <c r="I393" s="19" t="str">
        <f t="shared" si="116"/>
        <v/>
      </c>
      <c r="J393" s="19" t="str">
        <f t="shared" si="117"/>
        <v/>
      </c>
      <c r="K393" s="19" t="str">
        <f t="shared" si="118"/>
        <v/>
      </c>
      <c r="L393" s="19" t="str">
        <f t="shared" si="119"/>
        <v/>
      </c>
      <c r="M393" s="19"/>
      <c r="N393" s="22" t="str">
        <f t="shared" ref="N393" si="133">IF(F393="X",IF(E393="U",-D393,D393),"non ancora confermato")</f>
        <v>non ancora confermato</v>
      </c>
      <c r="O393" s="31"/>
    </row>
    <row r="394" spans="1:18" ht="20.100000000000001" hidden="1" customHeight="1">
      <c r="A394" s="7" t="s">
        <v>2689</v>
      </c>
      <c r="B394" s="44" t="s">
        <v>2447</v>
      </c>
      <c r="C394" t="s">
        <v>2446</v>
      </c>
      <c r="D394" s="4">
        <v>10000</v>
      </c>
      <c r="E394" s="65" t="s">
        <v>2427</v>
      </c>
      <c r="F394" s="160" t="s">
        <v>2431</v>
      </c>
      <c r="G394" t="s">
        <v>2435</v>
      </c>
      <c r="H394" s="19" t="str">
        <f t="shared" si="115"/>
        <v/>
      </c>
      <c r="I394" s="19" t="str">
        <f t="shared" si="116"/>
        <v/>
      </c>
      <c r="J394" s="19" t="str">
        <f t="shared" si="117"/>
        <v/>
      </c>
      <c r="K394" s="19" t="str">
        <f t="shared" si="118"/>
        <v/>
      </c>
      <c r="L394" s="19" t="str">
        <f t="shared" si="119"/>
        <v/>
      </c>
      <c r="M394" s="19"/>
      <c r="N394" s="22" t="str">
        <f t="shared" si="120"/>
        <v>non ancora confermato</v>
      </c>
      <c r="O394" s="31"/>
    </row>
    <row r="395" spans="1:18" ht="20.100000000000001" hidden="1" customHeight="1">
      <c r="A395" s="7" t="s">
        <v>2689</v>
      </c>
      <c r="B395" s="44">
        <v>46063</v>
      </c>
      <c r="C395" t="s">
        <v>2164</v>
      </c>
      <c r="D395" s="4">
        <v>3852.15</v>
      </c>
      <c r="E395" s="65" t="s">
        <v>2427</v>
      </c>
      <c r="G395" t="s">
        <v>345</v>
      </c>
      <c r="H395" s="19" t="str">
        <f t="shared" si="115"/>
        <v/>
      </c>
      <c r="I395" s="19" t="str">
        <f t="shared" si="116"/>
        <v/>
      </c>
      <c r="J395" s="19" t="str">
        <f t="shared" si="117"/>
        <v/>
      </c>
      <c r="K395" s="19" t="str">
        <f t="shared" si="118"/>
        <v/>
      </c>
      <c r="L395" s="19" t="str">
        <f t="shared" si="119"/>
        <v/>
      </c>
      <c r="M395" s="19"/>
      <c r="N395" s="22" t="str">
        <f t="shared" si="120"/>
        <v>non ancora confermato</v>
      </c>
      <c r="O395" s="31" t="s">
        <v>2690</v>
      </c>
    </row>
    <row r="396" spans="1:18" ht="20.100000000000001" hidden="1" customHeight="1">
      <c r="A396" s="7" t="s">
        <v>2689</v>
      </c>
      <c r="B396" s="44" t="s">
        <v>2437</v>
      </c>
      <c r="C396" t="s">
        <v>2444</v>
      </c>
      <c r="D396" s="4">
        <v>502.6</v>
      </c>
      <c r="E396" s="65" t="s">
        <v>2427</v>
      </c>
      <c r="F396" s="160" t="s">
        <v>2431</v>
      </c>
      <c r="G396" t="s">
        <v>2434</v>
      </c>
      <c r="H396" s="19" t="str">
        <f t="shared" si="115"/>
        <v/>
      </c>
      <c r="I396" s="19" t="str">
        <f t="shared" si="116"/>
        <v/>
      </c>
      <c r="J396" s="19" t="str">
        <f t="shared" si="117"/>
        <v/>
      </c>
      <c r="K396" s="19" t="str">
        <f t="shared" si="118"/>
        <v/>
      </c>
      <c r="L396" s="19" t="str">
        <f t="shared" si="119"/>
        <v/>
      </c>
      <c r="M396" s="19"/>
      <c r="N396" s="22" t="str">
        <f t="shared" si="120"/>
        <v>non ancora confermato</v>
      </c>
      <c r="O396" s="31"/>
    </row>
    <row r="397" spans="1:18" ht="20.100000000000001" hidden="1" customHeight="1">
      <c r="A397" s="7" t="s">
        <v>2689</v>
      </c>
      <c r="B397" s="44" t="s">
        <v>2437</v>
      </c>
      <c r="C397" t="s">
        <v>2270</v>
      </c>
      <c r="D397" s="4">
        <f>(105000-$D$57-$D$144)/6</f>
        <v>13166.666666666666</v>
      </c>
      <c r="E397" s="65" t="s">
        <v>2427</v>
      </c>
      <c r="F397" s="48" t="s">
        <v>2431</v>
      </c>
      <c r="G397" t="s">
        <v>2435</v>
      </c>
      <c r="H397" s="19" t="str">
        <f t="shared" si="115"/>
        <v/>
      </c>
      <c r="I397" s="19" t="str">
        <f t="shared" si="116"/>
        <v/>
      </c>
      <c r="J397" s="19" t="str">
        <f t="shared" si="117"/>
        <v/>
      </c>
      <c r="K397" s="19" t="str">
        <f t="shared" si="118"/>
        <v/>
      </c>
      <c r="L397" s="19" t="str">
        <f t="shared" si="119"/>
        <v/>
      </c>
      <c r="M397" s="19"/>
      <c r="N397" s="22" t="str">
        <f t="shared" si="120"/>
        <v>non ancora confermato</v>
      </c>
      <c r="O397" s="31"/>
    </row>
    <row r="398" spans="1:18" ht="20.100000000000001" hidden="1" customHeight="1">
      <c r="A398" s="7" t="s">
        <v>2689</v>
      </c>
      <c r="B398" s="44" t="s">
        <v>2437</v>
      </c>
      <c r="C398" t="s">
        <v>2289</v>
      </c>
      <c r="D398" s="4">
        <v>10003.11</v>
      </c>
      <c r="E398" s="65" t="s">
        <v>2427</v>
      </c>
      <c r="F398" s="48" t="s">
        <v>2431</v>
      </c>
      <c r="G398" t="s">
        <v>2435</v>
      </c>
      <c r="H398" s="19" t="str">
        <f t="shared" si="115"/>
        <v/>
      </c>
      <c r="I398" s="19" t="str">
        <f t="shared" si="116"/>
        <v/>
      </c>
      <c r="J398" s="19" t="str">
        <f t="shared" si="117"/>
        <v/>
      </c>
      <c r="K398" s="19" t="str">
        <f t="shared" si="118"/>
        <v/>
      </c>
      <c r="L398" s="19" t="str">
        <f t="shared" si="119"/>
        <v/>
      </c>
      <c r="M398" s="19"/>
      <c r="N398" s="22" t="str">
        <f t="shared" si="120"/>
        <v>non ancora confermato</v>
      </c>
      <c r="O398" s="31"/>
    </row>
    <row r="399" spans="1:18" ht="20.100000000000001" hidden="1" customHeight="1">
      <c r="A399" s="7" t="s">
        <v>2689</v>
      </c>
      <c r="B399" s="44">
        <v>46081</v>
      </c>
      <c r="C399" t="s">
        <v>2213</v>
      </c>
      <c r="D399" s="4">
        <v>560.03</v>
      </c>
      <c r="E399" s="65" t="s">
        <v>2427</v>
      </c>
      <c r="F399" s="48" t="s">
        <v>2431</v>
      </c>
      <c r="G399" t="s">
        <v>345</v>
      </c>
      <c r="H399" s="19" t="str">
        <f t="shared" si="115"/>
        <v/>
      </c>
      <c r="I399" s="19" t="str">
        <f t="shared" si="116"/>
        <v/>
      </c>
      <c r="J399" s="19" t="str">
        <f t="shared" si="117"/>
        <v/>
      </c>
      <c r="K399" s="19" t="str">
        <f t="shared" si="118"/>
        <v/>
      </c>
      <c r="L399" s="19" t="str">
        <f t="shared" si="119"/>
        <v/>
      </c>
      <c r="M399" s="19"/>
      <c r="N399" s="22" t="str">
        <f t="shared" si="120"/>
        <v>non ancora confermato</v>
      </c>
      <c r="O399" s="31"/>
    </row>
    <row r="400" spans="1:18" ht="20.100000000000001" hidden="1" customHeight="1">
      <c r="A400" s="7" t="s">
        <v>2689</v>
      </c>
      <c r="B400" s="44" t="s">
        <v>2437</v>
      </c>
      <c r="C400" t="s">
        <v>2303</v>
      </c>
      <c r="D400" s="4">
        <f>40000/5</f>
        <v>8000</v>
      </c>
      <c r="E400" s="65" t="s">
        <v>2427</v>
      </c>
      <c r="F400" s="48" t="s">
        <v>2431</v>
      </c>
      <c r="G400" t="s">
        <v>2435</v>
      </c>
      <c r="H400" s="19" t="str">
        <f t="shared" si="115"/>
        <v/>
      </c>
      <c r="I400" s="19" t="str">
        <f t="shared" si="116"/>
        <v/>
      </c>
      <c r="J400" s="19" t="str">
        <f t="shared" si="117"/>
        <v/>
      </c>
      <c r="K400" s="19" t="str">
        <f t="shared" si="118"/>
        <v/>
      </c>
      <c r="L400" s="19" t="str">
        <f t="shared" si="119"/>
        <v/>
      </c>
      <c r="M400" s="19"/>
      <c r="N400" s="22" t="str">
        <f t="shared" si="120"/>
        <v>non ancora confermato</v>
      </c>
      <c r="O400" s="31"/>
    </row>
    <row r="401" spans="1:16" hidden="1">
      <c r="A401" s="7" t="s">
        <v>2689</v>
      </c>
      <c r="B401" s="44">
        <v>46081</v>
      </c>
      <c r="C401" t="s">
        <v>2449</v>
      </c>
      <c r="D401" s="4">
        <f>8000/4</f>
        <v>2000</v>
      </c>
      <c r="E401" s="65" t="s">
        <v>2427</v>
      </c>
      <c r="F401" s="48" t="s">
        <v>2431</v>
      </c>
      <c r="G401" t="s">
        <v>2435</v>
      </c>
      <c r="H401" s="19" t="str">
        <f t="shared" si="115"/>
        <v/>
      </c>
      <c r="I401" s="19" t="str">
        <f t="shared" si="116"/>
        <v/>
      </c>
      <c r="J401" s="19" t="str">
        <f t="shared" si="117"/>
        <v/>
      </c>
      <c r="K401" s="19" t="str">
        <f t="shared" si="118"/>
        <v/>
      </c>
      <c r="L401" s="19" t="str">
        <f t="shared" si="119"/>
        <v/>
      </c>
      <c r="M401" s="19"/>
      <c r="N401" s="22" t="str">
        <f t="shared" si="120"/>
        <v>non ancora confermato</v>
      </c>
      <c r="O401" s="31"/>
    </row>
    <row r="402" spans="1:16" hidden="1">
      <c r="A402" s="7" t="s">
        <v>2689</v>
      </c>
      <c r="B402" s="44">
        <v>46081</v>
      </c>
      <c r="C402" t="s">
        <v>2424</v>
      </c>
      <c r="D402" s="4">
        <f>12500/5</f>
        <v>2500</v>
      </c>
      <c r="E402" s="65" t="s">
        <v>2427</v>
      </c>
      <c r="F402" s="48" t="s">
        <v>2431</v>
      </c>
      <c r="G402" t="s">
        <v>2435</v>
      </c>
      <c r="H402" s="19" t="str">
        <f t="shared" si="115"/>
        <v/>
      </c>
      <c r="I402" s="19" t="str">
        <f t="shared" si="116"/>
        <v/>
      </c>
      <c r="J402" s="19" t="str">
        <f t="shared" si="117"/>
        <v/>
      </c>
      <c r="K402" s="19" t="str">
        <f t="shared" si="118"/>
        <v/>
      </c>
      <c r="L402" s="19" t="str">
        <f t="shared" si="119"/>
        <v/>
      </c>
      <c r="M402" s="19"/>
      <c r="N402" s="22" t="str">
        <f t="shared" si="120"/>
        <v>non ancora confermato</v>
      </c>
      <c r="O402" s="31"/>
    </row>
    <row r="403" spans="1:16" ht="20.100000000000001" hidden="1" customHeight="1">
      <c r="A403" s="7" t="s">
        <v>2689</v>
      </c>
      <c r="B403" s="44">
        <v>46081</v>
      </c>
      <c r="C403" t="s">
        <v>2124</v>
      </c>
      <c r="D403" s="4">
        <f>6969.12/3</f>
        <v>2323.04</v>
      </c>
      <c r="E403" s="65" t="s">
        <v>2427</v>
      </c>
      <c r="F403" s="48" t="s">
        <v>2431</v>
      </c>
      <c r="G403" t="s">
        <v>2435</v>
      </c>
      <c r="H403" s="19" t="str">
        <f t="shared" si="115"/>
        <v/>
      </c>
      <c r="I403" s="19" t="str">
        <f t="shared" si="116"/>
        <v/>
      </c>
      <c r="J403" s="19" t="str">
        <f t="shared" si="117"/>
        <v/>
      </c>
      <c r="K403" s="19" t="str">
        <f t="shared" si="118"/>
        <v/>
      </c>
      <c r="L403" s="19" t="str">
        <f t="shared" si="119"/>
        <v/>
      </c>
      <c r="M403" s="19" t="str">
        <f>IF(AND($F403="X",$G403="CASSA"),IF($E403="U",-$D403,$D403),"")</f>
        <v/>
      </c>
      <c r="N403" s="22" t="str">
        <f t="shared" si="120"/>
        <v>non ancora confermato</v>
      </c>
      <c r="O403" s="31" t="s">
        <v>2563</v>
      </c>
    </row>
    <row r="404" spans="1:16" ht="20.100000000000001" hidden="1" customHeight="1">
      <c r="A404" s="7" t="s">
        <v>2689</v>
      </c>
      <c r="B404" s="44" t="s">
        <v>2437</v>
      </c>
      <c r="C404" t="s">
        <v>2200</v>
      </c>
      <c r="D404" s="4">
        <f>(20000-$D$40-$D$156)/4</f>
        <v>3425</v>
      </c>
      <c r="E404" s="65" t="s">
        <v>2427</v>
      </c>
      <c r="F404" s="48" t="s">
        <v>2431</v>
      </c>
      <c r="G404" t="s">
        <v>296</v>
      </c>
      <c r="H404" s="19" t="str">
        <f t="shared" si="115"/>
        <v/>
      </c>
      <c r="I404" s="19" t="str">
        <f t="shared" si="116"/>
        <v/>
      </c>
      <c r="J404" s="19" t="str">
        <f t="shared" si="117"/>
        <v/>
      </c>
      <c r="K404" s="19" t="str">
        <f t="shared" si="118"/>
        <v/>
      </c>
      <c r="L404" s="19" t="str">
        <f t="shared" si="119"/>
        <v/>
      </c>
      <c r="M404" s="19"/>
      <c r="N404" s="22" t="str">
        <f t="shared" si="120"/>
        <v>non ancora confermato</v>
      </c>
      <c r="O404" s="31"/>
    </row>
    <row r="405" spans="1:16" ht="20.100000000000001" hidden="1" customHeight="1">
      <c r="A405" s="7" t="s">
        <v>2689</v>
      </c>
      <c r="B405" s="44" t="s">
        <v>2437</v>
      </c>
      <c r="C405" t="s">
        <v>2180</v>
      </c>
      <c r="D405" s="4">
        <f>60000/6</f>
        <v>10000</v>
      </c>
      <c r="E405" s="65" t="s">
        <v>2427</v>
      </c>
      <c r="G405" t="s">
        <v>345</v>
      </c>
      <c r="H405" s="19" t="str">
        <f t="shared" si="115"/>
        <v/>
      </c>
      <c r="I405" s="19" t="str">
        <f t="shared" si="116"/>
        <v/>
      </c>
      <c r="J405" s="19" t="str">
        <f t="shared" si="117"/>
        <v/>
      </c>
      <c r="K405" s="19" t="str">
        <f t="shared" si="118"/>
        <v/>
      </c>
      <c r="L405" s="19" t="str">
        <f t="shared" si="119"/>
        <v/>
      </c>
      <c r="M405" s="19"/>
      <c r="N405" s="22" t="str">
        <f t="shared" si="120"/>
        <v>non ancora confermato</v>
      </c>
      <c r="O405" s="31"/>
    </row>
    <row r="406" spans="1:16" ht="20.100000000000001" hidden="1" customHeight="1">
      <c r="A406" s="7" t="s">
        <v>2689</v>
      </c>
      <c r="B406" s="44" t="s">
        <v>2437</v>
      </c>
      <c r="C406" t="s">
        <v>2144</v>
      </c>
      <c r="D406" s="4">
        <f>(8150-2450)/5</f>
        <v>1140</v>
      </c>
      <c r="E406" s="65" t="s">
        <v>2427</v>
      </c>
      <c r="F406" s="48" t="s">
        <v>2431</v>
      </c>
      <c r="G406" t="s">
        <v>345</v>
      </c>
      <c r="H406" s="19" t="str">
        <f t="shared" si="115"/>
        <v/>
      </c>
      <c r="I406" s="19" t="str">
        <f t="shared" si="116"/>
        <v/>
      </c>
      <c r="J406" s="19" t="str">
        <f t="shared" si="117"/>
        <v/>
      </c>
      <c r="K406" s="19" t="str">
        <f t="shared" si="118"/>
        <v/>
      </c>
      <c r="L406" s="19" t="str">
        <f t="shared" si="119"/>
        <v/>
      </c>
      <c r="M406" s="19"/>
      <c r="N406" s="22" t="str">
        <f t="shared" si="120"/>
        <v>non ancora confermato</v>
      </c>
      <c r="O406" s="31"/>
    </row>
    <row r="407" spans="1:16" ht="20.100000000000001" hidden="1" customHeight="1">
      <c r="A407" s="7" t="s">
        <v>2689</v>
      </c>
      <c r="B407" s="44" t="s">
        <v>2437</v>
      </c>
      <c r="C407" t="s">
        <v>2331</v>
      </c>
      <c r="D407" s="4">
        <f>65000/5</f>
        <v>13000</v>
      </c>
      <c r="E407" s="65" t="s">
        <v>2427</v>
      </c>
      <c r="F407" s="48" t="s">
        <v>2431</v>
      </c>
      <c r="G407" t="s">
        <v>2435</v>
      </c>
      <c r="H407" s="19" t="str">
        <f t="shared" si="115"/>
        <v/>
      </c>
      <c r="I407" s="19" t="str">
        <f t="shared" si="116"/>
        <v/>
      </c>
      <c r="J407" s="19" t="str">
        <f t="shared" si="117"/>
        <v/>
      </c>
      <c r="K407" s="19" t="str">
        <f t="shared" si="118"/>
        <v/>
      </c>
      <c r="L407" s="19" t="str">
        <f t="shared" si="119"/>
        <v/>
      </c>
      <c r="M407" s="19"/>
      <c r="N407" s="22" t="str">
        <f t="shared" si="120"/>
        <v>non ancora confermato</v>
      </c>
      <c r="O407" s="31"/>
    </row>
    <row r="408" spans="1:16" ht="20.100000000000001" hidden="1" customHeight="1">
      <c r="A408" s="7" t="s">
        <v>2689</v>
      </c>
      <c r="B408" s="44" t="s">
        <v>2437</v>
      </c>
      <c r="C408" t="s">
        <v>2436</v>
      </c>
      <c r="D408" s="4">
        <v>5000</v>
      </c>
      <c r="E408" s="65" t="s">
        <v>2427</v>
      </c>
      <c r="F408" s="48" t="s">
        <v>2431</v>
      </c>
      <c r="G408" t="s">
        <v>345</v>
      </c>
      <c r="H408" s="19" t="str">
        <f t="shared" si="115"/>
        <v/>
      </c>
      <c r="I408" s="19" t="str">
        <f t="shared" si="116"/>
        <v/>
      </c>
      <c r="J408" s="19" t="str">
        <f t="shared" si="117"/>
        <v/>
      </c>
      <c r="K408" s="19" t="str">
        <f t="shared" si="118"/>
        <v/>
      </c>
      <c r="L408" s="19" t="str">
        <f t="shared" si="119"/>
        <v/>
      </c>
      <c r="M408" s="19"/>
      <c r="N408" s="22" t="str">
        <f t="shared" si="120"/>
        <v>non ancora confermato</v>
      </c>
      <c r="O408" s="31"/>
    </row>
    <row r="409" spans="1:16" ht="20.100000000000001" hidden="1" customHeight="1">
      <c r="A409" s="7" t="s">
        <v>2689</v>
      </c>
      <c r="B409" s="44" t="s">
        <v>2437</v>
      </c>
      <c r="C409" t="s">
        <v>2103</v>
      </c>
      <c r="D409" s="4">
        <v>92.92</v>
      </c>
      <c r="E409" s="65" t="s">
        <v>2427</v>
      </c>
      <c r="F409" s="48" t="s">
        <v>2431</v>
      </c>
      <c r="G409" t="s">
        <v>345</v>
      </c>
      <c r="H409" s="19" t="str">
        <f t="shared" si="115"/>
        <v/>
      </c>
      <c r="I409" s="19" t="str">
        <f t="shared" si="116"/>
        <v/>
      </c>
      <c r="J409" s="19" t="str">
        <f t="shared" si="117"/>
        <v/>
      </c>
      <c r="K409" s="19" t="str">
        <f t="shared" si="118"/>
        <v/>
      </c>
      <c r="L409" s="19" t="str">
        <f t="shared" si="119"/>
        <v/>
      </c>
      <c r="M409" s="19"/>
      <c r="N409" s="22" t="str">
        <f t="shared" si="120"/>
        <v>non ancora confermato</v>
      </c>
      <c r="O409" s="31" t="s">
        <v>2691</v>
      </c>
    </row>
    <row r="410" spans="1:16" ht="45" hidden="1" customHeight="1">
      <c r="A410" s="7" t="s">
        <v>2689</v>
      </c>
      <c r="B410" s="44" t="s">
        <v>2437</v>
      </c>
      <c r="C410" s="159" t="s">
        <v>2300</v>
      </c>
      <c r="D410" s="4">
        <v>3600</v>
      </c>
      <c r="E410" s="65" t="s">
        <v>2427</v>
      </c>
      <c r="F410" s="48" t="s">
        <v>2431</v>
      </c>
      <c r="G410" t="s">
        <v>345</v>
      </c>
      <c r="H410" s="19" t="str">
        <f t="shared" si="115"/>
        <v/>
      </c>
      <c r="I410" s="19" t="str">
        <f t="shared" si="116"/>
        <v/>
      </c>
      <c r="J410" s="19" t="str">
        <f t="shared" si="117"/>
        <v/>
      </c>
      <c r="K410" s="19" t="str">
        <f t="shared" si="118"/>
        <v/>
      </c>
      <c r="L410" s="19" t="str">
        <f t="shared" si="119"/>
        <v/>
      </c>
      <c r="M410" s="19"/>
      <c r="N410" s="22" t="str">
        <f t="shared" si="120"/>
        <v>non ancora confermato</v>
      </c>
      <c r="O410" s="145" t="s">
        <v>2692</v>
      </c>
    </row>
    <row r="411" spans="1:16" ht="20.100000000000001" hidden="1" customHeight="1">
      <c r="A411" s="7" t="s">
        <v>2689</v>
      </c>
      <c r="B411" s="44" t="s">
        <v>2437</v>
      </c>
      <c r="C411" s="42" t="s">
        <v>1047</v>
      </c>
      <c r="D411" s="4">
        <f>(19188.09-$D$55-$D$131)/2</f>
        <v>5094.0450000000001</v>
      </c>
      <c r="E411" s="65" t="s">
        <v>2427</v>
      </c>
      <c r="F411" s="48" t="s">
        <v>2431</v>
      </c>
      <c r="H411" s="19" t="str">
        <f t="shared" si="115"/>
        <v/>
      </c>
      <c r="I411" s="19" t="str">
        <f t="shared" si="116"/>
        <v/>
      </c>
      <c r="J411" s="19" t="str">
        <f t="shared" si="117"/>
        <v/>
      </c>
      <c r="K411" s="19" t="str">
        <f t="shared" si="118"/>
        <v/>
      </c>
      <c r="L411" s="19" t="str">
        <f t="shared" si="119"/>
        <v/>
      </c>
      <c r="M411" s="19"/>
      <c r="N411" s="22" t="str">
        <f t="shared" si="120"/>
        <v>non ancora confermato</v>
      </c>
      <c r="O411" s="31"/>
    </row>
    <row r="412" spans="1:16" ht="30" hidden="1" customHeight="1">
      <c r="A412" s="13"/>
      <c r="B412" s="53"/>
      <c r="C412" s="9"/>
      <c r="D412" s="10"/>
      <c r="F412" s="45" t="s">
        <v>2516</v>
      </c>
      <c r="G412" s="19">
        <f>SUMIF(E375:E411, "E", D375:D411)</f>
        <v>250</v>
      </c>
      <c r="H412" s="18" t="s">
        <v>2517</v>
      </c>
      <c r="I412" s="12">
        <f>SUMIF(E375:E411, "U", D375:D411)</f>
        <v>122741.13166666667</v>
      </c>
      <c r="J412" s="16" t="s">
        <v>2518</v>
      </c>
      <c r="K412" s="19">
        <f>G412-I412</f>
        <v>-122491.13166666667</v>
      </c>
      <c r="L412" s="18" t="s">
        <v>2519</v>
      </c>
      <c r="M412" s="18"/>
      <c r="N412" s="19">
        <f>N374+D374</f>
        <v>-94956.611666666649</v>
      </c>
      <c r="O412" s="31"/>
    </row>
    <row r="413" spans="1:16" ht="20.100000000000001" hidden="1" customHeight="1">
      <c r="A413" s="23" t="s">
        <v>2693</v>
      </c>
      <c r="B413" s="52"/>
      <c r="C413" s="24"/>
      <c r="D413" s="27">
        <f>SUMPRODUCT((A414:A437="March 2026")*(E414:E437="E")*D414:D437) - SUMPRODUCT((A414:A437="March 2026")*(E414:E437="U")*D414:D437)</f>
        <v>-116200.67166666666</v>
      </c>
      <c r="E413" s="46"/>
      <c r="F413" s="47"/>
      <c r="G413" s="24" t="s">
        <v>2509</v>
      </c>
      <c r="H413" s="26">
        <f t="shared" ref="H413:M413" si="134">SUM(H374:H411)</f>
        <v>-2.8900000000000006</v>
      </c>
      <c r="I413" s="26">
        <f t="shared" si="134"/>
        <v>24.53</v>
      </c>
      <c r="J413" s="26">
        <f t="shared" si="134"/>
        <v>34.39</v>
      </c>
      <c r="K413" s="26">
        <f t="shared" si="134"/>
        <v>823.6900000000046</v>
      </c>
      <c r="L413" s="26">
        <f t="shared" si="134"/>
        <v>923.23</v>
      </c>
      <c r="M413" s="26">
        <f t="shared" si="134"/>
        <v>0</v>
      </c>
      <c r="N413" s="26">
        <f>SUM(H413:L413)</f>
        <v>1802.9500000000046</v>
      </c>
      <c r="O413" s="35" t="s">
        <v>2522</v>
      </c>
      <c r="P413" s="38">
        <f>P374+K412</f>
        <v>-174489.61833333335</v>
      </c>
    </row>
    <row r="414" spans="1:16" ht="20.100000000000001" hidden="1" customHeight="1">
      <c r="A414" s="7" t="s">
        <v>2694</v>
      </c>
      <c r="B414" s="44" t="s">
        <v>2443</v>
      </c>
      <c r="C414" t="s">
        <v>2441</v>
      </c>
      <c r="D414" s="4">
        <v>8900</v>
      </c>
      <c r="E414" s="65" t="s">
        <v>2427</v>
      </c>
      <c r="F414" s="48" t="s">
        <v>2431</v>
      </c>
      <c r="G414" t="s">
        <v>2435</v>
      </c>
      <c r="H414" s="19" t="str">
        <f t="shared" ref="H414:H437" si="135">IF(AND($F414="X",$G414="BCC"),IF($E414="U",-$D414,$D414),"")</f>
        <v/>
      </c>
      <c r="I414" s="19" t="str">
        <f t="shared" ref="I414:I437" si="136">IF(AND($F414="X",$G414="INTESA"),IF($E414="U",-$D414,$D414),"")</f>
        <v/>
      </c>
      <c r="J414" s="19" t="str">
        <f t="shared" ref="J414:J437" si="137">IF(AND($F414="X",$G414="BPM"),IF($E414="U",-$D414,$D414),"")</f>
        <v/>
      </c>
      <c r="K414" s="19" t="str">
        <f t="shared" ref="K414:K437" si="138">IF(AND($F414="X",$G414="SONDRIO"),IF($E414="U",-$D414,$D414),"")</f>
        <v/>
      </c>
      <c r="L414" s="19" t="str">
        <f t="shared" ref="L414:L437" si="139">IF(AND($F414="X",$G414="BPER"),IF($E414="U",-$D414,$D414),"")</f>
        <v/>
      </c>
      <c r="M414" s="19"/>
      <c r="N414" s="22" t="str">
        <f t="shared" ref="N414:N437" si="140">IF(F414="X",IF(E414="U",-D414,D414),"non ancora confermato")</f>
        <v>non ancora confermato</v>
      </c>
      <c r="O414" s="31"/>
    </row>
    <row r="415" spans="1:16" ht="20.100000000000001" hidden="1" customHeight="1">
      <c r="A415" s="7" t="s">
        <v>2694</v>
      </c>
      <c r="B415" s="44">
        <v>46111</v>
      </c>
      <c r="C415" s="42" t="s">
        <v>2231</v>
      </c>
      <c r="D415" s="4">
        <v>2500</v>
      </c>
      <c r="E415" s="65" t="s">
        <v>2427</v>
      </c>
      <c r="F415" s="160" t="s">
        <v>2431</v>
      </c>
      <c r="G415" t="s">
        <v>2435</v>
      </c>
      <c r="H415" s="19" t="str">
        <f t="shared" si="135"/>
        <v/>
      </c>
      <c r="I415" s="19" t="str">
        <f t="shared" si="136"/>
        <v/>
      </c>
      <c r="J415" s="19" t="str">
        <f t="shared" si="137"/>
        <v/>
      </c>
      <c r="K415" s="19" t="str">
        <f t="shared" si="138"/>
        <v/>
      </c>
      <c r="L415" s="19" t="str">
        <f t="shared" si="139"/>
        <v/>
      </c>
      <c r="M415" s="19"/>
      <c r="N415" s="22" t="str">
        <f t="shared" ref="N415:N416" si="141">IF(F415="X",IF(E415="U",-D415,D415),"non ancora confermato")</f>
        <v>non ancora confermato</v>
      </c>
      <c r="O415" s="31"/>
    </row>
    <row r="416" spans="1:16" ht="20.100000000000001" hidden="1" customHeight="1">
      <c r="A416" s="7" t="s">
        <v>2694</v>
      </c>
      <c r="B416" s="44">
        <v>46091</v>
      </c>
      <c r="C416" t="s">
        <v>2164</v>
      </c>
      <c r="D416" s="4">
        <v>3852.15</v>
      </c>
      <c r="E416" s="65" t="s">
        <v>2427</v>
      </c>
      <c r="G416" t="s">
        <v>345</v>
      </c>
      <c r="H416" s="19" t="str">
        <f t="shared" si="135"/>
        <v/>
      </c>
      <c r="I416" s="19" t="str">
        <f t="shared" si="136"/>
        <v/>
      </c>
      <c r="J416" s="19" t="str">
        <f t="shared" si="137"/>
        <v/>
      </c>
      <c r="K416" s="19" t="str">
        <f t="shared" si="138"/>
        <v/>
      </c>
      <c r="L416" s="19" t="str">
        <f t="shared" si="139"/>
        <v/>
      </c>
      <c r="M416" s="19"/>
      <c r="N416" s="22" t="str">
        <f t="shared" si="141"/>
        <v>non ancora confermato</v>
      </c>
      <c r="O416" s="31" t="s">
        <v>2690</v>
      </c>
    </row>
    <row r="417" spans="1:15" ht="20.100000000000001" hidden="1" customHeight="1">
      <c r="A417" s="7" t="s">
        <v>2694</v>
      </c>
      <c r="B417" s="44">
        <v>46091</v>
      </c>
      <c r="C417" t="s">
        <v>2164</v>
      </c>
      <c r="D417" s="4">
        <v>1175.78</v>
      </c>
      <c r="E417" s="65" t="s">
        <v>2427</v>
      </c>
      <c r="G417" t="s">
        <v>345</v>
      </c>
      <c r="H417" s="19" t="str">
        <f t="shared" si="135"/>
        <v/>
      </c>
      <c r="I417" s="19" t="str">
        <f t="shared" si="136"/>
        <v/>
      </c>
      <c r="J417" s="19" t="str">
        <f t="shared" si="137"/>
        <v/>
      </c>
      <c r="K417" s="19" t="str">
        <f t="shared" si="138"/>
        <v/>
      </c>
      <c r="L417" s="19" t="str">
        <f t="shared" si="139"/>
        <v/>
      </c>
      <c r="M417" s="19"/>
      <c r="N417" s="22" t="str">
        <f t="shared" si="140"/>
        <v>non ancora confermato</v>
      </c>
      <c r="O417" s="31"/>
    </row>
    <row r="418" spans="1:15" ht="20.100000000000001" hidden="1" customHeight="1">
      <c r="A418" s="7" t="s">
        <v>2694</v>
      </c>
      <c r="B418" s="44" t="s">
        <v>2448</v>
      </c>
      <c r="C418" t="s">
        <v>2446</v>
      </c>
      <c r="D418" s="4">
        <v>10000</v>
      </c>
      <c r="E418" s="65" t="s">
        <v>2427</v>
      </c>
      <c r="F418" s="48" t="s">
        <v>2431</v>
      </c>
      <c r="G418" t="s">
        <v>2435</v>
      </c>
      <c r="H418" s="19" t="str">
        <f t="shared" si="135"/>
        <v/>
      </c>
      <c r="I418" s="19" t="str">
        <f t="shared" si="136"/>
        <v/>
      </c>
      <c r="J418" s="19" t="str">
        <f t="shared" si="137"/>
        <v/>
      </c>
      <c r="K418" s="19" t="str">
        <f t="shared" si="138"/>
        <v/>
      </c>
      <c r="L418" s="19" t="str">
        <f t="shared" si="139"/>
        <v/>
      </c>
      <c r="M418" s="19"/>
      <c r="N418" s="22" t="str">
        <f t="shared" si="140"/>
        <v>non ancora confermato</v>
      </c>
      <c r="O418" s="31"/>
    </row>
    <row r="419" spans="1:15" ht="20.100000000000001" hidden="1" customHeight="1">
      <c r="A419" s="7" t="s">
        <v>2694</v>
      </c>
      <c r="B419" s="44" t="s">
        <v>2445</v>
      </c>
      <c r="C419" t="s">
        <v>2444</v>
      </c>
      <c r="D419" s="4">
        <v>502.6</v>
      </c>
      <c r="E419" s="65" t="s">
        <v>2427</v>
      </c>
      <c r="F419" s="48" t="s">
        <v>2431</v>
      </c>
      <c r="G419" t="s">
        <v>2434</v>
      </c>
      <c r="H419" s="19" t="str">
        <f t="shared" si="135"/>
        <v/>
      </c>
      <c r="I419" s="19" t="str">
        <f t="shared" si="136"/>
        <v/>
      </c>
      <c r="J419" s="19" t="str">
        <f t="shared" si="137"/>
        <v/>
      </c>
      <c r="K419" s="19" t="str">
        <f t="shared" si="138"/>
        <v/>
      </c>
      <c r="L419" s="19" t="str">
        <f t="shared" si="139"/>
        <v/>
      </c>
      <c r="M419" s="19"/>
      <c r="N419" s="22" t="str">
        <f t="shared" si="140"/>
        <v>non ancora confermato</v>
      </c>
      <c r="O419" s="31"/>
    </row>
    <row r="420" spans="1:15" ht="20.100000000000001" hidden="1" customHeight="1">
      <c r="D420" s="4">
        <v>1175.78</v>
      </c>
      <c r="E420" s="65" t="s">
        <v>2427</v>
      </c>
      <c r="F420" s="48" t="s">
        <v>2431</v>
      </c>
      <c r="G420" t="s">
        <v>2435</v>
      </c>
      <c r="H420" s="19"/>
      <c r="I420" s="19"/>
      <c r="J420" s="19"/>
      <c r="K420" s="19"/>
      <c r="L420" s="19"/>
      <c r="M420" s="19"/>
      <c r="O420" s="31"/>
    </row>
    <row r="421" spans="1:15" ht="20.100000000000001" hidden="1" customHeight="1">
      <c r="A421" s="7" t="s">
        <v>2694</v>
      </c>
      <c r="B421" s="44">
        <v>46091</v>
      </c>
      <c r="C421" t="s">
        <v>2152</v>
      </c>
      <c r="D421" s="4">
        <f>1064.95+1804.47</f>
        <v>2869.42</v>
      </c>
      <c r="E421" s="65" t="s">
        <v>2427</v>
      </c>
      <c r="F421" s="48" t="s">
        <v>2431</v>
      </c>
      <c r="G421" t="s">
        <v>345</v>
      </c>
      <c r="H421" s="19" t="str">
        <f>IF(AND($F421="X",$G421="BCC"),IF($E421="U",-$D421,$D421),"")</f>
        <v/>
      </c>
      <c r="I421" s="19" t="str">
        <f>IF(AND($F421="X",$G421="INTESA"),IF($E421="U",-$D421,$D421),"")</f>
        <v/>
      </c>
      <c r="J421" s="19" t="str">
        <f>IF(AND($F421="X",$G421="BPM"),IF($E421="U",-$D421,$D421),"")</f>
        <v/>
      </c>
      <c r="K421" s="19" t="str">
        <f>IF(AND($F421="X",$G421="SONDRIO"),IF($E421="U",-$D421,$D421),"")</f>
        <v/>
      </c>
      <c r="L421" s="19" t="str">
        <f>IF(AND($F421="X",$G421="BPER"),IF($E421="U",-$D421,$D421),"")</f>
        <v/>
      </c>
      <c r="M421" s="19"/>
      <c r="N421" s="22" t="str">
        <f>IF(F421="X",IF(E421="U",-D421,D421),"non ancora confermato")</f>
        <v>non ancora confermato</v>
      </c>
      <c r="O421" s="31" t="s">
        <v>2154</v>
      </c>
    </row>
    <row r="422" spans="1:15" hidden="1">
      <c r="A422" s="7" t="s">
        <v>2694</v>
      </c>
      <c r="B422" s="44">
        <v>46111</v>
      </c>
      <c r="C422" t="s">
        <v>2449</v>
      </c>
      <c r="D422" s="4">
        <f>8000/4</f>
        <v>2000</v>
      </c>
      <c r="E422" s="65" t="s">
        <v>2427</v>
      </c>
      <c r="F422" s="48" t="s">
        <v>2431</v>
      </c>
      <c r="G422" t="s">
        <v>2434</v>
      </c>
      <c r="H422" s="19" t="str">
        <f t="shared" si="135"/>
        <v/>
      </c>
      <c r="I422" s="19" t="str">
        <f t="shared" si="136"/>
        <v/>
      </c>
      <c r="J422" s="19" t="str">
        <f t="shared" si="137"/>
        <v/>
      </c>
      <c r="K422" s="19" t="str">
        <f t="shared" si="138"/>
        <v/>
      </c>
      <c r="L422" s="19" t="str">
        <f t="shared" si="139"/>
        <v/>
      </c>
      <c r="M422" s="19"/>
      <c r="N422" s="22" t="str">
        <f t="shared" si="140"/>
        <v>non ancora confermato</v>
      </c>
      <c r="O422" s="31"/>
    </row>
    <row r="423" spans="1:15" ht="20.100000000000001" hidden="1" customHeight="1">
      <c r="A423" s="7" t="s">
        <v>2694</v>
      </c>
      <c r="B423" s="44">
        <v>45747</v>
      </c>
      <c r="C423" t="s">
        <v>2124</v>
      </c>
      <c r="D423" s="4">
        <f>6969.12/3</f>
        <v>2323.04</v>
      </c>
      <c r="E423" s="65" t="s">
        <v>2427</v>
      </c>
      <c r="F423" s="48" t="s">
        <v>2431</v>
      </c>
      <c r="G423" t="s">
        <v>2435</v>
      </c>
      <c r="H423" s="19" t="str">
        <f t="shared" si="135"/>
        <v/>
      </c>
      <c r="I423" s="19" t="str">
        <f t="shared" si="136"/>
        <v/>
      </c>
      <c r="J423" s="19" t="str">
        <f t="shared" si="137"/>
        <v/>
      </c>
      <c r="K423" s="19" t="str">
        <f t="shared" si="138"/>
        <v/>
      </c>
      <c r="L423" s="19" t="str">
        <f t="shared" si="139"/>
        <v/>
      </c>
      <c r="M423" s="19" t="str">
        <f>IF(AND($F423="X",$G423="CASSA"),IF($E423="U",-$D423,$D423),"")</f>
        <v/>
      </c>
      <c r="N423" s="22" t="str">
        <f t="shared" si="140"/>
        <v>non ancora confermato</v>
      </c>
      <c r="O423" s="31" t="s">
        <v>2563</v>
      </c>
    </row>
    <row r="424" spans="1:15" hidden="1">
      <c r="A424" s="7" t="s">
        <v>2694</v>
      </c>
      <c r="B424" s="44">
        <v>45746</v>
      </c>
      <c r="C424" t="s">
        <v>2303</v>
      </c>
      <c r="D424" s="4">
        <f>40000/5</f>
        <v>8000</v>
      </c>
      <c r="E424" s="65" t="s">
        <v>2427</v>
      </c>
      <c r="F424" s="48" t="s">
        <v>2431</v>
      </c>
      <c r="G424" t="s">
        <v>2435</v>
      </c>
      <c r="H424" s="19" t="str">
        <f t="shared" si="135"/>
        <v/>
      </c>
      <c r="I424" s="19" t="str">
        <f t="shared" si="136"/>
        <v/>
      </c>
      <c r="J424" s="19" t="str">
        <f t="shared" si="137"/>
        <v/>
      </c>
      <c r="K424" s="19" t="str">
        <f t="shared" si="138"/>
        <v/>
      </c>
      <c r="L424" s="19" t="str">
        <f t="shared" si="139"/>
        <v/>
      </c>
      <c r="M424" s="19"/>
      <c r="N424" s="22" t="str">
        <f t="shared" si="140"/>
        <v>non ancora confermato</v>
      </c>
      <c r="O424" s="31"/>
    </row>
    <row r="425" spans="1:15" hidden="1">
      <c r="A425" s="7" t="s">
        <v>2694</v>
      </c>
      <c r="B425" s="44">
        <v>46111</v>
      </c>
      <c r="C425" t="s">
        <v>2424</v>
      </c>
      <c r="D425" s="4">
        <f>12500/5</f>
        <v>2500</v>
      </c>
      <c r="E425" s="65" t="s">
        <v>2427</v>
      </c>
      <c r="F425" s="48" t="s">
        <v>2431</v>
      </c>
      <c r="G425" t="s">
        <v>2434</v>
      </c>
      <c r="H425" s="19" t="str">
        <f t="shared" si="135"/>
        <v/>
      </c>
      <c r="I425" s="19" t="str">
        <f t="shared" si="136"/>
        <v/>
      </c>
      <c r="J425" s="19" t="str">
        <f t="shared" si="137"/>
        <v/>
      </c>
      <c r="K425" s="19" t="str">
        <f t="shared" si="138"/>
        <v/>
      </c>
      <c r="L425" s="19" t="str">
        <f t="shared" si="139"/>
        <v/>
      </c>
      <c r="M425" s="19"/>
      <c r="N425" s="22" t="str">
        <f t="shared" si="140"/>
        <v>non ancora confermato</v>
      </c>
      <c r="O425" s="31"/>
    </row>
    <row r="426" spans="1:15" ht="20.100000000000001" hidden="1" customHeight="1">
      <c r="A426" s="7" t="s">
        <v>2694</v>
      </c>
      <c r="B426" s="44" t="s">
        <v>2439</v>
      </c>
      <c r="C426" t="s">
        <v>2331</v>
      </c>
      <c r="D426" s="4">
        <f>65000/5</f>
        <v>13000</v>
      </c>
      <c r="E426" s="65" t="s">
        <v>2427</v>
      </c>
      <c r="G426" t="s">
        <v>2435</v>
      </c>
      <c r="H426" s="19" t="str">
        <f t="shared" si="135"/>
        <v/>
      </c>
      <c r="I426" s="19" t="str">
        <f t="shared" si="136"/>
        <v/>
      </c>
      <c r="J426" s="19" t="str">
        <f t="shared" si="137"/>
        <v/>
      </c>
      <c r="K426" s="19" t="str">
        <f t="shared" si="138"/>
        <v/>
      </c>
      <c r="L426" s="19" t="str">
        <f t="shared" si="139"/>
        <v/>
      </c>
      <c r="M426" s="19"/>
      <c r="N426" s="22" t="str">
        <f t="shared" si="140"/>
        <v>non ancora confermato</v>
      </c>
      <c r="O426" s="31"/>
    </row>
    <row r="427" spans="1:15" ht="20.100000000000001" hidden="1" customHeight="1">
      <c r="A427" s="7" t="s">
        <v>2694</v>
      </c>
      <c r="B427" s="44" t="s">
        <v>2439</v>
      </c>
      <c r="C427" t="s">
        <v>2378</v>
      </c>
      <c r="D427" s="4">
        <f>(28000-$D$54-$D$143)/2</f>
        <v>5000</v>
      </c>
      <c r="E427" s="65" t="s">
        <v>2427</v>
      </c>
      <c r="G427" t="s">
        <v>345</v>
      </c>
      <c r="H427" s="19" t="str">
        <f t="shared" si="135"/>
        <v/>
      </c>
      <c r="I427" s="19" t="str">
        <f t="shared" si="136"/>
        <v/>
      </c>
      <c r="J427" s="19" t="str">
        <f t="shared" si="137"/>
        <v/>
      </c>
      <c r="K427" s="19" t="str">
        <f t="shared" si="138"/>
        <v/>
      </c>
      <c r="L427" s="19" t="str">
        <f t="shared" si="139"/>
        <v/>
      </c>
      <c r="M427" s="19"/>
      <c r="N427" s="22" t="str">
        <f t="shared" si="140"/>
        <v>non ancora confermato</v>
      </c>
      <c r="O427" s="31"/>
    </row>
    <row r="428" spans="1:15" ht="20.100000000000001" hidden="1" customHeight="1">
      <c r="A428" s="7" t="s">
        <v>2694</v>
      </c>
      <c r="B428" s="44" t="s">
        <v>2439</v>
      </c>
      <c r="C428" t="s">
        <v>2200</v>
      </c>
      <c r="D428" s="4">
        <f>(20000-$D$40-$D$156)/4</f>
        <v>3425</v>
      </c>
      <c r="E428" s="65" t="s">
        <v>2427</v>
      </c>
      <c r="G428" t="s">
        <v>296</v>
      </c>
      <c r="H428" s="19" t="str">
        <f t="shared" si="135"/>
        <v/>
      </c>
      <c r="I428" s="19" t="str">
        <f t="shared" si="136"/>
        <v/>
      </c>
      <c r="J428" s="19" t="str">
        <f t="shared" si="137"/>
        <v/>
      </c>
      <c r="K428" s="19" t="str">
        <f t="shared" si="138"/>
        <v/>
      </c>
      <c r="L428" s="19" t="str">
        <f t="shared" si="139"/>
        <v/>
      </c>
      <c r="M428" s="19"/>
      <c r="N428" s="22" t="str">
        <f t="shared" si="140"/>
        <v>non ancora confermato</v>
      </c>
      <c r="O428" s="31"/>
    </row>
    <row r="429" spans="1:15" ht="20.100000000000001" hidden="1" customHeight="1">
      <c r="A429" s="7" t="s">
        <v>2694</v>
      </c>
      <c r="B429" s="44">
        <v>46096</v>
      </c>
      <c r="C429" t="s">
        <v>2048</v>
      </c>
      <c r="D429" s="4">
        <v>1390.8</v>
      </c>
      <c r="E429" s="65" t="s">
        <v>2427</v>
      </c>
      <c r="G429" t="s">
        <v>2435</v>
      </c>
      <c r="H429" s="19" t="str">
        <f t="shared" si="135"/>
        <v/>
      </c>
      <c r="I429" s="19" t="str">
        <f t="shared" si="136"/>
        <v/>
      </c>
      <c r="J429" s="19" t="str">
        <f t="shared" si="137"/>
        <v/>
      </c>
      <c r="K429" s="19" t="str">
        <f t="shared" si="138"/>
        <v/>
      </c>
      <c r="L429" s="19" t="str">
        <f t="shared" si="139"/>
        <v/>
      </c>
      <c r="M429" s="19"/>
      <c r="N429" s="22" t="str">
        <f t="shared" si="140"/>
        <v>non ancora confermato</v>
      </c>
      <c r="O429" s="31"/>
    </row>
    <row r="430" spans="1:15" ht="20.100000000000001" hidden="1" customHeight="1">
      <c r="A430" s="7" t="s">
        <v>2694</v>
      </c>
      <c r="B430" s="44" t="s">
        <v>2439</v>
      </c>
      <c r="C430" t="s">
        <v>2180</v>
      </c>
      <c r="D430" s="4">
        <f>60000/6</f>
        <v>10000</v>
      </c>
      <c r="E430" s="65" t="s">
        <v>2427</v>
      </c>
      <c r="F430" s="48" t="s">
        <v>2431</v>
      </c>
      <c r="G430" t="s">
        <v>345</v>
      </c>
      <c r="H430" s="19" t="str">
        <f t="shared" si="135"/>
        <v/>
      </c>
      <c r="I430" s="19" t="str">
        <f t="shared" si="136"/>
        <v/>
      </c>
      <c r="J430" s="19" t="str">
        <f t="shared" si="137"/>
        <v/>
      </c>
      <c r="K430" s="19" t="str">
        <f t="shared" si="138"/>
        <v/>
      </c>
      <c r="L430" s="19" t="str">
        <f t="shared" si="139"/>
        <v/>
      </c>
      <c r="M430" s="19"/>
      <c r="N430" s="22" t="str">
        <f t="shared" si="140"/>
        <v>non ancora confermato</v>
      </c>
      <c r="O430" s="31"/>
    </row>
    <row r="431" spans="1:15" s="9" customFormat="1" hidden="1">
      <c r="A431" s="7" t="s">
        <v>2694</v>
      </c>
      <c r="B431" s="44" t="s">
        <v>2439</v>
      </c>
      <c r="C431" t="s">
        <v>2270</v>
      </c>
      <c r="D431" s="4">
        <f>(105000-$D$57-$D$144)/6</f>
        <v>13166.666666666666</v>
      </c>
      <c r="E431" s="65" t="s">
        <v>2427</v>
      </c>
      <c r="F431" s="48"/>
      <c r="G431" t="s">
        <v>2435</v>
      </c>
      <c r="H431" s="19" t="str">
        <f t="shared" si="135"/>
        <v/>
      </c>
      <c r="I431" s="19" t="str">
        <f t="shared" si="136"/>
        <v/>
      </c>
      <c r="J431" s="19" t="str">
        <f t="shared" si="137"/>
        <v/>
      </c>
      <c r="K431" s="19" t="str">
        <f t="shared" si="138"/>
        <v/>
      </c>
      <c r="L431" s="19" t="str">
        <f t="shared" si="139"/>
        <v/>
      </c>
      <c r="M431" s="19"/>
      <c r="N431" s="22" t="str">
        <f t="shared" si="140"/>
        <v>non ancora confermato</v>
      </c>
      <c r="O431" s="31"/>
    </row>
    <row r="432" spans="1:15" ht="20.100000000000001" hidden="1" customHeight="1">
      <c r="A432" s="7" t="s">
        <v>2694</v>
      </c>
      <c r="B432" s="44" t="s">
        <v>2439</v>
      </c>
      <c r="C432" t="s">
        <v>2656</v>
      </c>
      <c r="D432" s="4">
        <v>7500</v>
      </c>
      <c r="E432" s="65" t="s">
        <v>2427</v>
      </c>
      <c r="F432" s="48" t="s">
        <v>2431</v>
      </c>
      <c r="G432" t="s">
        <v>2435</v>
      </c>
      <c r="H432" s="19" t="str">
        <f t="shared" si="135"/>
        <v/>
      </c>
      <c r="I432" s="19" t="str">
        <f t="shared" si="136"/>
        <v/>
      </c>
      <c r="J432" s="19" t="str">
        <f t="shared" si="137"/>
        <v/>
      </c>
      <c r="K432" s="19" t="str">
        <f t="shared" si="138"/>
        <v/>
      </c>
      <c r="L432" s="19" t="str">
        <f t="shared" si="139"/>
        <v/>
      </c>
      <c r="M432" s="19"/>
      <c r="N432" s="22" t="str">
        <f t="shared" si="140"/>
        <v>non ancora confermato</v>
      </c>
      <c r="O432" s="31"/>
    </row>
    <row r="433" spans="1:16" ht="20.100000000000001" hidden="1" customHeight="1">
      <c r="A433" s="7" t="s">
        <v>2694</v>
      </c>
      <c r="B433" s="44" t="s">
        <v>2439</v>
      </c>
      <c r="C433" t="s">
        <v>2264</v>
      </c>
      <c r="D433" s="4">
        <v>361.17</v>
      </c>
      <c r="E433" s="65" t="s">
        <v>2427</v>
      </c>
      <c r="F433" s="48" t="s">
        <v>2431</v>
      </c>
      <c r="H433" s="19" t="str">
        <f t="shared" si="135"/>
        <v/>
      </c>
      <c r="I433" s="19" t="str">
        <f t="shared" si="136"/>
        <v/>
      </c>
      <c r="J433" s="19" t="str">
        <f t="shared" si="137"/>
        <v/>
      </c>
      <c r="K433" s="19" t="str">
        <f t="shared" si="138"/>
        <v/>
      </c>
      <c r="L433" s="19" t="str">
        <f t="shared" si="139"/>
        <v/>
      </c>
      <c r="M433" s="19"/>
      <c r="N433" s="22" t="str">
        <f t="shared" si="140"/>
        <v>non ancora confermato</v>
      </c>
      <c r="O433" s="31" t="s">
        <v>2695</v>
      </c>
    </row>
    <row r="434" spans="1:16" ht="20.100000000000001" hidden="1" customHeight="1">
      <c r="A434" s="7" t="s">
        <v>2694</v>
      </c>
      <c r="B434" s="44" t="s">
        <v>2439</v>
      </c>
      <c r="C434" t="s">
        <v>2440</v>
      </c>
      <c r="D434" s="4">
        <v>6500</v>
      </c>
      <c r="E434" s="65" t="s">
        <v>2427</v>
      </c>
      <c r="F434" s="48" t="s">
        <v>2431</v>
      </c>
      <c r="G434" t="s">
        <v>296</v>
      </c>
      <c r="H434" s="19" t="str">
        <f t="shared" si="135"/>
        <v/>
      </c>
      <c r="I434" s="19" t="str">
        <f t="shared" si="136"/>
        <v/>
      </c>
      <c r="J434" s="19" t="str">
        <f t="shared" si="137"/>
        <v/>
      </c>
      <c r="K434" s="19" t="str">
        <f t="shared" si="138"/>
        <v/>
      </c>
      <c r="L434" s="19" t="str">
        <f t="shared" si="139"/>
        <v/>
      </c>
      <c r="M434" s="19"/>
      <c r="N434" s="22" t="str">
        <f t="shared" si="140"/>
        <v>non ancora confermato</v>
      </c>
      <c r="O434" s="31"/>
    </row>
    <row r="435" spans="1:16" hidden="1">
      <c r="A435" s="7" t="s">
        <v>2694</v>
      </c>
      <c r="B435" s="44">
        <v>45746</v>
      </c>
      <c r="C435" s="42" t="s">
        <v>1047</v>
      </c>
      <c r="D435" s="4">
        <f>(19188.09-$D$55-$D$131)/2</f>
        <v>5094.0450000000001</v>
      </c>
      <c r="E435" s="65" t="s">
        <v>2427</v>
      </c>
      <c r="G435" t="s">
        <v>296</v>
      </c>
      <c r="H435" s="19" t="str">
        <f t="shared" si="135"/>
        <v/>
      </c>
      <c r="I435" s="19" t="str">
        <f t="shared" si="136"/>
        <v/>
      </c>
      <c r="J435" s="19" t="str">
        <f t="shared" si="137"/>
        <v/>
      </c>
      <c r="K435" s="19" t="str">
        <f t="shared" si="138"/>
        <v/>
      </c>
      <c r="L435" s="19" t="str">
        <f t="shared" si="139"/>
        <v/>
      </c>
      <c r="M435" s="19"/>
      <c r="N435" s="22" t="str">
        <f t="shared" si="140"/>
        <v>non ancora confermato</v>
      </c>
      <c r="O435" s="31"/>
    </row>
    <row r="436" spans="1:16" ht="20.100000000000001" hidden="1" customHeight="1">
      <c r="A436" s="7" t="s">
        <v>2694</v>
      </c>
      <c r="B436" s="44" t="s">
        <v>2439</v>
      </c>
      <c r="C436" t="s">
        <v>2436</v>
      </c>
      <c r="D436" s="4">
        <v>5000</v>
      </c>
      <c r="E436" s="65" t="s">
        <v>2427</v>
      </c>
      <c r="G436" t="s">
        <v>345</v>
      </c>
      <c r="H436" s="19" t="str">
        <f t="shared" si="135"/>
        <v/>
      </c>
      <c r="I436" s="19" t="str">
        <f t="shared" si="136"/>
        <v/>
      </c>
      <c r="J436" s="19" t="str">
        <f t="shared" si="137"/>
        <v/>
      </c>
      <c r="K436" s="19" t="str">
        <f t="shared" si="138"/>
        <v/>
      </c>
      <c r="L436" s="19" t="str">
        <f t="shared" si="139"/>
        <v/>
      </c>
      <c r="M436" s="19"/>
      <c r="N436" s="22" t="str">
        <f t="shared" si="140"/>
        <v>non ancora confermato</v>
      </c>
      <c r="O436" s="31"/>
    </row>
    <row r="437" spans="1:16" hidden="1">
      <c r="A437" s="7" t="s">
        <v>2694</v>
      </c>
      <c r="B437" s="44" t="s">
        <v>2439</v>
      </c>
      <c r="C437" t="s">
        <v>2144</v>
      </c>
      <c r="D437" s="4">
        <f>(8150-2450)/5</f>
        <v>1140</v>
      </c>
      <c r="E437" s="65" t="s">
        <v>2427</v>
      </c>
      <c r="F437" s="48" t="s">
        <v>2431</v>
      </c>
      <c r="G437" t="s">
        <v>345</v>
      </c>
      <c r="H437" s="19" t="str">
        <f t="shared" si="135"/>
        <v/>
      </c>
      <c r="I437" s="19" t="str">
        <f t="shared" si="136"/>
        <v/>
      </c>
      <c r="J437" s="19" t="str">
        <f t="shared" si="137"/>
        <v/>
      </c>
      <c r="K437" s="19" t="str">
        <f t="shared" si="138"/>
        <v/>
      </c>
      <c r="L437" s="19" t="str">
        <f t="shared" si="139"/>
        <v/>
      </c>
      <c r="M437" s="19"/>
      <c r="N437" s="22" t="str">
        <f t="shared" si="140"/>
        <v>non ancora confermato</v>
      </c>
      <c r="O437" s="31"/>
    </row>
    <row r="438" spans="1:16" ht="30" hidden="1" customHeight="1">
      <c r="A438" s="13"/>
      <c r="B438" s="53"/>
      <c r="C438" s="9"/>
      <c r="D438" s="10"/>
      <c r="F438" s="45" t="s">
        <v>2516</v>
      </c>
      <c r="G438" s="19">
        <f>SUMIF(E414:E437, "E", D414:D437)</f>
        <v>0</v>
      </c>
      <c r="H438" s="18" t="s">
        <v>2517</v>
      </c>
      <c r="I438" s="12">
        <f>SUMIF(E414:E437, "U", D414:D437)</f>
        <v>117376.45166666666</v>
      </c>
      <c r="J438" s="16" t="s">
        <v>2518</v>
      </c>
      <c r="K438" s="19">
        <f>G438-I438</f>
        <v>-117376.45166666666</v>
      </c>
      <c r="L438" s="18" t="s">
        <v>2519</v>
      </c>
      <c r="M438" s="18"/>
      <c r="N438" s="19">
        <f>N413+D413</f>
        <v>-114397.72166666665</v>
      </c>
      <c r="O438" s="31"/>
    </row>
    <row r="439" spans="1:16" ht="20.100000000000001" hidden="1" customHeight="1">
      <c r="A439" s="23" t="s">
        <v>2696</v>
      </c>
      <c r="B439" s="52"/>
      <c r="C439" s="24"/>
      <c r="D439" s="27">
        <f>SUMPRODUCT((A440:A452="April 2026")*(E440:E452="E")*D440:D452) - SUMPRODUCT((A440:A452="April 2026")*(E440:E452="U")*D440:D452)</f>
        <v>-76670.046666666662</v>
      </c>
      <c r="E439" s="46"/>
      <c r="F439" s="47"/>
      <c r="G439" s="24" t="s">
        <v>2509</v>
      </c>
      <c r="H439" s="26">
        <f>SUM(H413:H437)</f>
        <v>-2.8900000000000006</v>
      </c>
      <c r="I439" s="26">
        <f>SUM(I413:I437)</f>
        <v>24.53</v>
      </c>
      <c r="J439" s="26">
        <f>SUM(J413:J437)</f>
        <v>34.39</v>
      </c>
      <c r="K439" s="26">
        <f>SUM(K413:K437)</f>
        <v>823.6900000000046</v>
      </c>
      <c r="L439" s="26">
        <f>SUM(L413:L437)</f>
        <v>923.23</v>
      </c>
      <c r="M439" s="26"/>
      <c r="N439" s="26">
        <f>SUM(H439:L439)</f>
        <v>1802.9500000000046</v>
      </c>
      <c r="O439" s="35" t="s">
        <v>2522</v>
      </c>
      <c r="P439" s="38">
        <f>P413+K438</f>
        <v>-291866.07</v>
      </c>
    </row>
    <row r="440" spans="1:16" ht="20.100000000000001" hidden="1" customHeight="1">
      <c r="A440" s="7" t="s">
        <v>2697</v>
      </c>
      <c r="B440" s="44" t="s">
        <v>2698</v>
      </c>
      <c r="C440" t="s">
        <v>2441</v>
      </c>
      <c r="D440" s="4">
        <v>8900</v>
      </c>
      <c r="E440" s="65" t="s">
        <v>2427</v>
      </c>
      <c r="F440" s="48" t="s">
        <v>2431</v>
      </c>
      <c r="G440" t="s">
        <v>2435</v>
      </c>
      <c r="H440" s="19" t="str">
        <f t="shared" ref="H440:H452" si="142">IF(AND($F440="X",$G440="BCC"),IF($E440="U",-$D440,$D440),"")</f>
        <v/>
      </c>
      <c r="I440" s="19" t="str">
        <f t="shared" ref="I440:I452" si="143">IF(AND($F440="X",$G440="INTESA"),IF($E440="U",-$D440,$D440),"")</f>
        <v/>
      </c>
      <c r="J440" s="19" t="str">
        <f t="shared" ref="J440:J452" si="144">IF(AND($F440="X",$G440="BPM"),IF($E440="U",-$D440,$D440),"")</f>
        <v/>
      </c>
      <c r="K440" s="19" t="str">
        <f t="shared" ref="K440:K452" si="145">IF(AND($F440="X",$G440="SONDRIO"),IF($E440="U",-$D440,$D440),"")</f>
        <v/>
      </c>
      <c r="L440" s="19" t="str">
        <f t="shared" ref="L440:L452" si="146">IF(AND($F440="X",$G440="BPER"),IF($E440="U",-$D440,$D440),"")</f>
        <v/>
      </c>
      <c r="M440" s="19"/>
      <c r="N440" s="22" t="str">
        <f t="shared" ref="N440:N452" si="147">IF(F440="X",IF(E440="U",-D440,D440),"non ancora confermato")</f>
        <v>non ancora confermato</v>
      </c>
      <c r="O440" s="31"/>
    </row>
    <row r="441" spans="1:16" ht="20.100000000000001" hidden="1" customHeight="1">
      <c r="A441" s="7" t="s">
        <v>2697</v>
      </c>
      <c r="B441" s="44">
        <v>46122</v>
      </c>
      <c r="C441" s="42" t="s">
        <v>2231</v>
      </c>
      <c r="D441" s="4">
        <v>2500</v>
      </c>
      <c r="E441" s="65" t="s">
        <v>2427</v>
      </c>
      <c r="F441" s="160" t="s">
        <v>2431</v>
      </c>
      <c r="G441" t="s">
        <v>2435</v>
      </c>
      <c r="H441" s="19" t="str">
        <f t="shared" si="142"/>
        <v/>
      </c>
      <c r="I441" s="19" t="str">
        <f t="shared" si="143"/>
        <v/>
      </c>
      <c r="J441" s="19" t="str">
        <f t="shared" si="144"/>
        <v/>
      </c>
      <c r="K441" s="19" t="str">
        <f t="shared" si="145"/>
        <v/>
      </c>
      <c r="L441" s="19" t="str">
        <f t="shared" si="146"/>
        <v/>
      </c>
      <c r="M441" s="19"/>
      <c r="N441" s="22" t="str">
        <f t="shared" si="147"/>
        <v>non ancora confermato</v>
      </c>
      <c r="O441" s="31"/>
    </row>
    <row r="442" spans="1:16" ht="20.100000000000001" hidden="1" customHeight="1">
      <c r="A442" s="7" t="s">
        <v>2697</v>
      </c>
      <c r="B442" s="44">
        <v>46122</v>
      </c>
      <c r="C442" t="s">
        <v>2164</v>
      </c>
      <c r="D442" s="4">
        <v>1175.78</v>
      </c>
      <c r="E442" s="65" t="s">
        <v>2427</v>
      </c>
      <c r="G442" t="s">
        <v>345</v>
      </c>
      <c r="H442" s="19" t="str">
        <f t="shared" si="142"/>
        <v/>
      </c>
      <c r="I442" s="19" t="str">
        <f t="shared" si="143"/>
        <v/>
      </c>
      <c r="J442" s="19" t="str">
        <f t="shared" si="144"/>
        <v/>
      </c>
      <c r="K442" s="19" t="str">
        <f t="shared" si="145"/>
        <v/>
      </c>
      <c r="L442" s="19" t="str">
        <f t="shared" si="146"/>
        <v/>
      </c>
      <c r="M442" s="19"/>
      <c r="N442" s="22" t="str">
        <f t="shared" si="147"/>
        <v>non ancora confermato</v>
      </c>
      <c r="O442" s="31"/>
    </row>
    <row r="443" spans="1:16" s="9" customFormat="1" ht="33" hidden="1" customHeight="1">
      <c r="A443" s="7" t="s">
        <v>2697</v>
      </c>
      <c r="B443" s="44" t="s">
        <v>2699</v>
      </c>
      <c r="C443" t="s">
        <v>2446</v>
      </c>
      <c r="D443" s="4">
        <v>10000</v>
      </c>
      <c r="E443" s="65" t="s">
        <v>2427</v>
      </c>
      <c r="F443" s="48" t="s">
        <v>2431</v>
      </c>
      <c r="G443" t="s">
        <v>2435</v>
      </c>
      <c r="H443" s="19" t="str">
        <f t="shared" si="142"/>
        <v/>
      </c>
      <c r="I443" s="19" t="str">
        <f t="shared" si="143"/>
        <v/>
      </c>
      <c r="J443" s="19" t="str">
        <f t="shared" si="144"/>
        <v/>
      </c>
      <c r="K443" s="19" t="str">
        <f t="shared" si="145"/>
        <v/>
      </c>
      <c r="L443" s="19" t="str">
        <f t="shared" si="146"/>
        <v/>
      </c>
      <c r="M443" s="19"/>
      <c r="N443" s="22" t="str">
        <f t="shared" si="147"/>
        <v>non ancora confermato</v>
      </c>
      <c r="O443" s="31"/>
    </row>
    <row r="444" spans="1:16" s="9" customFormat="1" ht="33" hidden="1" customHeight="1">
      <c r="A444" s="7" t="s">
        <v>2697</v>
      </c>
      <c r="B444" s="44" t="s">
        <v>2699</v>
      </c>
      <c r="C444" t="s">
        <v>2270</v>
      </c>
      <c r="D444" s="4">
        <f>(105000-$D$57-$D$144)/6</f>
        <v>13166.666666666666</v>
      </c>
      <c r="E444" s="65" t="s">
        <v>2427</v>
      </c>
      <c r="F444" s="48"/>
      <c r="G444" t="s">
        <v>2435</v>
      </c>
      <c r="H444" s="19" t="str">
        <f t="shared" si="142"/>
        <v/>
      </c>
      <c r="I444" s="19" t="str">
        <f t="shared" si="143"/>
        <v/>
      </c>
      <c r="J444" s="19" t="str">
        <f t="shared" si="144"/>
        <v/>
      </c>
      <c r="K444" s="19" t="str">
        <f t="shared" si="145"/>
        <v/>
      </c>
      <c r="L444" s="19" t="str">
        <f t="shared" si="146"/>
        <v/>
      </c>
      <c r="M444" s="19"/>
      <c r="N444" s="22" t="str">
        <f t="shared" si="147"/>
        <v>non ancora confermato</v>
      </c>
      <c r="O444" s="31"/>
    </row>
    <row r="445" spans="1:16" hidden="1">
      <c r="A445" s="7" t="s">
        <v>2653</v>
      </c>
      <c r="B445" s="44">
        <v>46016</v>
      </c>
      <c r="C445" t="s">
        <v>2446</v>
      </c>
      <c r="D445" s="4">
        <f>8000/4</f>
        <v>2000</v>
      </c>
      <c r="E445" s="65" t="s">
        <v>2427</v>
      </c>
      <c r="F445" s="160" t="s">
        <v>2431</v>
      </c>
      <c r="G445" t="s">
        <v>296</v>
      </c>
      <c r="H445" s="19" t="str">
        <f t="shared" si="142"/>
        <v/>
      </c>
      <c r="I445" s="19" t="str">
        <f t="shared" si="143"/>
        <v/>
      </c>
      <c r="J445" s="19" t="str">
        <f t="shared" si="144"/>
        <v/>
      </c>
      <c r="K445" s="19" t="str">
        <f t="shared" si="145"/>
        <v/>
      </c>
      <c r="L445" s="19" t="str">
        <f t="shared" si="146"/>
        <v/>
      </c>
      <c r="M445" s="19"/>
      <c r="N445" s="22" t="str">
        <f t="shared" si="147"/>
        <v>non ancora confermato</v>
      </c>
      <c r="O445" s="31" t="s">
        <v>2449</v>
      </c>
    </row>
    <row r="446" spans="1:16" hidden="1">
      <c r="A446" s="7" t="s">
        <v>2697</v>
      </c>
      <c r="B446" s="44">
        <v>45777</v>
      </c>
      <c r="C446" t="s">
        <v>2303</v>
      </c>
      <c r="D446" s="4">
        <f>40000/5</f>
        <v>8000</v>
      </c>
      <c r="E446" s="65" t="s">
        <v>2427</v>
      </c>
      <c r="F446" s="48" t="s">
        <v>2431</v>
      </c>
      <c r="G446" t="s">
        <v>2435</v>
      </c>
      <c r="H446" s="19" t="str">
        <f t="shared" si="142"/>
        <v/>
      </c>
      <c r="I446" s="19" t="str">
        <f t="shared" si="143"/>
        <v/>
      </c>
      <c r="J446" s="19" t="str">
        <f t="shared" si="144"/>
        <v/>
      </c>
      <c r="K446" s="19" t="str">
        <f t="shared" si="145"/>
        <v/>
      </c>
      <c r="L446" s="19" t="str">
        <f t="shared" si="146"/>
        <v/>
      </c>
      <c r="M446" s="19"/>
      <c r="N446" s="22" t="str">
        <f t="shared" si="147"/>
        <v>non ancora confermato</v>
      </c>
      <c r="O446" s="31"/>
    </row>
    <row r="447" spans="1:16" s="9" customFormat="1" ht="33" hidden="1" customHeight="1">
      <c r="A447" s="7" t="s">
        <v>2697</v>
      </c>
      <c r="B447" s="44" t="s">
        <v>2699</v>
      </c>
      <c r="C447" t="s">
        <v>2200</v>
      </c>
      <c r="D447" s="4">
        <f>(20000-$D$40-$D$156)/4</f>
        <v>3425</v>
      </c>
      <c r="E447" s="65" t="s">
        <v>2427</v>
      </c>
      <c r="F447" s="48"/>
      <c r="G447" t="s">
        <v>296</v>
      </c>
      <c r="H447" s="19" t="str">
        <f t="shared" si="142"/>
        <v/>
      </c>
      <c r="I447" s="19" t="str">
        <f t="shared" si="143"/>
        <v/>
      </c>
      <c r="J447" s="19" t="str">
        <f t="shared" si="144"/>
        <v/>
      </c>
      <c r="K447" s="19" t="str">
        <f t="shared" si="145"/>
        <v/>
      </c>
      <c r="L447" s="19" t="str">
        <f t="shared" si="146"/>
        <v/>
      </c>
      <c r="M447" s="19"/>
      <c r="N447" s="22" t="str">
        <f t="shared" si="147"/>
        <v>non ancora confermato</v>
      </c>
      <c r="O447" s="31"/>
    </row>
    <row r="448" spans="1:16" s="9" customFormat="1" ht="33" hidden="1" customHeight="1">
      <c r="A448" s="7" t="s">
        <v>2697</v>
      </c>
      <c r="B448" s="44" t="s">
        <v>2699</v>
      </c>
      <c r="C448" t="s">
        <v>2180</v>
      </c>
      <c r="D448" s="4">
        <f>60000/6</f>
        <v>10000</v>
      </c>
      <c r="E448" s="65" t="s">
        <v>2427</v>
      </c>
      <c r="F448" s="48" t="s">
        <v>2431</v>
      </c>
      <c r="G448" t="s">
        <v>345</v>
      </c>
      <c r="H448" s="19" t="str">
        <f t="shared" si="142"/>
        <v/>
      </c>
      <c r="I448" s="19" t="str">
        <f t="shared" si="143"/>
        <v/>
      </c>
      <c r="J448" s="19" t="str">
        <f t="shared" si="144"/>
        <v/>
      </c>
      <c r="K448" s="19" t="str">
        <f t="shared" si="145"/>
        <v/>
      </c>
      <c r="L448" s="19" t="str">
        <f t="shared" si="146"/>
        <v/>
      </c>
      <c r="M448" s="19"/>
      <c r="N448" s="22" t="str">
        <f t="shared" si="147"/>
        <v>non ancora confermato</v>
      </c>
      <c r="O448" s="31"/>
    </row>
    <row r="449" spans="1:16" ht="20.100000000000001" hidden="1" customHeight="1">
      <c r="A449" s="7" t="s">
        <v>2697</v>
      </c>
      <c r="B449" s="44" t="s">
        <v>2699</v>
      </c>
      <c r="C449" t="s">
        <v>2656</v>
      </c>
      <c r="D449" s="4">
        <v>7500</v>
      </c>
      <c r="E449" s="65" t="s">
        <v>2427</v>
      </c>
      <c r="F449" s="48" t="s">
        <v>2431</v>
      </c>
      <c r="G449" t="s">
        <v>2435</v>
      </c>
      <c r="H449" s="19" t="str">
        <f t="shared" si="142"/>
        <v/>
      </c>
      <c r="I449" s="19" t="str">
        <f t="shared" si="143"/>
        <v/>
      </c>
      <c r="J449" s="19" t="str">
        <f t="shared" si="144"/>
        <v/>
      </c>
      <c r="K449" s="19" t="str">
        <f t="shared" si="145"/>
        <v/>
      </c>
      <c r="L449" s="19" t="str">
        <f t="shared" si="146"/>
        <v/>
      </c>
      <c r="M449" s="19"/>
      <c r="N449" s="22" t="str">
        <f t="shared" si="147"/>
        <v>non ancora confermato</v>
      </c>
      <c r="O449" s="31"/>
    </row>
    <row r="450" spans="1:16" ht="20.100000000000001" hidden="1" customHeight="1">
      <c r="A450" s="7" t="s">
        <v>2697</v>
      </c>
      <c r="B450" s="44" t="s">
        <v>2699</v>
      </c>
      <c r="C450" t="s">
        <v>2440</v>
      </c>
      <c r="D450" s="4">
        <v>6500</v>
      </c>
      <c r="E450" s="65" t="s">
        <v>2427</v>
      </c>
      <c r="F450" s="48" t="s">
        <v>2431</v>
      </c>
      <c r="G450" t="s">
        <v>296</v>
      </c>
      <c r="H450" s="19" t="str">
        <f t="shared" si="142"/>
        <v/>
      </c>
      <c r="I450" s="19" t="str">
        <f t="shared" si="143"/>
        <v/>
      </c>
      <c r="J450" s="19" t="str">
        <f t="shared" si="144"/>
        <v/>
      </c>
      <c r="K450" s="19" t="str">
        <f t="shared" si="145"/>
        <v/>
      </c>
      <c r="L450" s="19" t="str">
        <f t="shared" si="146"/>
        <v/>
      </c>
      <c r="M450" s="19"/>
      <c r="N450" s="22" t="str">
        <f t="shared" si="147"/>
        <v>non ancora confermato</v>
      </c>
      <c r="O450" s="31"/>
    </row>
    <row r="451" spans="1:16" ht="20.100000000000001" hidden="1" customHeight="1">
      <c r="A451" s="7" t="s">
        <v>2697</v>
      </c>
      <c r="B451" s="44" t="s">
        <v>2699</v>
      </c>
      <c r="C451" t="s">
        <v>2436</v>
      </c>
      <c r="D451" s="4">
        <v>5000</v>
      </c>
      <c r="E451" s="65" t="s">
        <v>2427</v>
      </c>
      <c r="G451" t="s">
        <v>345</v>
      </c>
      <c r="H451" s="19" t="str">
        <f t="shared" si="142"/>
        <v/>
      </c>
      <c r="I451" s="19" t="str">
        <f t="shared" si="143"/>
        <v/>
      </c>
      <c r="J451" s="19" t="str">
        <f t="shared" si="144"/>
        <v/>
      </c>
      <c r="K451" s="19" t="str">
        <f t="shared" si="145"/>
        <v/>
      </c>
      <c r="L451" s="19" t="str">
        <f t="shared" si="146"/>
        <v/>
      </c>
      <c r="M451" s="19"/>
      <c r="N451" s="22" t="str">
        <f t="shared" si="147"/>
        <v>non ancora confermato</v>
      </c>
      <c r="O451" s="31"/>
    </row>
    <row r="452" spans="1:16" ht="20.100000000000001" hidden="1" customHeight="1">
      <c r="A452" s="7" t="s">
        <v>2697</v>
      </c>
      <c r="B452" s="44" t="s">
        <v>2701</v>
      </c>
      <c r="C452" t="s">
        <v>2444</v>
      </c>
      <c r="D452" s="4">
        <v>502.6</v>
      </c>
      <c r="E452" s="65" t="s">
        <v>2427</v>
      </c>
      <c r="F452" s="48" t="s">
        <v>2431</v>
      </c>
      <c r="G452" t="s">
        <v>2434</v>
      </c>
      <c r="H452" s="19" t="str">
        <f t="shared" si="142"/>
        <v/>
      </c>
      <c r="I452" s="19" t="str">
        <f t="shared" si="143"/>
        <v/>
      </c>
      <c r="J452" s="19" t="str">
        <f t="shared" si="144"/>
        <v/>
      </c>
      <c r="K452" s="19" t="str">
        <f t="shared" si="145"/>
        <v/>
      </c>
      <c r="L452" s="19" t="str">
        <f t="shared" si="146"/>
        <v/>
      </c>
      <c r="M452" s="19"/>
      <c r="N452" s="22" t="str">
        <f t="shared" si="147"/>
        <v>non ancora confermato</v>
      </c>
      <c r="O452" s="31"/>
    </row>
    <row r="453" spans="1:16" ht="30" hidden="1" customHeight="1">
      <c r="A453" s="13"/>
      <c r="B453" s="53"/>
      <c r="C453" s="9"/>
      <c r="D453" s="10"/>
      <c r="F453" s="45" t="s">
        <v>2516</v>
      </c>
      <c r="G453" s="19">
        <f>SUMIF(E440:E452, "E", D440:D452)</f>
        <v>0</v>
      </c>
      <c r="H453" s="18" t="s">
        <v>2517</v>
      </c>
      <c r="I453" s="12">
        <f>SUMIF(E440:E452, "U", D440:D452)</f>
        <v>78670.046666666662</v>
      </c>
      <c r="J453" s="16" t="s">
        <v>2518</v>
      </c>
      <c r="K453" s="19">
        <f>G453-I453</f>
        <v>-78670.046666666662</v>
      </c>
      <c r="L453" s="18" t="s">
        <v>2519</v>
      </c>
      <c r="M453" s="18"/>
      <c r="N453" s="19">
        <f>N439+D439</f>
        <v>-74867.09666666665</v>
      </c>
      <c r="O453" s="31"/>
    </row>
    <row r="454" spans="1:16" ht="20.100000000000001" hidden="1" customHeight="1">
      <c r="A454" s="23" t="s">
        <v>2702</v>
      </c>
      <c r="B454" s="52"/>
      <c r="C454" s="24"/>
      <c r="D454" s="27">
        <f>SUMPRODUCT((A455:A466="May 2026")*(E455:E466="E")*D455:D466) - SUMPRODUCT((A455:A466="May 2026")*(E455:E466="U")*D455:D466)</f>
        <v>-74774.266666666663</v>
      </c>
      <c r="E454" s="46"/>
      <c r="F454" s="47"/>
      <c r="G454" s="24" t="s">
        <v>2509</v>
      </c>
      <c r="H454" s="26">
        <f>SUM(H439:H452)</f>
        <v>-2.8900000000000006</v>
      </c>
      <c r="I454" s="26">
        <f>SUM(I439:I452)</f>
        <v>24.53</v>
      </c>
      <c r="J454" s="26">
        <f>SUM(J439:J452)</f>
        <v>34.39</v>
      </c>
      <c r="K454" s="26">
        <f>SUM(K439:K452)</f>
        <v>823.6900000000046</v>
      </c>
      <c r="L454" s="26">
        <f>SUM(L439:L452)</f>
        <v>923.23</v>
      </c>
      <c r="M454" s="26"/>
      <c r="N454" s="26">
        <f>SUM(H454:L454)</f>
        <v>1802.9500000000046</v>
      </c>
      <c r="O454" s="35" t="s">
        <v>2522</v>
      </c>
      <c r="P454" s="38">
        <f>P439+K453</f>
        <v>-370536.1166666667</v>
      </c>
    </row>
    <row r="455" spans="1:16" ht="20.100000000000001" hidden="1" customHeight="1">
      <c r="A455" s="7" t="s">
        <v>2703</v>
      </c>
      <c r="B455" s="44" t="s">
        <v>2704</v>
      </c>
      <c r="C455" t="s">
        <v>2446</v>
      </c>
      <c r="D455" s="4">
        <v>10000</v>
      </c>
      <c r="E455" s="65" t="s">
        <v>2427</v>
      </c>
      <c r="F455" s="48" t="s">
        <v>2431</v>
      </c>
      <c r="G455" t="s">
        <v>2435</v>
      </c>
      <c r="H455" s="19" t="str">
        <f t="shared" ref="H455:H466" si="148">IF(AND($F455="X",$G455="BCC"),IF($E455="U",-$D455,$D455),"")</f>
        <v/>
      </c>
      <c r="I455" s="19" t="str">
        <f t="shared" ref="I455:I466" si="149">IF(AND($F455="X",$G455="INTESA"),IF($E455="U",-$D455,$D455),"")</f>
        <v/>
      </c>
      <c r="J455" s="19" t="str">
        <f t="shared" ref="J455:J466" si="150">IF(AND($F455="X",$G455="BPM"),IF($E455="U",-$D455,$D455),"")</f>
        <v/>
      </c>
      <c r="K455" s="19" t="str">
        <f t="shared" ref="K455:K466" si="151">IF(AND($F455="X",$G455="SONDRIO"),IF($E455="U",-$D455,$D455),"")</f>
        <v/>
      </c>
      <c r="L455" s="19" t="str">
        <f t="shared" ref="L455:L466" si="152">IF(AND($F455="X",$G455="BPER"),IF($E455="U",-$D455,$D455),"")</f>
        <v/>
      </c>
      <c r="M455" s="19"/>
      <c r="N455" s="22" t="str">
        <f t="shared" ref="N455:N466" si="153">IF(F455="X",IF(E455="U",-D455,D455),"non ancora confermato")</f>
        <v>non ancora confermato</v>
      </c>
      <c r="O455" s="31"/>
    </row>
    <row r="456" spans="1:16" ht="20.100000000000001" hidden="1" customHeight="1">
      <c r="A456" s="7" t="s">
        <v>2703</v>
      </c>
      <c r="B456" s="44" t="s">
        <v>2704</v>
      </c>
      <c r="C456" s="42" t="s">
        <v>2231</v>
      </c>
      <c r="D456" s="4">
        <v>2500</v>
      </c>
      <c r="E456" s="65" t="s">
        <v>2427</v>
      </c>
      <c r="F456" s="160" t="s">
        <v>2431</v>
      </c>
      <c r="G456" t="s">
        <v>2435</v>
      </c>
      <c r="H456" s="19" t="str">
        <f t="shared" si="148"/>
        <v/>
      </c>
      <c r="I456" s="19" t="str">
        <f t="shared" si="149"/>
        <v/>
      </c>
      <c r="J456" s="19" t="str">
        <f t="shared" si="150"/>
        <v/>
      </c>
      <c r="K456" s="19" t="str">
        <f t="shared" si="151"/>
        <v/>
      </c>
      <c r="L456" s="19" t="str">
        <f t="shared" si="152"/>
        <v/>
      </c>
      <c r="M456" s="19"/>
      <c r="N456" s="22" t="str">
        <f t="shared" si="153"/>
        <v>non ancora confermato</v>
      </c>
      <c r="O456" s="31"/>
    </row>
    <row r="457" spans="1:16" s="9" customFormat="1" ht="33" hidden="1" customHeight="1">
      <c r="A457" s="7" t="s">
        <v>2703</v>
      </c>
      <c r="B457" s="44" t="s">
        <v>2704</v>
      </c>
      <c r="C457" t="s">
        <v>2656</v>
      </c>
      <c r="D457" s="4">
        <v>7500</v>
      </c>
      <c r="E457" s="65" t="s">
        <v>2427</v>
      </c>
      <c r="F457" s="48" t="s">
        <v>2431</v>
      </c>
      <c r="G457" t="s">
        <v>2435</v>
      </c>
      <c r="H457" s="19" t="str">
        <f t="shared" si="148"/>
        <v/>
      </c>
      <c r="I457" s="19" t="str">
        <f t="shared" si="149"/>
        <v/>
      </c>
      <c r="J457" s="19" t="str">
        <f t="shared" si="150"/>
        <v/>
      </c>
      <c r="K457" s="19" t="str">
        <f t="shared" si="151"/>
        <v/>
      </c>
      <c r="L457" s="19" t="str">
        <f t="shared" si="152"/>
        <v/>
      </c>
      <c r="M457" s="19"/>
      <c r="N457" s="22" t="str">
        <f t="shared" si="153"/>
        <v>non ancora confermato</v>
      </c>
      <c r="O457" s="31"/>
    </row>
    <row r="458" spans="1:16" ht="20.100000000000001" hidden="1" customHeight="1">
      <c r="A458" s="7" t="s">
        <v>2703</v>
      </c>
      <c r="B458" s="44" t="s">
        <v>2704</v>
      </c>
      <c r="C458" t="s">
        <v>2270</v>
      </c>
      <c r="D458" s="4">
        <f>(105000-$D$57-$D$144)/6+1180</f>
        <v>14346.666666666666</v>
      </c>
      <c r="E458" s="65" t="s">
        <v>2427</v>
      </c>
      <c r="G458" t="s">
        <v>2435</v>
      </c>
      <c r="H458" s="19" t="str">
        <f t="shared" si="148"/>
        <v/>
      </c>
      <c r="I458" s="19" t="str">
        <f t="shared" si="149"/>
        <v/>
      </c>
      <c r="J458" s="19" t="str">
        <f t="shared" si="150"/>
        <v/>
      </c>
      <c r="K458" s="19" t="str">
        <f t="shared" si="151"/>
        <v/>
      </c>
      <c r="L458" s="19" t="str">
        <f t="shared" si="152"/>
        <v/>
      </c>
      <c r="M458" s="19"/>
      <c r="N458" s="22" t="str">
        <f t="shared" si="153"/>
        <v>non ancora confermato</v>
      </c>
      <c r="O458" s="31"/>
    </row>
    <row r="459" spans="1:16" hidden="1">
      <c r="A459" s="7" t="s">
        <v>2703</v>
      </c>
      <c r="B459" s="44">
        <v>46172</v>
      </c>
      <c r="C459" t="s">
        <v>2424</v>
      </c>
      <c r="D459" s="4">
        <f>12500/5</f>
        <v>2500</v>
      </c>
      <c r="E459" s="65" t="s">
        <v>2427</v>
      </c>
      <c r="F459" s="48" t="s">
        <v>2431</v>
      </c>
      <c r="G459" t="s">
        <v>296</v>
      </c>
      <c r="H459" s="19" t="str">
        <f t="shared" si="148"/>
        <v/>
      </c>
      <c r="I459" s="19" t="str">
        <f t="shared" si="149"/>
        <v/>
      </c>
      <c r="J459" s="19" t="str">
        <f t="shared" si="150"/>
        <v/>
      </c>
      <c r="K459" s="19" t="str">
        <f t="shared" si="151"/>
        <v/>
      </c>
      <c r="L459" s="19" t="str">
        <f t="shared" si="152"/>
        <v/>
      </c>
      <c r="M459" s="19"/>
      <c r="N459" s="22" t="str">
        <f t="shared" si="153"/>
        <v>non ancora confermato</v>
      </c>
      <c r="O459" s="31"/>
    </row>
    <row r="460" spans="1:16" ht="20.100000000000001" hidden="1" customHeight="1">
      <c r="A460" s="7" t="s">
        <v>2703</v>
      </c>
      <c r="B460" s="44" t="s">
        <v>2704</v>
      </c>
      <c r="C460" t="s">
        <v>2378</v>
      </c>
      <c r="D460" s="4">
        <f>(28000-$D$54-$D$143)/2</f>
        <v>5000</v>
      </c>
      <c r="E460" s="65" t="s">
        <v>2427</v>
      </c>
      <c r="G460" t="s">
        <v>345</v>
      </c>
      <c r="H460" s="19" t="str">
        <f t="shared" si="148"/>
        <v/>
      </c>
      <c r="I460" s="19" t="str">
        <f t="shared" si="149"/>
        <v/>
      </c>
      <c r="J460" s="19" t="str">
        <f t="shared" si="150"/>
        <v/>
      </c>
      <c r="K460" s="19" t="str">
        <f t="shared" si="151"/>
        <v/>
      </c>
      <c r="L460" s="19" t="str">
        <f t="shared" si="152"/>
        <v/>
      </c>
      <c r="M460" s="19"/>
      <c r="N460" s="22" t="str">
        <f t="shared" si="153"/>
        <v>non ancora confermato</v>
      </c>
      <c r="O460" s="31"/>
    </row>
    <row r="461" spans="1:16" ht="20.100000000000001" hidden="1" customHeight="1">
      <c r="A461" s="7" t="s">
        <v>2703</v>
      </c>
      <c r="B461" s="44" t="s">
        <v>2704</v>
      </c>
      <c r="C461" t="s">
        <v>2200</v>
      </c>
      <c r="D461" s="4">
        <f>(20000-$D$40-$D$156)/4</f>
        <v>3425</v>
      </c>
      <c r="E461" s="65" t="s">
        <v>2427</v>
      </c>
      <c r="G461" t="s">
        <v>296</v>
      </c>
      <c r="H461" s="19" t="str">
        <f t="shared" si="148"/>
        <v/>
      </c>
      <c r="I461" s="19" t="str">
        <f t="shared" si="149"/>
        <v/>
      </c>
      <c r="J461" s="19" t="str">
        <f t="shared" si="150"/>
        <v/>
      </c>
      <c r="K461" s="19" t="str">
        <f t="shared" si="151"/>
        <v/>
      </c>
      <c r="L461" s="19" t="str">
        <f t="shared" si="152"/>
        <v/>
      </c>
      <c r="M461" s="19"/>
      <c r="N461" s="22" t="str">
        <f t="shared" si="153"/>
        <v>non ancora confermato</v>
      </c>
      <c r="O461" s="31"/>
    </row>
    <row r="462" spans="1:16" ht="20.100000000000001" hidden="1" customHeight="1">
      <c r="A462" s="7" t="s">
        <v>2703</v>
      </c>
      <c r="B462" s="44" t="s">
        <v>2704</v>
      </c>
      <c r="C462" t="s">
        <v>2180</v>
      </c>
      <c r="D462" s="4">
        <f>60000/6</f>
        <v>10000</v>
      </c>
      <c r="E462" s="65" t="s">
        <v>2427</v>
      </c>
      <c r="F462" s="48" t="s">
        <v>2431</v>
      </c>
      <c r="G462" t="s">
        <v>345</v>
      </c>
      <c r="H462" s="19" t="str">
        <f t="shared" si="148"/>
        <v/>
      </c>
      <c r="I462" s="19" t="str">
        <f t="shared" si="149"/>
        <v/>
      </c>
      <c r="J462" s="19" t="str">
        <f t="shared" si="150"/>
        <v/>
      </c>
      <c r="K462" s="19" t="str">
        <f t="shared" si="151"/>
        <v/>
      </c>
      <c r="L462" s="19" t="str">
        <f t="shared" si="152"/>
        <v/>
      </c>
      <c r="M462" s="19"/>
      <c r="N462" s="22" t="str">
        <f t="shared" si="153"/>
        <v>non ancora confermato</v>
      </c>
      <c r="O462" s="31"/>
    </row>
    <row r="463" spans="1:16" ht="20.100000000000001" hidden="1" customHeight="1">
      <c r="A463" s="7" t="s">
        <v>2703</v>
      </c>
      <c r="B463" s="44" t="s">
        <v>2705</v>
      </c>
      <c r="C463" t="s">
        <v>2656</v>
      </c>
      <c r="D463" s="4">
        <v>7500</v>
      </c>
      <c r="E463" s="65" t="s">
        <v>2427</v>
      </c>
      <c r="F463" s="48" t="s">
        <v>2431</v>
      </c>
      <c r="G463" t="s">
        <v>2435</v>
      </c>
      <c r="H463" s="19" t="str">
        <f t="shared" si="148"/>
        <v/>
      </c>
      <c r="I463" s="19" t="str">
        <f t="shared" si="149"/>
        <v/>
      </c>
      <c r="J463" s="19" t="str">
        <f t="shared" si="150"/>
        <v/>
      </c>
      <c r="K463" s="19" t="str">
        <f t="shared" si="151"/>
        <v/>
      </c>
      <c r="L463" s="19" t="str">
        <f t="shared" si="152"/>
        <v/>
      </c>
      <c r="M463" s="19"/>
      <c r="N463" s="22" t="str">
        <f t="shared" si="153"/>
        <v>non ancora confermato</v>
      </c>
      <c r="O463" s="31"/>
    </row>
    <row r="464" spans="1:16" ht="20.100000000000001" hidden="1" customHeight="1">
      <c r="A464" s="7" t="s">
        <v>2703</v>
      </c>
      <c r="B464" s="44" t="s">
        <v>2705</v>
      </c>
      <c r="C464" t="s">
        <v>2440</v>
      </c>
      <c r="D464" s="4">
        <v>6500</v>
      </c>
      <c r="E464" s="65" t="s">
        <v>2427</v>
      </c>
      <c r="F464" s="48" t="s">
        <v>2431</v>
      </c>
      <c r="G464" t="s">
        <v>296</v>
      </c>
      <c r="H464" s="19" t="str">
        <f t="shared" si="148"/>
        <v/>
      </c>
      <c r="I464" s="19" t="str">
        <f t="shared" si="149"/>
        <v/>
      </c>
      <c r="J464" s="19" t="str">
        <f t="shared" si="150"/>
        <v/>
      </c>
      <c r="K464" s="19" t="str">
        <f t="shared" si="151"/>
        <v/>
      </c>
      <c r="L464" s="19" t="str">
        <f t="shared" si="152"/>
        <v/>
      </c>
      <c r="M464" s="19"/>
      <c r="N464" s="22" t="str">
        <f t="shared" si="153"/>
        <v>non ancora confermato</v>
      </c>
      <c r="O464" s="31"/>
    </row>
    <row r="465" spans="1:16" ht="20.100000000000001" hidden="1" customHeight="1">
      <c r="A465" s="7" t="s">
        <v>2703</v>
      </c>
      <c r="B465" s="44" t="s">
        <v>2705</v>
      </c>
      <c r="C465" t="s">
        <v>2436</v>
      </c>
      <c r="D465" s="4">
        <v>5000</v>
      </c>
      <c r="E465" s="65" t="s">
        <v>2427</v>
      </c>
      <c r="G465" t="s">
        <v>345</v>
      </c>
      <c r="H465" s="19" t="str">
        <f t="shared" si="148"/>
        <v/>
      </c>
      <c r="I465" s="19" t="str">
        <f t="shared" si="149"/>
        <v/>
      </c>
      <c r="J465" s="19" t="str">
        <f t="shared" si="150"/>
        <v/>
      </c>
      <c r="K465" s="19" t="str">
        <f t="shared" si="151"/>
        <v/>
      </c>
      <c r="L465" s="19" t="str">
        <f t="shared" si="152"/>
        <v/>
      </c>
      <c r="M465" s="19"/>
      <c r="N465" s="22" t="str">
        <f t="shared" si="153"/>
        <v>non ancora confermato</v>
      </c>
      <c r="O465" s="31"/>
    </row>
    <row r="466" spans="1:16" ht="20.100000000000001" hidden="1" customHeight="1">
      <c r="A466" s="7" t="s">
        <v>2703</v>
      </c>
      <c r="B466" s="44" t="s">
        <v>2705</v>
      </c>
      <c r="C466" t="s">
        <v>2444</v>
      </c>
      <c r="D466" s="4">
        <v>502.6</v>
      </c>
      <c r="E466" s="65" t="s">
        <v>2427</v>
      </c>
      <c r="F466" s="48" t="s">
        <v>2431</v>
      </c>
      <c r="G466" t="s">
        <v>2434</v>
      </c>
      <c r="H466" s="19" t="str">
        <f t="shared" si="148"/>
        <v/>
      </c>
      <c r="I466" s="19" t="str">
        <f t="shared" si="149"/>
        <v/>
      </c>
      <c r="J466" s="19" t="str">
        <f t="shared" si="150"/>
        <v/>
      </c>
      <c r="K466" s="19" t="str">
        <f t="shared" si="151"/>
        <v/>
      </c>
      <c r="L466" s="19" t="str">
        <f t="shared" si="152"/>
        <v/>
      </c>
      <c r="M466" s="19"/>
      <c r="N466" s="22" t="str">
        <f t="shared" si="153"/>
        <v>non ancora confermato</v>
      </c>
      <c r="O466" s="31"/>
    </row>
    <row r="467" spans="1:16" ht="30" hidden="1" customHeight="1">
      <c r="A467" s="13"/>
      <c r="B467" s="53"/>
      <c r="C467" s="9"/>
      <c r="D467" s="10"/>
      <c r="F467" s="45" t="s">
        <v>2516</v>
      </c>
      <c r="G467" s="19">
        <f>SUMIF(E455:E466, "E", D455:D466)</f>
        <v>0</v>
      </c>
      <c r="H467" s="18" t="s">
        <v>2517</v>
      </c>
      <c r="I467" s="12">
        <f>SUMIF(E455:E466, "U", D455:D466)</f>
        <v>74774.266666666663</v>
      </c>
      <c r="J467" s="16" t="s">
        <v>2518</v>
      </c>
      <c r="K467" s="19">
        <f>G467-I467</f>
        <v>-74774.266666666663</v>
      </c>
      <c r="L467" s="18" t="s">
        <v>2519</v>
      </c>
      <c r="M467" s="18"/>
      <c r="N467" s="19">
        <f>N454+D454</f>
        <v>-72971.316666666651</v>
      </c>
      <c r="O467" s="31"/>
    </row>
    <row r="468" spans="1:16" ht="20.100000000000001" hidden="1" customHeight="1">
      <c r="A468" s="23" t="s">
        <v>2706</v>
      </c>
      <c r="B468" s="52"/>
      <c r="C468" s="24"/>
      <c r="D468" s="25">
        <f>SUMPRODUCT((A469:A475="June 2026")*(E469:E475="E")*D469:D475) - SUMPRODUCT((A469:A475="June 2026")*(E469:E475="U")*D469:D475)</f>
        <v>-39502.6</v>
      </c>
      <c r="E468" s="66"/>
      <c r="F468" s="47"/>
      <c r="G468" s="24" t="s">
        <v>2509</v>
      </c>
      <c r="H468" s="26">
        <f>SUM(H454:H466)</f>
        <v>-2.8900000000000006</v>
      </c>
      <c r="I468" s="26">
        <f>SUM(I454:I466)</f>
        <v>24.53</v>
      </c>
      <c r="J468" s="26">
        <f>SUM(J454:J466)</f>
        <v>34.39</v>
      </c>
      <c r="K468" s="26">
        <f>SUM(K454:K466)</f>
        <v>823.6900000000046</v>
      </c>
      <c r="L468" s="26">
        <f>SUM(L454:L466)</f>
        <v>923.23</v>
      </c>
      <c r="M468" s="26"/>
      <c r="N468" s="26">
        <f>SUM(H468:L468)</f>
        <v>1802.9500000000046</v>
      </c>
      <c r="O468" s="35" t="s">
        <v>2522</v>
      </c>
      <c r="P468" s="38">
        <f>P454+K467</f>
        <v>-445310.38333333336</v>
      </c>
    </row>
    <row r="469" spans="1:16" s="9" customFormat="1" ht="33" hidden="1" customHeight="1">
      <c r="A469" s="7" t="s">
        <v>2707</v>
      </c>
      <c r="B469" s="44" t="s">
        <v>2708</v>
      </c>
      <c r="C469" t="s">
        <v>2446</v>
      </c>
      <c r="D469" s="4">
        <v>10000</v>
      </c>
      <c r="E469" s="65" t="s">
        <v>2427</v>
      </c>
      <c r="F469" s="48" t="s">
        <v>2431</v>
      </c>
      <c r="G469" t="s">
        <v>2435</v>
      </c>
      <c r="H469" s="19" t="str">
        <f t="shared" ref="H469:H475" si="154">IF(AND($F469="X",$G469="BCC"),IF($E469="U",-$D469,$D469),"")</f>
        <v/>
      </c>
      <c r="I469" s="19" t="str">
        <f t="shared" ref="I469:I475" si="155">IF(AND($F469="X",$G469="INTESA"),IF($E469="U",-$D469,$D469),"")</f>
        <v/>
      </c>
      <c r="J469" s="19" t="str">
        <f t="shared" ref="J469:J475" si="156">IF(AND($F469="X",$G469="BPM"),IF($E469="U",-$D469,$D469),"")</f>
        <v/>
      </c>
      <c r="K469" s="19" t="str">
        <f t="shared" ref="K469:K475" si="157">IF(AND($F469="X",$G469="SONDRIO"),IF($E469="U",-$D469,$D469),"")</f>
        <v/>
      </c>
      <c r="L469" s="19" t="str">
        <f t="shared" ref="L469:L475" si="158">IF(AND($F469="X",$G469="BPER"),IF($E469="U",-$D469,$D469),"")</f>
        <v/>
      </c>
      <c r="M469" s="19"/>
      <c r="N469" s="22" t="str">
        <f t="shared" ref="N469:N475" si="159">IF(F469="X",IF(E469="U",-D469,D469),"non ancora confermato")</f>
        <v>non ancora confermato</v>
      </c>
      <c r="O469" s="31"/>
    </row>
    <row r="470" spans="1:16" ht="20.100000000000001" hidden="1" customHeight="1">
      <c r="A470" s="7" t="s">
        <v>2707</v>
      </c>
      <c r="B470" s="44" t="s">
        <v>2709</v>
      </c>
      <c r="C470" t="s">
        <v>2444</v>
      </c>
      <c r="D470" s="4">
        <v>502.6</v>
      </c>
      <c r="E470" s="65" t="s">
        <v>2427</v>
      </c>
      <c r="F470" s="48" t="s">
        <v>2431</v>
      </c>
      <c r="G470" t="s">
        <v>2434</v>
      </c>
      <c r="H470" s="19" t="str">
        <f t="shared" si="154"/>
        <v/>
      </c>
      <c r="I470" s="19" t="str">
        <f t="shared" si="155"/>
        <v/>
      </c>
      <c r="J470" s="19" t="str">
        <f t="shared" si="156"/>
        <v/>
      </c>
      <c r="K470" s="19" t="str">
        <f t="shared" si="157"/>
        <v/>
      </c>
      <c r="L470" s="19" t="str">
        <f t="shared" si="158"/>
        <v/>
      </c>
      <c r="M470" s="19"/>
      <c r="N470" s="22" t="str">
        <f t="shared" si="159"/>
        <v>non ancora confermato</v>
      </c>
      <c r="O470" s="31"/>
    </row>
    <row r="471" spans="1:16" ht="20.100000000000001" hidden="1" customHeight="1">
      <c r="A471" s="7" t="s">
        <v>2653</v>
      </c>
      <c r="B471" s="44" t="s">
        <v>2655</v>
      </c>
      <c r="C471" t="s">
        <v>2270</v>
      </c>
      <c r="D471" s="4">
        <f>(105000-$D$57-$D$144)/6</f>
        <v>13166.666666666666</v>
      </c>
      <c r="E471" s="65" t="s">
        <v>2427</v>
      </c>
      <c r="F471" s="131"/>
      <c r="G471" t="s">
        <v>2435</v>
      </c>
      <c r="H471" s="19" t="str">
        <f t="shared" si="154"/>
        <v/>
      </c>
      <c r="I471" s="19" t="str">
        <f t="shared" si="155"/>
        <v/>
      </c>
      <c r="J471" s="19" t="str">
        <f t="shared" si="156"/>
        <v/>
      </c>
      <c r="K471" s="19" t="str">
        <f t="shared" si="157"/>
        <v/>
      </c>
      <c r="L471" s="19" t="str">
        <f t="shared" si="158"/>
        <v/>
      </c>
      <c r="M471" s="19" t="str">
        <f>IF(AND($F471="X",$G471="CASSA"),IF($E471="U",-$D471,$D471),"")</f>
        <v/>
      </c>
      <c r="N471" s="22" t="str">
        <f t="shared" si="159"/>
        <v>non ancora confermato</v>
      </c>
      <c r="O471" s="31"/>
    </row>
    <row r="472" spans="1:16" ht="20.100000000000001" hidden="1" customHeight="1">
      <c r="A472" s="7" t="s">
        <v>2707</v>
      </c>
      <c r="B472" s="44" t="s">
        <v>2709</v>
      </c>
      <c r="C472" t="s">
        <v>2180</v>
      </c>
      <c r="D472" s="4">
        <f>60000/6</f>
        <v>10000</v>
      </c>
      <c r="E472" s="65" t="s">
        <v>2427</v>
      </c>
      <c r="F472" s="48" t="s">
        <v>2431</v>
      </c>
      <c r="G472" t="s">
        <v>345</v>
      </c>
      <c r="H472" s="19" t="str">
        <f t="shared" si="154"/>
        <v/>
      </c>
      <c r="I472" s="19" t="str">
        <f t="shared" si="155"/>
        <v/>
      </c>
      <c r="J472" s="19" t="str">
        <f t="shared" si="156"/>
        <v/>
      </c>
      <c r="K472" s="19" t="str">
        <f t="shared" si="157"/>
        <v/>
      </c>
      <c r="L472" s="19" t="str">
        <f t="shared" si="158"/>
        <v/>
      </c>
      <c r="M472" s="19"/>
      <c r="N472" s="22" t="str">
        <f t="shared" si="159"/>
        <v>non ancora confermato</v>
      </c>
      <c r="O472" s="31"/>
    </row>
    <row r="473" spans="1:16" ht="20.100000000000001" hidden="1" customHeight="1">
      <c r="A473" s="7" t="s">
        <v>2707</v>
      </c>
      <c r="B473" s="44" t="s">
        <v>2710</v>
      </c>
      <c r="C473" t="s">
        <v>2656</v>
      </c>
      <c r="D473" s="4">
        <v>7500</v>
      </c>
      <c r="E473" s="65" t="s">
        <v>2427</v>
      </c>
      <c r="F473" s="48" t="s">
        <v>2431</v>
      </c>
      <c r="G473" t="s">
        <v>2435</v>
      </c>
      <c r="H473" s="19" t="str">
        <f t="shared" si="154"/>
        <v/>
      </c>
      <c r="I473" s="19" t="str">
        <f t="shared" si="155"/>
        <v/>
      </c>
      <c r="J473" s="19" t="str">
        <f t="shared" si="156"/>
        <v/>
      </c>
      <c r="K473" s="19" t="str">
        <f t="shared" si="157"/>
        <v/>
      </c>
      <c r="L473" s="19" t="str">
        <f t="shared" si="158"/>
        <v/>
      </c>
      <c r="M473" s="19"/>
      <c r="N473" s="22" t="str">
        <f t="shared" si="159"/>
        <v>non ancora confermato</v>
      </c>
      <c r="O473" s="31"/>
    </row>
    <row r="474" spans="1:16" ht="20.100000000000001" hidden="1" customHeight="1">
      <c r="A474" s="7" t="s">
        <v>2707</v>
      </c>
      <c r="B474" s="44" t="s">
        <v>2710</v>
      </c>
      <c r="C474" t="s">
        <v>2436</v>
      </c>
      <c r="D474" s="4">
        <v>5000</v>
      </c>
      <c r="E474" s="65" t="s">
        <v>2427</v>
      </c>
      <c r="G474" t="s">
        <v>345</v>
      </c>
      <c r="H474" s="19" t="str">
        <f t="shared" si="154"/>
        <v/>
      </c>
      <c r="I474" s="19" t="str">
        <f t="shared" si="155"/>
        <v/>
      </c>
      <c r="J474" s="19" t="str">
        <f t="shared" si="156"/>
        <v/>
      </c>
      <c r="K474" s="19" t="str">
        <f t="shared" si="157"/>
        <v/>
      </c>
      <c r="L474" s="19" t="str">
        <f t="shared" si="158"/>
        <v/>
      </c>
      <c r="M474" s="19"/>
      <c r="N474" s="22" t="str">
        <f t="shared" si="159"/>
        <v>non ancora confermato</v>
      </c>
      <c r="O474" s="31"/>
    </row>
    <row r="475" spans="1:16" ht="20.100000000000001" hidden="1" customHeight="1">
      <c r="A475" s="7" t="s">
        <v>2707</v>
      </c>
      <c r="B475" s="44" t="s">
        <v>2710</v>
      </c>
      <c r="C475" t="s">
        <v>2440</v>
      </c>
      <c r="D475" s="4">
        <v>6500</v>
      </c>
      <c r="E475" s="65" t="s">
        <v>2427</v>
      </c>
      <c r="F475" s="48" t="s">
        <v>2431</v>
      </c>
      <c r="G475" t="s">
        <v>296</v>
      </c>
      <c r="H475" s="19" t="str">
        <f t="shared" si="154"/>
        <v/>
      </c>
      <c r="I475" s="19" t="str">
        <f t="shared" si="155"/>
        <v/>
      </c>
      <c r="J475" s="19" t="str">
        <f t="shared" si="156"/>
        <v/>
      </c>
      <c r="K475" s="19" t="str">
        <f t="shared" si="157"/>
        <v/>
      </c>
      <c r="L475" s="19" t="str">
        <f t="shared" si="158"/>
        <v/>
      </c>
      <c r="M475" s="19"/>
      <c r="N475" s="22" t="str">
        <f t="shared" si="159"/>
        <v>non ancora confermato</v>
      </c>
      <c r="O475" s="31"/>
    </row>
    <row r="476" spans="1:16" ht="30" hidden="1" customHeight="1">
      <c r="A476" s="13"/>
      <c r="B476" s="53"/>
      <c r="C476" s="9"/>
      <c r="D476" s="10"/>
      <c r="F476" s="45" t="s">
        <v>2516</v>
      </c>
      <c r="G476" s="19">
        <f>SUMIF(E469:E475, "E", D469:D475)</f>
        <v>0</v>
      </c>
      <c r="H476" s="18" t="s">
        <v>2517</v>
      </c>
      <c r="I476" s="12">
        <f>SUMIF(E469:E475, "U", D469:D475)</f>
        <v>52669.266666666663</v>
      </c>
      <c r="J476" s="16" t="s">
        <v>2518</v>
      </c>
      <c r="K476" s="19">
        <f>G476-I476</f>
        <v>-52669.266666666663</v>
      </c>
      <c r="L476" s="18" t="s">
        <v>2519</v>
      </c>
      <c r="M476" s="18"/>
      <c r="N476" s="19">
        <f>N468+D468</f>
        <v>-37699.649999999994</v>
      </c>
      <c r="O476" s="31"/>
    </row>
    <row r="477" spans="1:16" ht="20.100000000000001" hidden="1" customHeight="1">
      <c r="A477" s="23" t="s">
        <v>2711</v>
      </c>
      <c r="B477" s="52"/>
      <c r="C477" s="24"/>
      <c r="D477" s="25">
        <f>SUMPRODUCT((A478:A485="July 2026")*(E478:E485="E")*D478:D485) - SUMPRODUCT((A478:A485="July 2026")*(E478:E485="U")*D478:D485)</f>
        <v>-47102.6</v>
      </c>
      <c r="E477" s="66"/>
      <c r="F477" s="47"/>
      <c r="G477" s="24" t="s">
        <v>2509</v>
      </c>
      <c r="H477" s="26">
        <f>SUM(H464:H475)</f>
        <v>-2.8900000000000006</v>
      </c>
      <c r="I477" s="26">
        <f>SUM(I464:I475)</f>
        <v>74798.796666666662</v>
      </c>
      <c r="J477" s="26">
        <f>SUM(J464:J475)</f>
        <v>34.39</v>
      </c>
      <c r="K477" s="26">
        <f>SUM(K464:K475)</f>
        <v>-73950.57666666666</v>
      </c>
      <c r="L477" s="26">
        <f>SUM(L464:L475)</f>
        <v>923.23</v>
      </c>
      <c r="M477" s="26"/>
      <c r="N477" s="26">
        <f>SUM(H477:L477)</f>
        <v>1802.9500000000012</v>
      </c>
      <c r="O477" s="35" t="s">
        <v>2522</v>
      </c>
      <c r="P477" s="38">
        <f>P464+K476</f>
        <v>-52669.266666666663</v>
      </c>
    </row>
    <row r="478" spans="1:16" s="9" customFormat="1" ht="33" hidden="1" customHeight="1">
      <c r="A478" s="7" t="s">
        <v>2712</v>
      </c>
      <c r="B478" s="44">
        <v>46218</v>
      </c>
      <c r="C478" t="s">
        <v>2446</v>
      </c>
      <c r="D478" s="4">
        <v>10000</v>
      </c>
      <c r="E478" s="65" t="s">
        <v>2427</v>
      </c>
      <c r="F478" s="48" t="s">
        <v>2431</v>
      </c>
      <c r="G478" t="s">
        <v>2435</v>
      </c>
      <c r="H478" s="19" t="str">
        <f t="shared" ref="H478:H485" si="160">IF(AND($F478="X",$G478="BCC"),IF($E478="U",-$D478,$D478),"")</f>
        <v/>
      </c>
      <c r="I478" s="19" t="str">
        <f t="shared" ref="I478:I485" si="161">IF(AND($F478="X",$G478="INTESA"),IF($E478="U",-$D478,$D478),"")</f>
        <v/>
      </c>
      <c r="J478" s="19" t="str">
        <f t="shared" ref="J478:J485" si="162">IF(AND($F478="X",$G478="BPM"),IF($E478="U",-$D478,$D478),"")</f>
        <v/>
      </c>
      <c r="K478" s="19" t="str">
        <f t="shared" ref="K478:K485" si="163">IF(AND($F478="X",$G478="SONDRIO"),IF($E478="U",-$D478,$D478),"")</f>
        <v/>
      </c>
      <c r="L478" s="19" t="str">
        <f t="shared" ref="L478:L485" si="164">IF(AND($F478="X",$G478="BPER"),IF($E478="U",-$D478,$D478),"")</f>
        <v/>
      </c>
      <c r="M478" s="19"/>
      <c r="N478" s="22" t="str">
        <f t="shared" ref="N478:N485" si="165">IF(F478="X",IF(E478="U",-D478,D478),"non ancora confermato")</f>
        <v>non ancora confermato</v>
      </c>
      <c r="O478" s="31"/>
    </row>
    <row r="479" spans="1:16" ht="20.100000000000001" hidden="1" customHeight="1">
      <c r="A479" s="7" t="s">
        <v>2712</v>
      </c>
      <c r="B479" s="44">
        <v>46218</v>
      </c>
      <c r="C479" t="s">
        <v>2444</v>
      </c>
      <c r="D479" s="4">
        <v>502.6</v>
      </c>
      <c r="E479" s="65" t="s">
        <v>2427</v>
      </c>
      <c r="F479" s="48" t="s">
        <v>2431</v>
      </c>
      <c r="G479" t="s">
        <v>2434</v>
      </c>
      <c r="H479" s="19" t="str">
        <f t="shared" si="160"/>
        <v/>
      </c>
      <c r="I479" s="19" t="str">
        <f t="shared" si="161"/>
        <v/>
      </c>
      <c r="J479" s="19" t="str">
        <f t="shared" si="162"/>
        <v/>
      </c>
      <c r="K479" s="19" t="str">
        <f t="shared" si="163"/>
        <v/>
      </c>
      <c r="L479" s="19" t="str">
        <f t="shared" si="164"/>
        <v/>
      </c>
      <c r="M479" s="19"/>
      <c r="N479" s="22" t="str">
        <f t="shared" si="165"/>
        <v>non ancora confermato</v>
      </c>
      <c r="O479" s="31"/>
    </row>
    <row r="480" spans="1:16" ht="20.100000000000001" hidden="1" customHeight="1">
      <c r="A480" s="7" t="s">
        <v>2712</v>
      </c>
      <c r="B480" s="44">
        <v>46218</v>
      </c>
      <c r="C480" t="s">
        <v>2180</v>
      </c>
      <c r="D480" s="4">
        <f>60000/6</f>
        <v>10000</v>
      </c>
      <c r="E480" s="65" t="s">
        <v>2427</v>
      </c>
      <c r="F480" s="48" t="s">
        <v>2431</v>
      </c>
      <c r="G480" t="s">
        <v>345</v>
      </c>
      <c r="H480" s="19" t="str">
        <f t="shared" si="160"/>
        <v/>
      </c>
      <c r="I480" s="19" t="str">
        <f t="shared" si="161"/>
        <v/>
      </c>
      <c r="J480" s="19" t="str">
        <f t="shared" si="162"/>
        <v/>
      </c>
      <c r="K480" s="19" t="str">
        <f t="shared" si="163"/>
        <v/>
      </c>
      <c r="L480" s="19" t="str">
        <f t="shared" si="164"/>
        <v/>
      </c>
      <c r="M480" s="19"/>
      <c r="N480" s="22" t="str">
        <f t="shared" si="165"/>
        <v>non ancora confermato</v>
      </c>
      <c r="O480" s="31"/>
    </row>
    <row r="481" spans="1:16" ht="20.100000000000001" hidden="1" customHeight="1">
      <c r="A481" s="7" t="s">
        <v>2712</v>
      </c>
      <c r="B481" s="44">
        <v>46218</v>
      </c>
      <c r="C481" t="s">
        <v>2656</v>
      </c>
      <c r="D481" s="4">
        <v>7500</v>
      </c>
      <c r="E481" s="65" t="s">
        <v>2427</v>
      </c>
      <c r="F481" s="48" t="s">
        <v>2431</v>
      </c>
      <c r="G481" t="s">
        <v>2435</v>
      </c>
      <c r="H481" s="19" t="str">
        <f t="shared" si="160"/>
        <v/>
      </c>
      <c r="I481" s="19" t="str">
        <f t="shared" si="161"/>
        <v/>
      </c>
      <c r="J481" s="19" t="str">
        <f t="shared" si="162"/>
        <v/>
      </c>
      <c r="K481" s="19" t="str">
        <f t="shared" si="163"/>
        <v/>
      </c>
      <c r="L481" s="19" t="str">
        <f t="shared" si="164"/>
        <v/>
      </c>
      <c r="M481" s="19"/>
      <c r="N481" s="22" t="str">
        <f t="shared" si="165"/>
        <v>non ancora confermato</v>
      </c>
      <c r="O481" s="31"/>
    </row>
    <row r="482" spans="1:16" ht="20.100000000000001" hidden="1" customHeight="1">
      <c r="A482" s="7" t="s">
        <v>2712</v>
      </c>
      <c r="B482" s="44">
        <v>46218</v>
      </c>
      <c r="C482" t="s">
        <v>2126</v>
      </c>
      <c r="D482" s="4">
        <f>8200/2</f>
        <v>4100</v>
      </c>
      <c r="E482" s="65" t="s">
        <v>2427</v>
      </c>
      <c r="G482" t="s">
        <v>2435</v>
      </c>
      <c r="H482" s="19" t="str">
        <f t="shared" si="160"/>
        <v/>
      </c>
      <c r="I482" s="19" t="str">
        <f t="shared" si="161"/>
        <v/>
      </c>
      <c r="J482" s="19" t="str">
        <f t="shared" si="162"/>
        <v/>
      </c>
      <c r="K482" s="19" t="str">
        <f t="shared" si="163"/>
        <v/>
      </c>
      <c r="L482" s="19" t="str">
        <f t="shared" si="164"/>
        <v/>
      </c>
      <c r="M482" s="19"/>
      <c r="N482" s="22" t="str">
        <f t="shared" si="165"/>
        <v>non ancora confermato</v>
      </c>
      <c r="O482" s="31"/>
    </row>
    <row r="483" spans="1:16" ht="20.100000000000001" hidden="1" customHeight="1">
      <c r="A483" s="7" t="s">
        <v>2712</v>
      </c>
      <c r="B483" s="44">
        <v>46218</v>
      </c>
      <c r="C483" t="s">
        <v>2205</v>
      </c>
      <c r="D483" s="4">
        <f>7000/2</f>
        <v>3500</v>
      </c>
      <c r="E483" s="65" t="s">
        <v>2427</v>
      </c>
      <c r="G483" t="s">
        <v>2435</v>
      </c>
      <c r="H483" s="19" t="str">
        <f t="shared" si="160"/>
        <v/>
      </c>
      <c r="I483" s="19" t="str">
        <f t="shared" si="161"/>
        <v/>
      </c>
      <c r="J483" s="19" t="str">
        <f t="shared" si="162"/>
        <v/>
      </c>
      <c r="K483" s="19" t="str">
        <f t="shared" si="163"/>
        <v/>
      </c>
      <c r="L483" s="19" t="str">
        <f t="shared" si="164"/>
        <v/>
      </c>
      <c r="M483" s="19"/>
      <c r="N483" s="22" t="str">
        <f t="shared" si="165"/>
        <v>non ancora confermato</v>
      </c>
      <c r="O483" s="31"/>
    </row>
    <row r="484" spans="1:16" ht="20.100000000000001" hidden="1" customHeight="1">
      <c r="A484" s="7" t="s">
        <v>2712</v>
      </c>
      <c r="B484" s="44">
        <v>46218</v>
      </c>
      <c r="C484" t="s">
        <v>2436</v>
      </c>
      <c r="D484" s="4">
        <v>5000</v>
      </c>
      <c r="E484" s="65" t="s">
        <v>2427</v>
      </c>
      <c r="G484" t="s">
        <v>345</v>
      </c>
      <c r="H484" s="19" t="str">
        <f t="shared" si="160"/>
        <v/>
      </c>
      <c r="I484" s="19" t="str">
        <f t="shared" si="161"/>
        <v/>
      </c>
      <c r="J484" s="19" t="str">
        <f t="shared" si="162"/>
        <v/>
      </c>
      <c r="K484" s="19" t="str">
        <f t="shared" si="163"/>
        <v/>
      </c>
      <c r="L484" s="19" t="str">
        <f t="shared" si="164"/>
        <v/>
      </c>
      <c r="M484" s="19"/>
      <c r="N484" s="22" t="str">
        <f t="shared" si="165"/>
        <v>non ancora confermato</v>
      </c>
      <c r="O484" s="31"/>
    </row>
    <row r="485" spans="1:16" ht="20.100000000000001" hidden="1" customHeight="1">
      <c r="A485" s="7" t="s">
        <v>2712</v>
      </c>
      <c r="B485" s="44">
        <v>46218</v>
      </c>
      <c r="C485" t="s">
        <v>2440</v>
      </c>
      <c r="D485" s="4">
        <v>6500</v>
      </c>
      <c r="E485" s="65" t="s">
        <v>2427</v>
      </c>
      <c r="F485" s="48" t="s">
        <v>2431</v>
      </c>
      <c r="G485" t="s">
        <v>296</v>
      </c>
      <c r="H485" s="19" t="str">
        <f t="shared" si="160"/>
        <v/>
      </c>
      <c r="I485" s="19" t="str">
        <f t="shared" si="161"/>
        <v/>
      </c>
      <c r="J485" s="19" t="str">
        <f t="shared" si="162"/>
        <v/>
      </c>
      <c r="K485" s="19" t="str">
        <f t="shared" si="163"/>
        <v/>
      </c>
      <c r="L485" s="19" t="str">
        <f t="shared" si="164"/>
        <v/>
      </c>
      <c r="M485" s="19"/>
      <c r="N485" s="22" t="str">
        <f t="shared" si="165"/>
        <v>non ancora confermato</v>
      </c>
      <c r="O485" s="31"/>
    </row>
    <row r="486" spans="1:16" ht="30" hidden="1" customHeight="1">
      <c r="A486" s="13"/>
      <c r="B486" s="53"/>
      <c r="C486" s="9"/>
      <c r="D486" s="10"/>
      <c r="F486" s="45" t="s">
        <v>2516</v>
      </c>
      <c r="G486" s="19">
        <f>SUMIF(E478:E485, "E", D478:D485)</f>
        <v>0</v>
      </c>
      <c r="H486" s="18" t="s">
        <v>2517</v>
      </c>
      <c r="I486" s="12">
        <f>SUMIF(E478:E485, "U", D478:D485)</f>
        <v>47102.6</v>
      </c>
      <c r="J486" s="16" t="s">
        <v>2518</v>
      </c>
      <c r="K486" s="19">
        <f>G486-I486</f>
        <v>-47102.6</v>
      </c>
      <c r="L486" s="18" t="s">
        <v>2519</v>
      </c>
      <c r="M486" s="18"/>
      <c r="N486" s="19">
        <f>N477+D477</f>
        <v>-45299.649999999994</v>
      </c>
      <c r="O486" s="31"/>
    </row>
    <row r="487" spans="1:16" ht="20.100000000000001" hidden="1" customHeight="1">
      <c r="A487" s="29" t="s">
        <v>2713</v>
      </c>
      <c r="B487" s="52"/>
      <c r="C487" s="24"/>
      <c r="D487" s="25">
        <f>SUMPRODUCT((A488:A533="Da definire")*(E488:E533="E")*D488:D533) - SUMPRODUCT((A488:A533="Da definire")*(E488:E533="U")*D488:D533)</f>
        <v>1018233.34</v>
      </c>
      <c r="E487" s="66"/>
      <c r="F487" s="47"/>
      <c r="G487" s="24" t="s">
        <v>2509</v>
      </c>
      <c r="H487" s="26">
        <f t="shared" ref="H487:N487" si="166">SUM(H477:H485)</f>
        <v>-2.8900000000000006</v>
      </c>
      <c r="I487" s="26">
        <f t="shared" si="166"/>
        <v>74798.796666666662</v>
      </c>
      <c r="J487" s="26">
        <f t="shared" si="166"/>
        <v>34.39</v>
      </c>
      <c r="K487" s="26">
        <f t="shared" si="166"/>
        <v>-73950.57666666666</v>
      </c>
      <c r="L487" s="26">
        <f t="shared" si="166"/>
        <v>923.23</v>
      </c>
      <c r="M487" s="26">
        <f t="shared" si="166"/>
        <v>0</v>
      </c>
      <c r="N487" s="26">
        <f t="shared" si="166"/>
        <v>1802.9500000000012</v>
      </c>
      <c r="O487" s="35" t="s">
        <v>2522</v>
      </c>
      <c r="P487" s="38">
        <f>P468+K476</f>
        <v>-497979.65</v>
      </c>
    </row>
    <row r="488" spans="1:16" ht="20.100000000000001" hidden="1" customHeight="1">
      <c r="A488" s="7" t="s">
        <v>2714</v>
      </c>
      <c r="B488" s="44" t="s">
        <v>2715</v>
      </c>
      <c r="C488" t="s">
        <v>2549</v>
      </c>
      <c r="D488" s="4">
        <f>(23487-$D$45)/5</f>
        <v>3897.4</v>
      </c>
      <c r="E488" s="65" t="s">
        <v>2427</v>
      </c>
      <c r="G488" t="s">
        <v>65</v>
      </c>
      <c r="H488" s="19" t="str">
        <f t="shared" ref="H488:H518" si="167">IF(AND($F488="X",$G488="BCC"),IF($E488="U",-$D488,$D488),"")</f>
        <v/>
      </c>
      <c r="I488" s="19" t="str">
        <f t="shared" ref="I488:I518" si="168">IF(AND($F488="X",$G488="INTESA"),IF($E488="U",-$D488,$D488),"")</f>
        <v/>
      </c>
      <c r="J488" s="19" t="str">
        <f t="shared" ref="J488:J518" si="169">IF(AND($F488="X",$G488="BPM"),IF($E488="U",-$D488,$D488),"")</f>
        <v/>
      </c>
      <c r="K488" s="19" t="str">
        <f t="shared" ref="K488:K518" si="170">IF(AND($F488="X",$G488="SONDRIO"),IF($E488="U",-$D488,$D488),"")</f>
        <v/>
      </c>
      <c r="L488" s="19" t="str">
        <f t="shared" ref="L488:L518" si="171">IF(AND($F488="X",$G488="BPER"),IF($E488="U",-$D488,$D488),"")</f>
        <v/>
      </c>
      <c r="M488" s="19"/>
      <c r="N488" s="22" t="str">
        <f t="shared" ref="N488:N517" si="172">IF(F488="X",IF(E488="U",-D488,D488),"non ancora confermato")</f>
        <v>non ancora confermato</v>
      </c>
      <c r="O488" s="31"/>
    </row>
    <row r="489" spans="1:16" ht="20.100000000000001" hidden="1" customHeight="1">
      <c r="A489" s="7" t="s">
        <v>2714</v>
      </c>
      <c r="B489" s="44" t="s">
        <v>2715</v>
      </c>
      <c r="C489" t="s">
        <v>2549</v>
      </c>
      <c r="D489" s="4">
        <f>(23487-$D$45)/5</f>
        <v>3897.4</v>
      </c>
      <c r="E489" s="65" t="s">
        <v>2427</v>
      </c>
      <c r="G489" t="s">
        <v>65</v>
      </c>
      <c r="H489" s="19" t="str">
        <f t="shared" si="167"/>
        <v/>
      </c>
      <c r="I489" s="19" t="str">
        <f t="shared" si="168"/>
        <v/>
      </c>
      <c r="J489" s="19" t="str">
        <f t="shared" si="169"/>
        <v/>
      </c>
      <c r="K489" s="19" t="str">
        <f t="shared" si="170"/>
        <v/>
      </c>
      <c r="L489" s="19" t="str">
        <f t="shared" si="171"/>
        <v/>
      </c>
      <c r="M489" s="19"/>
      <c r="N489" s="22" t="str">
        <f t="shared" si="172"/>
        <v>non ancora confermato</v>
      </c>
      <c r="O489" s="31"/>
    </row>
    <row r="490" spans="1:16" ht="20.100000000000001" hidden="1" customHeight="1">
      <c r="A490" s="7" t="s">
        <v>2714</v>
      </c>
      <c r="B490" s="44" t="s">
        <v>2715</v>
      </c>
      <c r="C490" t="s">
        <v>2549</v>
      </c>
      <c r="D490" s="4">
        <f>(23487-$D$45)/5</f>
        <v>3897.4</v>
      </c>
      <c r="E490" s="65" t="s">
        <v>2427</v>
      </c>
      <c r="G490" t="s">
        <v>65</v>
      </c>
      <c r="H490" s="19" t="str">
        <f t="shared" si="167"/>
        <v/>
      </c>
      <c r="I490" s="19" t="str">
        <f t="shared" si="168"/>
        <v/>
      </c>
      <c r="J490" s="19" t="str">
        <f t="shared" si="169"/>
        <v/>
      </c>
      <c r="K490" s="19" t="str">
        <f t="shared" si="170"/>
        <v/>
      </c>
      <c r="L490" s="19" t="str">
        <f t="shared" si="171"/>
        <v/>
      </c>
      <c r="M490" s="19"/>
      <c r="N490" s="22" t="str">
        <f t="shared" si="172"/>
        <v>non ancora confermato</v>
      </c>
      <c r="O490" s="31"/>
    </row>
    <row r="491" spans="1:16" ht="20.100000000000001" hidden="1" customHeight="1">
      <c r="A491" s="7" t="s">
        <v>2714</v>
      </c>
      <c r="B491" s="44" t="s">
        <v>2715</v>
      </c>
      <c r="C491" t="s">
        <v>2549</v>
      </c>
      <c r="D491" s="4">
        <f>(23487-$D$45)/5</f>
        <v>3897.4</v>
      </c>
      <c r="E491" s="65" t="s">
        <v>2427</v>
      </c>
      <c r="G491" t="s">
        <v>65</v>
      </c>
      <c r="H491" s="19" t="str">
        <f t="shared" si="167"/>
        <v/>
      </c>
      <c r="I491" s="19" t="str">
        <f t="shared" si="168"/>
        <v/>
      </c>
      <c r="J491" s="19" t="str">
        <f t="shared" si="169"/>
        <v/>
      </c>
      <c r="K491" s="19" t="str">
        <f t="shared" si="170"/>
        <v/>
      </c>
      <c r="L491" s="19" t="str">
        <f t="shared" si="171"/>
        <v/>
      </c>
      <c r="M491" s="19"/>
      <c r="N491" s="22" t="str">
        <f t="shared" si="172"/>
        <v>non ancora confermato</v>
      </c>
      <c r="O491" s="31"/>
    </row>
    <row r="492" spans="1:16" ht="20.100000000000001" hidden="1" customHeight="1">
      <c r="A492" s="7" t="s">
        <v>2714</v>
      </c>
      <c r="B492" s="44" t="s">
        <v>2715</v>
      </c>
      <c r="C492" t="s">
        <v>2549</v>
      </c>
      <c r="D492" s="4">
        <f>(23487-$D$45)/5</f>
        <v>3897.4</v>
      </c>
      <c r="E492" s="65" t="s">
        <v>2427</v>
      </c>
      <c r="G492" t="s">
        <v>65</v>
      </c>
      <c r="H492" s="19" t="str">
        <f t="shared" si="167"/>
        <v/>
      </c>
      <c r="I492" s="19" t="str">
        <f t="shared" si="168"/>
        <v/>
      </c>
      <c r="J492" s="19" t="str">
        <f t="shared" si="169"/>
        <v/>
      </c>
      <c r="K492" s="19" t="str">
        <f t="shared" si="170"/>
        <v/>
      </c>
      <c r="L492" s="19" t="str">
        <f t="shared" si="171"/>
        <v/>
      </c>
      <c r="M492" s="19"/>
      <c r="N492" s="22" t="str">
        <f t="shared" si="172"/>
        <v>non ancora confermato</v>
      </c>
      <c r="O492" s="31"/>
    </row>
    <row r="493" spans="1:16" ht="20.100000000000001" hidden="1" customHeight="1">
      <c r="A493" s="7" t="s">
        <v>2714</v>
      </c>
      <c r="B493" s="44" t="s">
        <v>2715</v>
      </c>
      <c r="C493" s="42" t="s">
        <v>2133</v>
      </c>
      <c r="D493" s="4">
        <f>(17109.85-$D$107)/7</f>
        <v>2158.5499999999997</v>
      </c>
      <c r="E493" s="65" t="s">
        <v>2427</v>
      </c>
      <c r="F493" s="48" t="s">
        <v>2431</v>
      </c>
      <c r="G493" t="s">
        <v>65</v>
      </c>
      <c r="H493" s="19" t="str">
        <f t="shared" si="167"/>
        <v/>
      </c>
      <c r="I493" s="19" t="str">
        <f t="shared" si="168"/>
        <v/>
      </c>
      <c r="J493" s="19" t="str">
        <f t="shared" si="169"/>
        <v/>
      </c>
      <c r="K493" s="19" t="str">
        <f t="shared" si="170"/>
        <v/>
      </c>
      <c r="L493" s="19" t="str">
        <f t="shared" si="171"/>
        <v/>
      </c>
      <c r="M493" s="19"/>
      <c r="N493" s="22" t="str">
        <f t="shared" si="172"/>
        <v>non ancora confermato</v>
      </c>
      <c r="O493" s="31"/>
    </row>
    <row r="494" spans="1:16" ht="20.100000000000001" hidden="1" customHeight="1">
      <c r="A494" s="7" t="s">
        <v>2714</v>
      </c>
      <c r="B494" s="44" t="s">
        <v>2715</v>
      </c>
      <c r="C494" s="42" t="s">
        <v>2133</v>
      </c>
      <c r="D494" s="4">
        <f>(17109.85-$D$107)/7</f>
        <v>2158.5499999999997</v>
      </c>
      <c r="E494" s="65" t="s">
        <v>2427</v>
      </c>
      <c r="F494" s="48" t="s">
        <v>2431</v>
      </c>
      <c r="G494" t="s">
        <v>65</v>
      </c>
      <c r="H494" s="19" t="str">
        <f t="shared" si="167"/>
        <v/>
      </c>
      <c r="I494" s="19" t="str">
        <f t="shared" si="168"/>
        <v/>
      </c>
      <c r="J494" s="19" t="str">
        <f t="shared" si="169"/>
        <v/>
      </c>
      <c r="K494" s="19" t="str">
        <f t="shared" si="170"/>
        <v/>
      </c>
      <c r="L494" s="19" t="str">
        <f t="shared" si="171"/>
        <v/>
      </c>
      <c r="M494" s="19"/>
      <c r="N494" s="22" t="str">
        <f t="shared" si="172"/>
        <v>non ancora confermato</v>
      </c>
      <c r="O494" s="31"/>
    </row>
    <row r="495" spans="1:16" ht="20.100000000000001" hidden="1" customHeight="1">
      <c r="A495" s="7" t="s">
        <v>2714</v>
      </c>
      <c r="B495" s="44" t="s">
        <v>2715</v>
      </c>
      <c r="C495" s="42" t="s">
        <v>2133</v>
      </c>
      <c r="D495" s="4">
        <f>(17109.85-$D$107)/7</f>
        <v>2158.5499999999997</v>
      </c>
      <c r="E495" s="65" t="s">
        <v>2427</v>
      </c>
      <c r="F495" s="48" t="s">
        <v>2431</v>
      </c>
      <c r="G495" t="s">
        <v>65</v>
      </c>
      <c r="H495" s="19" t="str">
        <f t="shared" si="167"/>
        <v/>
      </c>
      <c r="I495" s="19" t="str">
        <f t="shared" si="168"/>
        <v/>
      </c>
      <c r="J495" s="19" t="str">
        <f t="shared" si="169"/>
        <v/>
      </c>
      <c r="K495" s="19" t="str">
        <f t="shared" si="170"/>
        <v/>
      </c>
      <c r="L495" s="19" t="str">
        <f t="shared" si="171"/>
        <v/>
      </c>
      <c r="M495" s="19"/>
      <c r="N495" s="22" t="str">
        <f t="shared" si="172"/>
        <v>non ancora confermato</v>
      </c>
      <c r="O495" s="31"/>
    </row>
    <row r="496" spans="1:16" ht="20.100000000000001" hidden="1" customHeight="1">
      <c r="A496" s="7" t="s">
        <v>2714</v>
      </c>
      <c r="B496" s="44" t="s">
        <v>2715</v>
      </c>
      <c r="C496" s="42" t="s">
        <v>2133</v>
      </c>
      <c r="D496" s="4">
        <f>(17109.85-$D$107)/7</f>
        <v>2158.5499999999997</v>
      </c>
      <c r="E496" s="65" t="s">
        <v>2427</v>
      </c>
      <c r="F496" s="48" t="s">
        <v>2431</v>
      </c>
      <c r="G496" t="s">
        <v>65</v>
      </c>
      <c r="H496" s="19" t="str">
        <f t="shared" si="167"/>
        <v/>
      </c>
      <c r="I496" s="19" t="str">
        <f t="shared" si="168"/>
        <v/>
      </c>
      <c r="J496" s="19" t="str">
        <f t="shared" si="169"/>
        <v/>
      </c>
      <c r="K496" s="19" t="str">
        <f t="shared" si="170"/>
        <v/>
      </c>
      <c r="L496" s="19" t="str">
        <f t="shared" si="171"/>
        <v/>
      </c>
      <c r="M496" s="19"/>
      <c r="N496" s="22" t="str">
        <f t="shared" si="172"/>
        <v>non ancora confermato</v>
      </c>
      <c r="O496" s="31"/>
    </row>
    <row r="497" spans="1:15" ht="20.100000000000001" hidden="1" customHeight="1">
      <c r="A497" s="7" t="s">
        <v>2714</v>
      </c>
      <c r="B497" s="44" t="s">
        <v>2715</v>
      </c>
      <c r="C497" s="42" t="s">
        <v>2133</v>
      </c>
      <c r="D497" s="4">
        <f>(17109.85-$D$107)/7-0.76</f>
        <v>2157.7899999999995</v>
      </c>
      <c r="E497" s="65" t="s">
        <v>2427</v>
      </c>
      <c r="F497" s="48" t="s">
        <v>2431</v>
      </c>
      <c r="G497" t="s">
        <v>65</v>
      </c>
      <c r="H497" s="19" t="str">
        <f t="shared" si="167"/>
        <v/>
      </c>
      <c r="I497" s="19" t="str">
        <f t="shared" si="168"/>
        <v/>
      </c>
      <c r="J497" s="19" t="str">
        <f t="shared" si="169"/>
        <v/>
      </c>
      <c r="K497" s="19" t="str">
        <f t="shared" si="170"/>
        <v/>
      </c>
      <c r="L497" s="19" t="str">
        <f t="shared" si="171"/>
        <v/>
      </c>
      <c r="M497" s="19"/>
      <c r="N497" s="22" t="str">
        <f t="shared" si="172"/>
        <v>non ancora confermato</v>
      </c>
      <c r="O497" s="31"/>
    </row>
    <row r="498" spans="1:15" ht="20.100000000000001" hidden="1" customHeight="1">
      <c r="A498" s="7" t="s">
        <v>2714</v>
      </c>
      <c r="B498" s="44" t="s">
        <v>2715</v>
      </c>
      <c r="C498" s="42" t="s">
        <v>2133</v>
      </c>
      <c r="D498" s="4">
        <f>(17109.85-$D$107)/7</f>
        <v>2158.5499999999997</v>
      </c>
      <c r="E498" s="65" t="s">
        <v>2427</v>
      </c>
      <c r="F498" s="48" t="s">
        <v>2431</v>
      </c>
      <c r="G498" t="s">
        <v>65</v>
      </c>
      <c r="H498" s="19" t="str">
        <f t="shared" si="167"/>
        <v/>
      </c>
      <c r="I498" s="19" t="str">
        <f t="shared" si="168"/>
        <v/>
      </c>
      <c r="J498" s="19" t="str">
        <f t="shared" si="169"/>
        <v/>
      </c>
      <c r="K498" s="19" t="str">
        <f t="shared" si="170"/>
        <v/>
      </c>
      <c r="L498" s="19" t="str">
        <f t="shared" si="171"/>
        <v/>
      </c>
      <c r="M498" s="19"/>
      <c r="N498" s="22" t="str">
        <f t="shared" si="172"/>
        <v>non ancora confermato</v>
      </c>
      <c r="O498" s="31"/>
    </row>
    <row r="499" spans="1:15" ht="20.100000000000001" hidden="1" customHeight="1">
      <c r="A499" s="7" t="s">
        <v>2714</v>
      </c>
      <c r="B499" s="44" t="s">
        <v>2715</v>
      </c>
      <c r="C499" s="42" t="s">
        <v>2087</v>
      </c>
      <c r="D499" s="4">
        <f>3826/3</f>
        <v>1275.3333333333333</v>
      </c>
      <c r="E499" s="65" t="s">
        <v>2427</v>
      </c>
      <c r="G499" t="s">
        <v>65</v>
      </c>
      <c r="H499" s="19" t="str">
        <f t="shared" si="167"/>
        <v/>
      </c>
      <c r="I499" s="19" t="str">
        <f t="shared" si="168"/>
        <v/>
      </c>
      <c r="J499" s="19" t="str">
        <f t="shared" si="169"/>
        <v/>
      </c>
      <c r="K499" s="19" t="str">
        <f t="shared" si="170"/>
        <v/>
      </c>
      <c r="L499" s="19" t="str">
        <f t="shared" si="171"/>
        <v/>
      </c>
      <c r="M499" s="19"/>
      <c r="N499" s="22" t="str">
        <f t="shared" si="172"/>
        <v>non ancora confermato</v>
      </c>
      <c r="O499" s="31"/>
    </row>
    <row r="500" spans="1:15" ht="20.100000000000001" hidden="1" customHeight="1">
      <c r="A500" s="7" t="s">
        <v>2714</v>
      </c>
      <c r="B500" s="44" t="s">
        <v>2715</v>
      </c>
      <c r="C500" s="42" t="s">
        <v>2087</v>
      </c>
      <c r="D500" s="4">
        <f>3826/3</f>
        <v>1275.3333333333333</v>
      </c>
      <c r="E500" s="65" t="s">
        <v>2427</v>
      </c>
      <c r="G500" t="s">
        <v>65</v>
      </c>
      <c r="H500" s="19" t="str">
        <f t="shared" si="167"/>
        <v/>
      </c>
      <c r="I500" s="19" t="str">
        <f t="shared" si="168"/>
        <v/>
      </c>
      <c r="J500" s="19" t="str">
        <f t="shared" si="169"/>
        <v/>
      </c>
      <c r="K500" s="19" t="str">
        <f t="shared" si="170"/>
        <v/>
      </c>
      <c r="L500" s="19" t="str">
        <f t="shared" si="171"/>
        <v/>
      </c>
      <c r="M500" s="19"/>
      <c r="N500" s="22" t="str">
        <f t="shared" si="172"/>
        <v>non ancora confermato</v>
      </c>
      <c r="O500" s="31"/>
    </row>
    <row r="501" spans="1:15" ht="20.100000000000001" hidden="1" customHeight="1">
      <c r="A501" s="7" t="s">
        <v>2714</v>
      </c>
      <c r="B501" s="44" t="s">
        <v>2715</v>
      </c>
      <c r="C501" s="42" t="s">
        <v>2087</v>
      </c>
      <c r="D501" s="4">
        <f>3826/3</f>
        <v>1275.3333333333333</v>
      </c>
      <c r="E501" s="65" t="s">
        <v>2427</v>
      </c>
      <c r="G501" t="s">
        <v>65</v>
      </c>
      <c r="H501" s="19" t="str">
        <f t="shared" si="167"/>
        <v/>
      </c>
      <c r="I501" s="19" t="str">
        <f t="shared" si="168"/>
        <v/>
      </c>
      <c r="J501" s="19" t="str">
        <f t="shared" si="169"/>
        <v/>
      </c>
      <c r="K501" s="19" t="str">
        <f t="shared" si="170"/>
        <v/>
      </c>
      <c r="L501" s="19" t="str">
        <f t="shared" si="171"/>
        <v/>
      </c>
      <c r="M501" s="19"/>
      <c r="N501" s="22" t="str">
        <f t="shared" si="172"/>
        <v>non ancora confermato</v>
      </c>
      <c r="O501" s="31"/>
    </row>
    <row r="502" spans="1:15" ht="20.100000000000001" hidden="1" customHeight="1">
      <c r="A502" s="7" t="s">
        <v>2714</v>
      </c>
      <c r="B502" s="44" t="s">
        <v>2715</v>
      </c>
      <c r="C502" t="s">
        <v>2716</v>
      </c>
      <c r="D502" s="4">
        <v>3349.19</v>
      </c>
      <c r="E502" s="65" t="s">
        <v>2427</v>
      </c>
      <c r="G502" t="s">
        <v>2435</v>
      </c>
      <c r="H502" s="19" t="str">
        <f t="shared" si="167"/>
        <v/>
      </c>
      <c r="I502" s="19" t="str">
        <f t="shared" si="168"/>
        <v/>
      </c>
      <c r="J502" s="19" t="str">
        <f t="shared" si="169"/>
        <v/>
      </c>
      <c r="K502" s="19" t="str">
        <f t="shared" si="170"/>
        <v/>
      </c>
      <c r="L502" s="19" t="str">
        <f t="shared" si="171"/>
        <v/>
      </c>
      <c r="M502" s="19" t="str">
        <f>IF(AND($F502="X",$G502="CASSA"),IF($E502="U",-$D502,$D502),"")</f>
        <v/>
      </c>
      <c r="N502" s="22" t="str">
        <f t="shared" si="172"/>
        <v>non ancora confermato</v>
      </c>
      <c r="O502" s="31"/>
    </row>
    <row r="503" spans="1:15" ht="20.100000000000001" hidden="1" customHeight="1">
      <c r="A503" s="7" t="s">
        <v>2714</v>
      </c>
      <c r="B503" s="44" t="s">
        <v>2715</v>
      </c>
      <c r="C503" t="s">
        <v>2156</v>
      </c>
      <c r="D503" s="4">
        <v>392.84</v>
      </c>
      <c r="E503" s="65" t="s">
        <v>2427</v>
      </c>
      <c r="G503" t="s">
        <v>2435</v>
      </c>
      <c r="H503" s="19" t="str">
        <f t="shared" si="167"/>
        <v/>
      </c>
      <c r="I503" s="19" t="str">
        <f t="shared" si="168"/>
        <v/>
      </c>
      <c r="J503" s="19" t="str">
        <f t="shared" si="169"/>
        <v/>
      </c>
      <c r="K503" s="19" t="str">
        <f t="shared" si="170"/>
        <v/>
      </c>
      <c r="L503" s="19" t="str">
        <f t="shared" si="171"/>
        <v/>
      </c>
      <c r="M503" s="19" t="str">
        <f>IF(AND($F503="X",$G503="CASSA"),IF($E503="U",-$D503,$D503),"")</f>
        <v/>
      </c>
      <c r="N503" s="22" t="str">
        <f t="shared" si="172"/>
        <v>non ancora confermato</v>
      </c>
      <c r="O503" s="31"/>
    </row>
    <row r="504" spans="1:15" ht="20.100000000000001" hidden="1" customHeight="1">
      <c r="A504" s="7" t="s">
        <v>2714</v>
      </c>
      <c r="B504" s="44" t="s">
        <v>2715</v>
      </c>
      <c r="C504" t="s">
        <v>2186</v>
      </c>
      <c r="D504" s="4">
        <v>3575</v>
      </c>
      <c r="E504" s="65" t="s">
        <v>2427</v>
      </c>
      <c r="G504" t="s">
        <v>2435</v>
      </c>
      <c r="H504" s="19" t="str">
        <f t="shared" si="167"/>
        <v/>
      </c>
      <c r="I504" s="19" t="str">
        <f t="shared" si="168"/>
        <v/>
      </c>
      <c r="J504" s="19" t="str">
        <f t="shared" si="169"/>
        <v/>
      </c>
      <c r="K504" s="19" t="str">
        <f t="shared" si="170"/>
        <v/>
      </c>
      <c r="L504" s="19" t="str">
        <f t="shared" si="171"/>
        <v/>
      </c>
      <c r="M504" s="19" t="str">
        <f>IF(AND($F504="X",$G504="CASSA"),IF($E504="U",-$D504,$D504),"")</f>
        <v/>
      </c>
      <c r="N504" s="22" t="str">
        <f t="shared" si="172"/>
        <v>non ancora confermato</v>
      </c>
      <c r="O504" s="31"/>
    </row>
    <row r="505" spans="1:15" ht="20.100000000000001" hidden="1" customHeight="1">
      <c r="A505" s="7" t="s">
        <v>2714</v>
      </c>
      <c r="B505" s="44" t="s">
        <v>2715</v>
      </c>
      <c r="C505" t="s">
        <v>2717</v>
      </c>
      <c r="D505" s="4">
        <v>280</v>
      </c>
      <c r="E505" s="65" t="s">
        <v>2427</v>
      </c>
      <c r="F505" s="130"/>
      <c r="G505" t="s">
        <v>2435</v>
      </c>
      <c r="H505" s="19" t="str">
        <f t="shared" si="167"/>
        <v/>
      </c>
      <c r="I505" s="19" t="str">
        <f t="shared" si="168"/>
        <v/>
      </c>
      <c r="J505" s="19" t="str">
        <f t="shared" si="169"/>
        <v/>
      </c>
      <c r="K505" s="19" t="str">
        <f t="shared" si="170"/>
        <v/>
      </c>
      <c r="L505" s="19" t="str">
        <f t="shared" si="171"/>
        <v/>
      </c>
      <c r="M505" s="19" t="str">
        <f>IF(AND($F505="X",$G505="CASSA"),IF($E505="U",-$D505,$D505),"")</f>
        <v/>
      </c>
      <c r="N505" s="22" t="str">
        <f t="shared" si="172"/>
        <v>non ancora confermato</v>
      </c>
      <c r="O505" s="31"/>
    </row>
    <row r="506" spans="1:15" ht="20.100000000000001" hidden="1" customHeight="1">
      <c r="B506" s="44" t="s">
        <v>2715</v>
      </c>
      <c r="C506" t="s">
        <v>2180</v>
      </c>
      <c r="D506" s="4">
        <v>10000</v>
      </c>
      <c r="E506" s="65" t="s">
        <v>2427</v>
      </c>
      <c r="G506" t="s">
        <v>296</v>
      </c>
      <c r="H506" s="19" t="str">
        <f t="shared" si="167"/>
        <v/>
      </c>
      <c r="I506" s="19" t="str">
        <f t="shared" si="168"/>
        <v/>
      </c>
      <c r="J506" s="19" t="str">
        <f t="shared" si="169"/>
        <v/>
      </c>
      <c r="K506" s="19" t="str">
        <f t="shared" si="170"/>
        <v/>
      </c>
      <c r="L506" s="19" t="str">
        <f t="shared" si="171"/>
        <v/>
      </c>
      <c r="M506" s="19"/>
      <c r="N506" s="22" t="str">
        <f t="shared" si="172"/>
        <v>non ancora confermato</v>
      </c>
      <c r="O506" s="31"/>
    </row>
    <row r="507" spans="1:15" ht="20.100000000000001" hidden="1" customHeight="1">
      <c r="A507" s="7" t="s">
        <v>2714</v>
      </c>
      <c r="B507" s="44" t="s">
        <v>2715</v>
      </c>
      <c r="C507" t="s">
        <v>2718</v>
      </c>
      <c r="D507" s="4">
        <v>3933.18</v>
      </c>
      <c r="E507" s="65" t="s">
        <v>2427</v>
      </c>
      <c r="F507" s="48" t="s">
        <v>49</v>
      </c>
      <c r="G507" t="s">
        <v>296</v>
      </c>
      <c r="H507" s="19" t="str">
        <f t="shared" si="167"/>
        <v/>
      </c>
      <c r="I507" s="19" t="str">
        <f t="shared" si="168"/>
        <v/>
      </c>
      <c r="J507" s="19" t="str">
        <f t="shared" si="169"/>
        <v/>
      </c>
      <c r="K507" s="19" t="str">
        <f t="shared" si="170"/>
        <v/>
      </c>
      <c r="L507" s="19">
        <f t="shared" si="171"/>
        <v>-3933.18</v>
      </c>
      <c r="M507" s="19"/>
      <c r="N507" s="22">
        <f t="shared" si="172"/>
        <v>-3933.18</v>
      </c>
      <c r="O507" s="31" t="s">
        <v>4083</v>
      </c>
    </row>
    <row r="508" spans="1:15" ht="20.100000000000001" hidden="1" customHeight="1">
      <c r="A508" s="7" t="s">
        <v>2678</v>
      </c>
      <c r="B508" s="44">
        <v>46052</v>
      </c>
      <c r="C508" t="s">
        <v>2592</v>
      </c>
      <c r="D508" s="4">
        <v>887.49</v>
      </c>
      <c r="E508" s="65" t="s">
        <v>2427</v>
      </c>
      <c r="G508" t="s">
        <v>296</v>
      </c>
      <c r="H508" s="19" t="str">
        <f t="shared" si="167"/>
        <v/>
      </c>
      <c r="I508" s="19" t="str">
        <f t="shared" si="168"/>
        <v/>
      </c>
      <c r="J508" s="19" t="str">
        <f t="shared" si="169"/>
        <v/>
      </c>
      <c r="K508" s="19" t="str">
        <f t="shared" si="170"/>
        <v/>
      </c>
      <c r="L508" s="19" t="str">
        <f t="shared" si="171"/>
        <v/>
      </c>
      <c r="M508" s="19"/>
      <c r="N508" s="22" t="str">
        <f t="shared" si="172"/>
        <v>non ancora confermato</v>
      </c>
      <c r="O508" s="31"/>
    </row>
    <row r="509" spans="1:15" ht="20.100000000000001" hidden="1" customHeight="1">
      <c r="A509" s="7" t="s">
        <v>2714</v>
      </c>
      <c r="B509" s="44" t="s">
        <v>2715</v>
      </c>
      <c r="C509" t="s">
        <v>2347</v>
      </c>
      <c r="D509" s="4">
        <f>1118.64+235.04</f>
        <v>1353.68</v>
      </c>
      <c r="E509" s="65" t="s">
        <v>2427</v>
      </c>
      <c r="G509" t="s">
        <v>296</v>
      </c>
      <c r="H509" s="19" t="str">
        <f t="shared" si="167"/>
        <v/>
      </c>
      <c r="I509" s="19" t="str">
        <f t="shared" si="168"/>
        <v/>
      </c>
      <c r="J509" s="19" t="str">
        <f t="shared" si="169"/>
        <v/>
      </c>
      <c r="K509" s="19" t="str">
        <f t="shared" si="170"/>
        <v/>
      </c>
      <c r="L509" s="19" t="str">
        <f t="shared" si="171"/>
        <v/>
      </c>
      <c r="M509" s="19"/>
      <c r="N509" s="22" t="str">
        <f t="shared" si="172"/>
        <v>non ancora confermato</v>
      </c>
      <c r="O509" s="31"/>
    </row>
    <row r="510" spans="1:15" ht="20.100000000000001" hidden="1" customHeight="1">
      <c r="A510" s="7" t="s">
        <v>2678</v>
      </c>
      <c r="B510" s="44">
        <v>46052</v>
      </c>
      <c r="C510" t="s">
        <v>2592</v>
      </c>
      <c r="D510" s="4">
        <v>67.38</v>
      </c>
      <c r="E510" s="65" t="s">
        <v>2427</v>
      </c>
      <c r="F510" s="48" t="s">
        <v>2431</v>
      </c>
      <c r="G510" t="s">
        <v>296</v>
      </c>
      <c r="H510" s="19" t="str">
        <f t="shared" si="167"/>
        <v/>
      </c>
      <c r="I510" s="19" t="str">
        <f t="shared" si="168"/>
        <v/>
      </c>
      <c r="J510" s="19" t="str">
        <f t="shared" si="169"/>
        <v/>
      </c>
      <c r="K510" s="19" t="str">
        <f t="shared" si="170"/>
        <v/>
      </c>
      <c r="L510" s="19" t="str">
        <f t="shared" si="171"/>
        <v/>
      </c>
      <c r="M510" s="19"/>
      <c r="N510" s="22" t="str">
        <f t="shared" si="172"/>
        <v>non ancora confermato</v>
      </c>
      <c r="O510" s="31"/>
    </row>
    <row r="511" spans="1:15" ht="20.100000000000001" hidden="1" customHeight="1">
      <c r="A511" s="7" t="s">
        <v>2714</v>
      </c>
      <c r="B511" s="44" t="s">
        <v>2715</v>
      </c>
      <c r="C511" s="7" t="s">
        <v>2079</v>
      </c>
      <c r="D511" s="4">
        <v>50000</v>
      </c>
      <c r="E511" s="65" t="s">
        <v>2427</v>
      </c>
      <c r="F511" s="48" t="s">
        <v>2431</v>
      </c>
      <c r="G511" t="s">
        <v>2435</v>
      </c>
      <c r="H511" s="19" t="str">
        <f t="shared" si="167"/>
        <v/>
      </c>
      <c r="I511" s="19" t="str">
        <f t="shared" si="168"/>
        <v/>
      </c>
      <c r="J511" s="19" t="str">
        <f t="shared" si="169"/>
        <v/>
      </c>
      <c r="K511" s="19" t="str">
        <f t="shared" si="170"/>
        <v/>
      </c>
      <c r="L511" s="19" t="str">
        <f t="shared" si="171"/>
        <v/>
      </c>
      <c r="M511" s="19"/>
      <c r="N511" s="22" t="str">
        <f t="shared" si="172"/>
        <v>non ancora confermato</v>
      </c>
      <c r="O511" s="31"/>
    </row>
    <row r="512" spans="1:15" ht="20.100000000000001" hidden="1" customHeight="1">
      <c r="A512" s="7" t="s">
        <v>2714</v>
      </c>
      <c r="B512" s="44" t="s">
        <v>2715</v>
      </c>
      <c r="C512" t="s">
        <v>2084</v>
      </c>
      <c r="D512" s="4">
        <v>2024.41</v>
      </c>
      <c r="E512" s="65" t="s">
        <v>2427</v>
      </c>
      <c r="G512" t="s">
        <v>296</v>
      </c>
      <c r="H512" s="19" t="str">
        <f t="shared" si="167"/>
        <v/>
      </c>
      <c r="I512" s="19" t="str">
        <f t="shared" si="168"/>
        <v/>
      </c>
      <c r="J512" s="19" t="str">
        <f t="shared" si="169"/>
        <v/>
      </c>
      <c r="K512" s="19" t="str">
        <f t="shared" si="170"/>
        <v/>
      </c>
      <c r="L512" s="19" t="str">
        <f t="shared" si="171"/>
        <v/>
      </c>
      <c r="M512" s="19"/>
      <c r="N512" s="22" t="str">
        <f t="shared" si="172"/>
        <v>non ancora confermato</v>
      </c>
      <c r="O512" s="31"/>
    </row>
    <row r="513" spans="1:15" hidden="1">
      <c r="A513" s="7" t="s">
        <v>2714</v>
      </c>
      <c r="B513" s="44" t="s">
        <v>2715</v>
      </c>
      <c r="C513" t="s">
        <v>2142</v>
      </c>
      <c r="D513" s="4">
        <f>2639.48-D63</f>
        <v>573.77</v>
      </c>
      <c r="E513" s="65" t="s">
        <v>2427</v>
      </c>
      <c r="F513" s="130"/>
      <c r="G513" t="s">
        <v>2435</v>
      </c>
      <c r="H513" s="19" t="str">
        <f t="shared" si="167"/>
        <v/>
      </c>
      <c r="I513" s="19" t="str">
        <f t="shared" si="168"/>
        <v/>
      </c>
      <c r="J513" s="19" t="str">
        <f t="shared" si="169"/>
        <v/>
      </c>
      <c r="K513" s="19" t="str">
        <f t="shared" si="170"/>
        <v/>
      </c>
      <c r="L513" s="19" t="str">
        <f t="shared" si="171"/>
        <v/>
      </c>
      <c r="M513" s="19"/>
      <c r="N513" s="22" t="str">
        <f t="shared" si="172"/>
        <v>non ancora confermato</v>
      </c>
      <c r="O513" s="31"/>
    </row>
    <row r="514" spans="1:15" hidden="1">
      <c r="A514" s="7" t="s">
        <v>2714</v>
      </c>
      <c r="B514" s="44" t="s">
        <v>2715</v>
      </c>
      <c r="C514" t="s">
        <v>2567</v>
      </c>
      <c r="D514" s="4">
        <f>5695-D76</f>
        <v>2300</v>
      </c>
      <c r="E514" s="65" t="s">
        <v>2427</v>
      </c>
      <c r="F514" s="130"/>
      <c r="G514" t="s">
        <v>2435</v>
      </c>
      <c r="H514" s="19" t="str">
        <f t="shared" si="167"/>
        <v/>
      </c>
      <c r="I514" s="19" t="str">
        <f t="shared" si="168"/>
        <v/>
      </c>
      <c r="J514" s="19" t="str">
        <f t="shared" si="169"/>
        <v/>
      </c>
      <c r="K514" s="19" t="str">
        <f t="shared" si="170"/>
        <v/>
      </c>
      <c r="L514" s="19" t="str">
        <f t="shared" si="171"/>
        <v/>
      </c>
      <c r="M514" s="19"/>
      <c r="N514" s="22" t="str">
        <f t="shared" si="172"/>
        <v>non ancora confermato</v>
      </c>
      <c r="O514" s="31"/>
    </row>
    <row r="515" spans="1:15" ht="20.100000000000001" hidden="1" customHeight="1">
      <c r="A515" s="7" t="s">
        <v>2714</v>
      </c>
      <c r="B515" s="44" t="s">
        <v>2715</v>
      </c>
      <c r="C515" t="s">
        <v>2719</v>
      </c>
      <c r="D515" s="4">
        <v>3981</v>
      </c>
      <c r="E515" s="65" t="s">
        <v>2427</v>
      </c>
      <c r="G515" t="s">
        <v>296</v>
      </c>
      <c r="H515" s="19" t="str">
        <f t="shared" si="167"/>
        <v/>
      </c>
      <c r="I515" s="19" t="str">
        <f t="shared" si="168"/>
        <v/>
      </c>
      <c r="J515" s="19" t="str">
        <f t="shared" si="169"/>
        <v/>
      </c>
      <c r="K515" s="19" t="str">
        <f t="shared" si="170"/>
        <v/>
      </c>
      <c r="L515" s="19" t="str">
        <f t="shared" si="171"/>
        <v/>
      </c>
      <c r="M515" s="19"/>
      <c r="N515" s="22" t="str">
        <f t="shared" si="172"/>
        <v>non ancora confermato</v>
      </c>
      <c r="O515" s="31"/>
    </row>
    <row r="516" spans="1:15" ht="20.100000000000001" hidden="1" customHeight="1">
      <c r="A516" s="7" t="s">
        <v>2714</v>
      </c>
      <c r="B516" s="44" t="s">
        <v>2715</v>
      </c>
      <c r="C516" t="s">
        <v>2720</v>
      </c>
      <c r="D516" s="4">
        <v>1651</v>
      </c>
      <c r="E516" s="65" t="s">
        <v>2427</v>
      </c>
      <c r="G516" t="s">
        <v>2435</v>
      </c>
      <c r="H516" s="19" t="str">
        <f t="shared" si="167"/>
        <v/>
      </c>
      <c r="I516" s="19" t="str">
        <f t="shared" si="168"/>
        <v/>
      </c>
      <c r="J516" s="19" t="str">
        <f t="shared" si="169"/>
        <v/>
      </c>
      <c r="K516" s="19" t="str">
        <f t="shared" si="170"/>
        <v/>
      </c>
      <c r="L516" s="19" t="str">
        <f t="shared" si="171"/>
        <v/>
      </c>
      <c r="M516" s="19"/>
      <c r="N516" s="22" t="str">
        <f t="shared" si="172"/>
        <v>non ancora confermato</v>
      </c>
      <c r="O516" s="31"/>
    </row>
    <row r="517" spans="1:15" ht="20.100000000000001" hidden="1" customHeight="1">
      <c r="A517" s="7" t="s">
        <v>2714</v>
      </c>
      <c r="B517" s="44" t="s">
        <v>2715</v>
      </c>
      <c r="C517" t="s">
        <v>2721</v>
      </c>
      <c r="D517" s="4">
        <v>276</v>
      </c>
      <c r="E517" s="65" t="s">
        <v>2427</v>
      </c>
      <c r="G517" t="s">
        <v>2435</v>
      </c>
      <c r="H517" s="19" t="str">
        <f t="shared" si="167"/>
        <v/>
      </c>
      <c r="I517" s="19" t="str">
        <f t="shared" si="168"/>
        <v/>
      </c>
      <c r="J517" s="19" t="str">
        <f t="shared" si="169"/>
        <v/>
      </c>
      <c r="K517" s="19" t="str">
        <f t="shared" si="170"/>
        <v/>
      </c>
      <c r="L517" s="19" t="str">
        <f t="shared" si="171"/>
        <v/>
      </c>
      <c r="M517" s="19" t="str">
        <f>IF(AND($F517="X",$G517="CASSA"),IF($E517="U",-$D517,$D517),"")</f>
        <v/>
      </c>
      <c r="N517" s="22" t="str">
        <f t="shared" si="172"/>
        <v>non ancora confermato</v>
      </c>
      <c r="O517" s="31" t="s">
        <v>2086</v>
      </c>
    </row>
    <row r="518" spans="1:15" hidden="1">
      <c r="A518" s="7" t="s">
        <v>2714</v>
      </c>
      <c r="B518" s="44" t="s">
        <v>2715</v>
      </c>
      <c r="C518" t="s">
        <v>2722</v>
      </c>
      <c r="D518" s="4">
        <v>2731.58</v>
      </c>
      <c r="E518" s="65" t="s">
        <v>2427</v>
      </c>
      <c r="G518" t="s">
        <v>2435</v>
      </c>
      <c r="H518" s="19" t="str">
        <f t="shared" si="167"/>
        <v/>
      </c>
      <c r="I518" s="19" t="str">
        <f t="shared" si="168"/>
        <v/>
      </c>
      <c r="J518" s="19" t="str">
        <f t="shared" si="169"/>
        <v/>
      </c>
      <c r="K518" s="19" t="str">
        <f t="shared" si="170"/>
        <v/>
      </c>
      <c r="L518" s="19" t="str">
        <f t="shared" si="171"/>
        <v/>
      </c>
      <c r="M518" s="19"/>
      <c r="N518" s="22" t="str">
        <f t="shared" ref="N518:N533" si="173">IF(F518="X",IF(E518="U",-D518,D518),"non ancora confermato")</f>
        <v>non ancora confermato</v>
      </c>
      <c r="O518" s="31" t="s">
        <v>2086</v>
      </c>
    </row>
    <row r="519" spans="1:15" hidden="1">
      <c r="A519" s="7" t="s">
        <v>2714</v>
      </c>
      <c r="B519" s="44" t="s">
        <v>2715</v>
      </c>
      <c r="C519" t="s">
        <v>2723</v>
      </c>
      <c r="D519" s="4">
        <v>150000</v>
      </c>
      <c r="E519" s="65" t="s">
        <v>2527</v>
      </c>
      <c r="G519" t="s">
        <v>345</v>
      </c>
      <c r="H519" s="19"/>
      <c r="I519" s="19"/>
      <c r="J519" s="19"/>
      <c r="K519" s="19"/>
      <c r="L519" s="19"/>
      <c r="M519" s="19"/>
      <c r="N519" s="22" t="str">
        <f t="shared" si="173"/>
        <v>non ancora confermato</v>
      </c>
      <c r="O519" s="31"/>
    </row>
    <row r="520" spans="1:15" hidden="1">
      <c r="A520" s="7" t="s">
        <v>2714</v>
      </c>
      <c r="B520" s="44" t="s">
        <v>2715</v>
      </c>
      <c r="C520" t="s">
        <v>2724</v>
      </c>
      <c r="D520" s="4">
        <v>700000</v>
      </c>
      <c r="E520" s="65" t="s">
        <v>2527</v>
      </c>
      <c r="G520" t="s">
        <v>345</v>
      </c>
      <c r="H520" s="19"/>
      <c r="I520" s="19"/>
      <c r="J520" s="19"/>
      <c r="K520" s="19"/>
      <c r="L520" s="19"/>
      <c r="M520" s="19"/>
      <c r="N520" s="22" t="str">
        <f t="shared" si="173"/>
        <v>non ancora confermato</v>
      </c>
      <c r="O520" s="31"/>
    </row>
    <row r="521" spans="1:15" ht="20.100000000000001" hidden="1" customHeight="1">
      <c r="A521" s="7" t="s">
        <v>2714</v>
      </c>
      <c r="B521" s="44" t="s">
        <v>2715</v>
      </c>
      <c r="C521" t="s">
        <v>2130</v>
      </c>
      <c r="D521" s="4">
        <v>111.58</v>
      </c>
      <c r="E521" s="65" t="s">
        <v>2427</v>
      </c>
      <c r="F521" s="131" t="s">
        <v>49</v>
      </c>
      <c r="G521" t="s">
        <v>345</v>
      </c>
      <c r="H521" s="19">
        <f t="shared" ref="H521:H533" si="174">IF(AND($F521="X",$G521="BCC"),IF($E521="U",-$D521,$D521),"")</f>
        <v>-111.58</v>
      </c>
      <c r="I521" s="19" t="str">
        <f t="shared" ref="I521:I533" si="175">IF(AND($F521="X",$G521="INTESA"),IF($E521="U",-$D521,$D521),"")</f>
        <v/>
      </c>
      <c r="J521" s="19" t="str">
        <f t="shared" ref="J521:J533" si="176">IF(AND($F521="X",$G521="BPM"),IF($E521="U",-$D521,$D521),"")</f>
        <v/>
      </c>
      <c r="K521" s="19" t="str">
        <f t="shared" ref="K521:K533" si="177">IF(AND($F521="X",$G521="SONDRIO"),IF($E521="U",-$D521,$D521),"")</f>
        <v/>
      </c>
      <c r="L521" s="19" t="str">
        <f t="shared" ref="L521:L533" si="178">IF(AND($F521="X",$G521="BPER"),IF($E521="U",-$D521,$D521),"")</f>
        <v/>
      </c>
      <c r="M521" s="19"/>
      <c r="N521" s="22">
        <f t="shared" si="173"/>
        <v>-111.58</v>
      </c>
      <c r="O521" s="31"/>
    </row>
    <row r="522" spans="1:15" hidden="1">
      <c r="A522" s="7" t="s">
        <v>2714</v>
      </c>
      <c r="B522" s="44" t="s">
        <v>2715</v>
      </c>
      <c r="C522" t="s">
        <v>2214</v>
      </c>
      <c r="D522" s="4">
        <f>(7478-$D$233)/2</f>
        <v>2439.6999999999998</v>
      </c>
      <c r="E522" s="65" t="s">
        <v>2427</v>
      </c>
      <c r="F522" s="48" t="s">
        <v>2431</v>
      </c>
      <c r="G522" t="s">
        <v>2435</v>
      </c>
      <c r="H522" s="19" t="str">
        <f t="shared" si="174"/>
        <v/>
      </c>
      <c r="I522" s="19" t="str">
        <f t="shared" si="175"/>
        <v/>
      </c>
      <c r="J522" s="19" t="str">
        <f t="shared" si="176"/>
        <v/>
      </c>
      <c r="K522" s="19" t="str">
        <f t="shared" si="177"/>
        <v/>
      </c>
      <c r="L522" s="19" t="str">
        <f t="shared" si="178"/>
        <v/>
      </c>
      <c r="M522" s="19"/>
      <c r="N522" s="22" t="str">
        <f t="shared" si="173"/>
        <v>non ancora confermato</v>
      </c>
      <c r="O522" s="31"/>
    </row>
    <row r="523" spans="1:15" hidden="1">
      <c r="A523" s="7" t="s">
        <v>2714</v>
      </c>
      <c r="B523" s="44" t="s">
        <v>2715</v>
      </c>
      <c r="C523" t="s">
        <v>2214</v>
      </c>
      <c r="D523" s="4">
        <v>427.6</v>
      </c>
      <c r="E523" s="65" t="s">
        <v>2427</v>
      </c>
      <c r="F523" s="48" t="s">
        <v>2431</v>
      </c>
      <c r="G523" t="s">
        <v>2435</v>
      </c>
      <c r="H523" s="19" t="str">
        <f t="shared" si="174"/>
        <v/>
      </c>
      <c r="I523" s="19" t="str">
        <f t="shared" si="175"/>
        <v/>
      </c>
      <c r="J523" s="19" t="str">
        <f t="shared" si="176"/>
        <v/>
      </c>
      <c r="K523" s="19" t="str">
        <f t="shared" si="177"/>
        <v/>
      </c>
      <c r="L523" s="19" t="str">
        <f t="shared" si="178"/>
        <v/>
      </c>
      <c r="M523" s="19"/>
      <c r="N523" s="22" t="str">
        <f t="shared" si="173"/>
        <v>non ancora confermato</v>
      </c>
      <c r="O523" s="31"/>
    </row>
    <row r="524" spans="1:15" hidden="1">
      <c r="A524" s="7" t="s">
        <v>2714</v>
      </c>
      <c r="B524" s="44" t="s">
        <v>2715</v>
      </c>
      <c r="C524" t="s">
        <v>2141</v>
      </c>
      <c r="D524" s="4">
        <v>81</v>
      </c>
      <c r="E524" s="65" t="s">
        <v>2427</v>
      </c>
      <c r="F524" s="48" t="s">
        <v>2431</v>
      </c>
      <c r="G524" t="s">
        <v>2435</v>
      </c>
      <c r="H524" s="19" t="str">
        <f t="shared" si="174"/>
        <v/>
      </c>
      <c r="I524" s="19" t="str">
        <f t="shared" si="175"/>
        <v/>
      </c>
      <c r="J524" s="19" t="str">
        <f t="shared" si="176"/>
        <v/>
      </c>
      <c r="K524" s="19" t="str">
        <f t="shared" si="177"/>
        <v/>
      </c>
      <c r="L524" s="19" t="str">
        <f t="shared" si="178"/>
        <v/>
      </c>
      <c r="M524" s="19"/>
      <c r="N524" s="22" t="str">
        <f t="shared" si="173"/>
        <v>non ancora confermato</v>
      </c>
      <c r="O524" s="31"/>
    </row>
    <row r="525" spans="1:15" hidden="1">
      <c r="A525" s="7" t="s">
        <v>2714</v>
      </c>
      <c r="B525" s="44" t="s">
        <v>2715</v>
      </c>
      <c r="C525" t="s">
        <v>2196</v>
      </c>
      <c r="D525" s="4">
        <v>410</v>
      </c>
      <c r="E525" s="65" t="s">
        <v>2427</v>
      </c>
      <c r="F525" s="48" t="s">
        <v>2431</v>
      </c>
      <c r="G525" t="s">
        <v>2435</v>
      </c>
      <c r="H525" s="19" t="str">
        <f t="shared" si="174"/>
        <v/>
      </c>
      <c r="I525" s="19" t="str">
        <f t="shared" si="175"/>
        <v/>
      </c>
      <c r="J525" s="19" t="str">
        <f t="shared" si="176"/>
        <v/>
      </c>
      <c r="K525" s="19" t="str">
        <f t="shared" si="177"/>
        <v/>
      </c>
      <c r="L525" s="19" t="str">
        <f t="shared" si="178"/>
        <v/>
      </c>
      <c r="M525" s="19"/>
      <c r="N525" s="22" t="str">
        <f t="shared" si="173"/>
        <v>non ancora confermato</v>
      </c>
      <c r="O525" s="31"/>
    </row>
    <row r="526" spans="1:15" hidden="1">
      <c r="A526" s="7" t="s">
        <v>2714</v>
      </c>
      <c r="B526" s="44" t="s">
        <v>2715</v>
      </c>
      <c r="C526" t="s">
        <v>2355</v>
      </c>
      <c r="D526" s="4">
        <v>36.6</v>
      </c>
      <c r="E526" s="65" t="s">
        <v>2427</v>
      </c>
      <c r="F526" s="48" t="s">
        <v>2431</v>
      </c>
      <c r="G526" t="s">
        <v>2435</v>
      </c>
      <c r="H526" s="19" t="str">
        <f t="shared" si="174"/>
        <v/>
      </c>
      <c r="I526" s="19" t="str">
        <f t="shared" si="175"/>
        <v/>
      </c>
      <c r="J526" s="19" t="str">
        <f t="shared" si="176"/>
        <v/>
      </c>
      <c r="K526" s="19" t="str">
        <f t="shared" si="177"/>
        <v/>
      </c>
      <c r="L526" s="19" t="str">
        <f t="shared" si="178"/>
        <v/>
      </c>
      <c r="M526" s="19"/>
      <c r="N526" s="22" t="str">
        <f t="shared" si="173"/>
        <v>non ancora confermato</v>
      </c>
      <c r="O526" s="31"/>
    </row>
    <row r="527" spans="1:15" hidden="1">
      <c r="A527" s="7" t="s">
        <v>2714</v>
      </c>
      <c r="B527" s="44" t="s">
        <v>2715</v>
      </c>
      <c r="C527" t="s">
        <v>2252</v>
      </c>
      <c r="D527" s="4">
        <v>227.51</v>
      </c>
      <c r="E527" s="65" t="s">
        <v>2427</v>
      </c>
      <c r="F527" s="48" t="s">
        <v>2431</v>
      </c>
      <c r="G527" t="s">
        <v>2435</v>
      </c>
      <c r="H527" s="19" t="str">
        <f t="shared" si="174"/>
        <v/>
      </c>
      <c r="I527" s="19" t="str">
        <f t="shared" si="175"/>
        <v/>
      </c>
      <c r="J527" s="19" t="str">
        <f t="shared" si="176"/>
        <v/>
      </c>
      <c r="K527" s="19" t="str">
        <f t="shared" si="177"/>
        <v/>
      </c>
      <c r="L527" s="19" t="str">
        <f t="shared" si="178"/>
        <v/>
      </c>
      <c r="M527" s="19"/>
      <c r="N527" s="22" t="str">
        <f t="shared" si="173"/>
        <v>non ancora confermato</v>
      </c>
      <c r="O527" s="31"/>
    </row>
    <row r="528" spans="1:15" hidden="1">
      <c r="A528" s="7" t="s">
        <v>2714</v>
      </c>
      <c r="B528" s="44" t="s">
        <v>2715</v>
      </c>
      <c r="C528" t="s">
        <v>2214</v>
      </c>
      <c r="D528" s="4">
        <f>(7478-$D$233)/2</f>
        <v>2439.6999999999998</v>
      </c>
      <c r="E528" s="65" t="s">
        <v>2427</v>
      </c>
      <c r="F528" s="48" t="s">
        <v>2431</v>
      </c>
      <c r="G528" t="s">
        <v>2435</v>
      </c>
      <c r="H528" s="19" t="str">
        <f t="shared" si="174"/>
        <v/>
      </c>
      <c r="I528" s="19" t="str">
        <f t="shared" si="175"/>
        <v/>
      </c>
      <c r="J528" s="19" t="str">
        <f t="shared" si="176"/>
        <v/>
      </c>
      <c r="K528" s="19" t="str">
        <f t="shared" si="177"/>
        <v/>
      </c>
      <c r="L528" s="19" t="str">
        <f t="shared" si="178"/>
        <v/>
      </c>
      <c r="M528" s="19"/>
      <c r="N528" s="22" t="str">
        <f t="shared" si="173"/>
        <v>non ancora confermato</v>
      </c>
      <c r="O528" s="31"/>
    </row>
    <row r="529" spans="1:16">
      <c r="A529" s="7" t="s">
        <v>2714</v>
      </c>
      <c r="B529" s="44" t="s">
        <v>2715</v>
      </c>
      <c r="C529" t="s">
        <v>2321</v>
      </c>
      <c r="D529" s="4">
        <f>990.22-552.73</f>
        <v>437.49</v>
      </c>
      <c r="E529" s="65" t="s">
        <v>2427</v>
      </c>
      <c r="G529" t="s">
        <v>2435</v>
      </c>
      <c r="H529" s="19" t="str">
        <f t="shared" si="174"/>
        <v/>
      </c>
      <c r="I529" s="19" t="str">
        <f t="shared" si="175"/>
        <v/>
      </c>
      <c r="J529" s="19" t="str">
        <f t="shared" si="176"/>
        <v/>
      </c>
      <c r="K529" s="19" t="str">
        <f t="shared" si="177"/>
        <v/>
      </c>
      <c r="L529" s="19" t="str">
        <f t="shared" si="178"/>
        <v/>
      </c>
      <c r="M529" s="19"/>
      <c r="N529" s="22" t="str">
        <f t="shared" si="173"/>
        <v>non ancora confermato</v>
      </c>
      <c r="O529" s="31"/>
    </row>
    <row r="530" spans="1:16" hidden="1">
      <c r="A530" s="7" t="s">
        <v>2714</v>
      </c>
      <c r="B530" s="44" t="s">
        <v>2715</v>
      </c>
      <c r="C530" t="s">
        <v>2725</v>
      </c>
      <c r="D530" s="4">
        <v>80000</v>
      </c>
      <c r="E530" s="65" t="s">
        <v>2527</v>
      </c>
      <c r="G530" t="s">
        <v>345</v>
      </c>
      <c r="H530" s="19" t="str">
        <f t="shared" si="174"/>
        <v/>
      </c>
      <c r="I530" s="19" t="str">
        <f t="shared" si="175"/>
        <v/>
      </c>
      <c r="J530" s="19" t="str">
        <f t="shared" si="176"/>
        <v/>
      </c>
      <c r="K530" s="19" t="str">
        <f t="shared" si="177"/>
        <v/>
      </c>
      <c r="L530" s="19" t="str">
        <f t="shared" si="178"/>
        <v/>
      </c>
      <c r="M530" s="19"/>
      <c r="N530" s="22" t="str">
        <f t="shared" si="173"/>
        <v>non ancora confermato</v>
      </c>
      <c r="O530" s="31"/>
    </row>
    <row r="531" spans="1:16" hidden="1">
      <c r="A531" s="7" t="s">
        <v>2714</v>
      </c>
      <c r="B531" s="44" t="s">
        <v>2715</v>
      </c>
      <c r="C531" t="s">
        <v>2726</v>
      </c>
      <c r="D531" s="4">
        <v>10000</v>
      </c>
      <c r="E531" s="65" t="s">
        <v>2527</v>
      </c>
      <c r="G531" t="s">
        <v>345</v>
      </c>
      <c r="H531" s="19" t="str">
        <f t="shared" si="174"/>
        <v/>
      </c>
      <c r="I531" s="19" t="str">
        <f t="shared" si="175"/>
        <v/>
      </c>
      <c r="J531" s="19" t="str">
        <f t="shared" si="176"/>
        <v/>
      </c>
      <c r="K531" s="19" t="str">
        <f t="shared" si="177"/>
        <v/>
      </c>
      <c r="L531" s="19" t="str">
        <f t="shared" si="178"/>
        <v/>
      </c>
      <c r="M531" s="19"/>
      <c r="N531" s="22" t="str">
        <f t="shared" si="173"/>
        <v>non ancora confermato</v>
      </c>
      <c r="O531" s="31"/>
    </row>
    <row r="532" spans="1:16" hidden="1">
      <c r="A532" s="7" t="s">
        <v>2714</v>
      </c>
      <c r="B532" s="44" t="s">
        <v>2715</v>
      </c>
      <c r="C532" t="s">
        <v>2727</v>
      </c>
      <c r="D532" s="4">
        <v>200000</v>
      </c>
      <c r="E532" s="65" t="s">
        <v>2527</v>
      </c>
      <c r="F532" s="48" t="s">
        <v>2431</v>
      </c>
      <c r="G532" t="s">
        <v>345</v>
      </c>
      <c r="H532" s="19" t="str">
        <f t="shared" si="174"/>
        <v/>
      </c>
      <c r="I532" s="19" t="str">
        <f t="shared" si="175"/>
        <v/>
      </c>
      <c r="J532" s="19" t="str">
        <f t="shared" si="176"/>
        <v/>
      </c>
      <c r="K532" s="19" t="str">
        <f t="shared" si="177"/>
        <v/>
      </c>
      <c r="L532" s="19" t="str">
        <f t="shared" si="178"/>
        <v/>
      </c>
      <c r="M532" s="19"/>
      <c r="N532" s="22" t="str">
        <f t="shared" si="173"/>
        <v>non ancora confermato</v>
      </c>
      <c r="O532" s="31"/>
    </row>
    <row r="533" spans="1:16" hidden="1">
      <c r="A533" s="7" t="s">
        <v>2714</v>
      </c>
      <c r="B533" s="44" t="s">
        <v>2715</v>
      </c>
      <c r="C533" t="s">
        <v>2074</v>
      </c>
      <c r="D533" s="4">
        <f>SUM(6470.29)-$D$69-$D$133</f>
        <v>2470.29</v>
      </c>
      <c r="E533" s="65" t="s">
        <v>2427</v>
      </c>
      <c r="F533" s="48" t="s">
        <v>2431</v>
      </c>
      <c r="G533" t="s">
        <v>2435</v>
      </c>
      <c r="H533" s="19" t="str">
        <f t="shared" si="174"/>
        <v/>
      </c>
      <c r="I533" s="19" t="str">
        <f t="shared" si="175"/>
        <v/>
      </c>
      <c r="J533" s="19" t="str">
        <f t="shared" si="176"/>
        <v/>
      </c>
      <c r="K533" s="19" t="str">
        <f t="shared" si="177"/>
        <v/>
      </c>
      <c r="L533" s="19" t="str">
        <f t="shared" si="178"/>
        <v/>
      </c>
      <c r="M533" s="19"/>
      <c r="N533" s="22" t="str">
        <f t="shared" si="173"/>
        <v>non ancora confermato</v>
      </c>
      <c r="O533" s="31"/>
    </row>
    <row r="534" spans="1:16" ht="30" hidden="1" customHeight="1">
      <c r="A534" s="13"/>
      <c r="B534" s="53"/>
      <c r="C534" s="9"/>
      <c r="D534" s="10"/>
      <c r="F534" s="45" t="s">
        <v>2516</v>
      </c>
      <c r="G534" s="36">
        <f>SUMIF(E429:E533, "E", D429:D533)</f>
        <v>1140000</v>
      </c>
      <c r="H534" s="18" t="s">
        <v>2517</v>
      </c>
      <c r="I534" s="36">
        <f>SUMIF(E45:E533, "U", D45:D533)</f>
        <v>1478937.0500000007</v>
      </c>
      <c r="J534" s="37" t="s">
        <v>2518</v>
      </c>
      <c r="K534" s="19">
        <f>G534-I534</f>
        <v>-338937.05000000075</v>
      </c>
      <c r="L534" s="18" t="s">
        <v>2519</v>
      </c>
      <c r="M534" s="18"/>
      <c r="N534" s="19">
        <f>N487+D487</f>
        <v>1020036.2899999999</v>
      </c>
      <c r="O534" s="31"/>
    </row>
    <row r="535" spans="1:16" hidden="1">
      <c r="A535" s="29"/>
      <c r="B535" s="52"/>
      <c r="C535" s="24"/>
      <c r="D535" s="25"/>
      <c r="E535" s="66"/>
      <c r="F535" s="47"/>
      <c r="G535" s="24" t="s">
        <v>2509</v>
      </c>
      <c r="H535" s="26">
        <f>SUM(H487:H533)</f>
        <v>-114.47</v>
      </c>
      <c r="I535" s="26">
        <f>SUM(I487:I533)</f>
        <v>74798.796666666662</v>
      </c>
      <c r="J535" s="26">
        <f>SUM(J487:J533)</f>
        <v>34.39</v>
      </c>
      <c r="K535" s="26">
        <f>SUM(K487:K533)</f>
        <v>-73950.57666666666</v>
      </c>
      <c r="L535" s="26">
        <f>SUM(L487:L533)</f>
        <v>-3009.95</v>
      </c>
      <c r="M535" s="26"/>
      <c r="N535" s="26">
        <f>SUM(H535:L535)</f>
        <v>-2241.8100000000004</v>
      </c>
      <c r="O535" s="35" t="s">
        <v>2522</v>
      </c>
      <c r="P535" s="19">
        <f>P487+K534</f>
        <v>-836916.70000000077</v>
      </c>
    </row>
    <row r="536" spans="1:16" ht="15" customHeight="1"/>
    <row r="537" spans="1:16" ht="15" customHeight="1"/>
    <row r="538" spans="1:16" ht="15" customHeight="1"/>
    <row r="539" spans="1:16" ht="15" customHeight="1"/>
    <row r="540" spans="1:16" ht="15" customHeight="1"/>
    <row r="541" spans="1:16" ht="15" customHeight="1"/>
    <row r="542" spans="1:16" ht="15" customHeight="1">
      <c r="G542" t="s">
        <v>3298</v>
      </c>
    </row>
    <row r="543" spans="1:16" ht="15" customHeight="1"/>
    <row r="544" spans="1:16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</sheetData>
  <conditionalFormatting sqref="E4:E8 E10:E128 E130:E373 E375:E412 E414:E438 E440:E453 E455:E1048576">
    <cfRule type="cellIs" dxfId="108" priority="112" operator="equal">
      <formula>"E"</formula>
    </cfRule>
    <cfRule type="cellIs" dxfId="107" priority="113" operator="equal">
      <formula>"U"</formula>
    </cfRule>
  </conditionalFormatting>
  <conditionalFormatting sqref="H4:M7 M150:M156 M223:M284 M289:M294 M300:M303 M325:M358 M366 M471">
    <cfRule type="cellIs" dxfId="106" priority="237" operator="greaterThan">
      <formula>0</formula>
    </cfRule>
    <cfRule type="cellIs" dxfId="105" priority="238" operator="lessThan">
      <formula>0</formula>
    </cfRule>
  </conditionalFormatting>
  <conditionalFormatting sqref="H9:M9">
    <cfRule type="cellIs" dxfId="104" priority="148" operator="lessThan">
      <formula>0</formula>
    </cfRule>
  </conditionalFormatting>
  <conditionalFormatting sqref="H9:M127 H129:M217 H219:M286 H288:M372 H374:M411 H413:M437 H439:M452 H454:M466 H468:M475 H477:M485 I487:N487 H487:M533">
    <cfRule type="cellIs" dxfId="103" priority="27" operator="greaterThan">
      <formula>0</formula>
    </cfRule>
  </conditionalFormatting>
  <conditionalFormatting sqref="H10:M127 H130:M217 H220:M286 H289:M372 H375:M411 H414:M437 H440:M452 H455:M466 H469:M475 H478:M485 H488:M533">
    <cfRule type="cellIs" dxfId="102" priority="28" operator="lessThan">
      <formula>0</formula>
    </cfRule>
  </conditionalFormatting>
  <conditionalFormatting sqref="H129:M129">
    <cfRule type="cellIs" dxfId="101" priority="150" operator="lessThan">
      <formula>0</formula>
    </cfRule>
  </conditionalFormatting>
  <conditionalFormatting sqref="H219:N219">
    <cfRule type="cellIs" dxfId="100" priority="152" operator="lessThan">
      <formula>0</formula>
    </cfRule>
  </conditionalFormatting>
  <conditionalFormatting sqref="H288:N288">
    <cfRule type="cellIs" dxfId="99" priority="154" operator="lessThan">
      <formula>0</formula>
    </cfRule>
  </conditionalFormatting>
  <conditionalFormatting sqref="H374:N374">
    <cfRule type="cellIs" dxfId="98" priority="125" operator="lessThan">
      <formula>0</formula>
    </cfRule>
  </conditionalFormatting>
  <conditionalFormatting sqref="H413:N413">
    <cfRule type="cellIs" dxfId="97" priority="123" operator="lessThan">
      <formula>0</formula>
    </cfRule>
  </conditionalFormatting>
  <conditionalFormatting sqref="H439:N439">
    <cfRule type="cellIs" dxfId="96" priority="121" operator="lessThan">
      <formula>0</formula>
    </cfRule>
  </conditionalFormatting>
  <conditionalFormatting sqref="H454:N454">
    <cfRule type="cellIs" dxfId="95" priority="119" operator="lessThan">
      <formula>0</formula>
    </cfRule>
  </conditionalFormatting>
  <conditionalFormatting sqref="H468:N468">
    <cfRule type="cellIs" dxfId="94" priority="117" operator="lessThan">
      <formula>0</formula>
    </cfRule>
  </conditionalFormatting>
  <conditionalFormatting sqref="H477:N477">
    <cfRule type="cellIs" dxfId="93" priority="5" operator="lessThan">
      <formula>0</formula>
    </cfRule>
  </conditionalFormatting>
  <conditionalFormatting sqref="H487:N487">
    <cfRule type="cellIs" dxfId="92" priority="115" operator="lessThan">
      <formula>0</formula>
    </cfRule>
  </conditionalFormatting>
  <conditionalFormatting sqref="H535:N535">
    <cfRule type="cellIs" dxfId="91" priority="145" operator="greaterThan">
      <formula>0</formula>
    </cfRule>
    <cfRule type="cellIs" dxfId="90" priority="146" operator="lessThan">
      <formula>0</formula>
    </cfRule>
  </conditionalFormatting>
  <conditionalFormatting sqref="K8">
    <cfRule type="cellIs" dxfId="89" priority="271" operator="greaterThan">
      <formula>0</formula>
    </cfRule>
    <cfRule type="cellIs" dxfId="88" priority="272" operator="lessThan">
      <formula>0</formula>
    </cfRule>
  </conditionalFormatting>
  <conditionalFormatting sqref="K128">
    <cfRule type="cellIs" dxfId="87" priority="273" operator="greaterThan">
      <formula>0</formula>
    </cfRule>
    <cfRule type="cellIs" dxfId="86" priority="274" operator="lessThan">
      <formula>0</formula>
    </cfRule>
  </conditionalFormatting>
  <conditionalFormatting sqref="K218">
    <cfRule type="cellIs" dxfId="85" priority="255" operator="greaterThan">
      <formula>0</formula>
    </cfRule>
    <cfRule type="cellIs" dxfId="84" priority="256" operator="lessThan">
      <formula>0</formula>
    </cfRule>
  </conditionalFormatting>
  <conditionalFormatting sqref="K287">
    <cfRule type="cellIs" dxfId="83" priority="253" operator="greaterThan">
      <formula>0</formula>
    </cfRule>
    <cfRule type="cellIs" dxfId="82" priority="254" operator="lessThan">
      <formula>0</formula>
    </cfRule>
  </conditionalFormatting>
  <conditionalFormatting sqref="K373">
    <cfRule type="cellIs" dxfId="81" priority="251" operator="greaterThan">
      <formula>0</formula>
    </cfRule>
    <cfRule type="cellIs" dxfId="80" priority="252" operator="lessThan">
      <formula>0</formula>
    </cfRule>
  </conditionalFormatting>
  <conditionalFormatting sqref="K412">
    <cfRule type="cellIs" dxfId="79" priority="249" operator="greaterThan">
      <formula>0</formula>
    </cfRule>
    <cfRule type="cellIs" dxfId="78" priority="250" operator="lessThan">
      <formula>0</formula>
    </cfRule>
  </conditionalFormatting>
  <conditionalFormatting sqref="K438">
    <cfRule type="cellIs" dxfId="77" priority="247" operator="greaterThan">
      <formula>0</formula>
    </cfRule>
    <cfRule type="cellIs" dxfId="76" priority="248" operator="lessThan">
      <formula>0</formula>
    </cfRule>
  </conditionalFormatting>
  <conditionalFormatting sqref="K453">
    <cfRule type="cellIs" dxfId="75" priority="245" operator="greaterThan">
      <formula>0</formula>
    </cfRule>
    <cfRule type="cellIs" dxfId="74" priority="246" operator="lessThan">
      <formula>0</formula>
    </cfRule>
  </conditionalFormatting>
  <conditionalFormatting sqref="K467">
    <cfRule type="cellIs" dxfId="73" priority="243" operator="greaterThan">
      <formula>0</formula>
    </cfRule>
    <cfRule type="cellIs" dxfId="72" priority="244" operator="lessThan">
      <formula>0</formula>
    </cfRule>
  </conditionalFormatting>
  <conditionalFormatting sqref="K476 K486">
    <cfRule type="cellIs" dxfId="71" priority="241" operator="greaterThan">
      <formula>0</formula>
    </cfRule>
    <cfRule type="cellIs" dxfId="70" priority="242" operator="lessThan">
      <formula>0</formula>
    </cfRule>
  </conditionalFormatting>
  <conditionalFormatting sqref="K534">
    <cfRule type="cellIs" dxfId="69" priority="64" operator="greaterThan">
      <formula>0</formula>
    </cfRule>
    <cfRule type="cellIs" dxfId="68" priority="65" operator="lessThan">
      <formula>0</formula>
    </cfRule>
  </conditionalFormatting>
  <conditionalFormatting sqref="N8:N9">
    <cfRule type="cellIs" dxfId="67" priority="193" operator="greaterThan">
      <formula>0</formula>
    </cfRule>
    <cfRule type="cellIs" dxfId="66" priority="194" operator="lessThan">
      <formula>0</formula>
    </cfRule>
  </conditionalFormatting>
  <conditionalFormatting sqref="N128:N129">
    <cfRule type="cellIs" dxfId="65" priority="195" operator="greaterThan">
      <formula>0</formula>
    </cfRule>
    <cfRule type="cellIs" dxfId="64" priority="196" operator="lessThan">
      <formula>0</formula>
    </cfRule>
  </conditionalFormatting>
  <conditionalFormatting sqref="N218">
    <cfRule type="cellIs" dxfId="63" priority="204" operator="lessThan">
      <formula>0</formula>
    </cfRule>
  </conditionalFormatting>
  <conditionalFormatting sqref="N218:N219">
    <cfRule type="cellIs" dxfId="62" priority="191" operator="greaterThan">
      <formula>0</formula>
    </cfRule>
  </conditionalFormatting>
  <conditionalFormatting sqref="N287">
    <cfRule type="cellIs" dxfId="61" priority="206" operator="lessThan">
      <formula>0</formula>
    </cfRule>
  </conditionalFormatting>
  <conditionalFormatting sqref="N287:N288">
    <cfRule type="cellIs" dxfId="60" priority="189" operator="greaterThan">
      <formula>0</formula>
    </cfRule>
  </conditionalFormatting>
  <conditionalFormatting sqref="N373">
    <cfRule type="cellIs" dxfId="59" priority="208" operator="lessThan">
      <formula>0</formula>
    </cfRule>
  </conditionalFormatting>
  <conditionalFormatting sqref="N373:N374">
    <cfRule type="cellIs" dxfId="58" priority="124" operator="greaterThan">
      <formula>0</formula>
    </cfRule>
  </conditionalFormatting>
  <conditionalFormatting sqref="N412">
    <cfRule type="cellIs" dxfId="57" priority="210" operator="lessThan">
      <formula>0</formula>
    </cfRule>
  </conditionalFormatting>
  <conditionalFormatting sqref="N412:N413">
    <cfRule type="cellIs" dxfId="56" priority="122" operator="greaterThan">
      <formula>0</formula>
    </cfRule>
  </conditionalFormatting>
  <conditionalFormatting sqref="N438">
    <cfRule type="cellIs" dxfId="55" priority="212" operator="lessThan">
      <formula>0</formula>
    </cfRule>
  </conditionalFormatting>
  <conditionalFormatting sqref="N438:N439">
    <cfRule type="cellIs" dxfId="54" priority="120" operator="greaterThan">
      <formula>0</formula>
    </cfRule>
  </conditionalFormatting>
  <conditionalFormatting sqref="N453">
    <cfRule type="cellIs" dxfId="53" priority="198" operator="lessThan">
      <formula>0</formula>
    </cfRule>
  </conditionalFormatting>
  <conditionalFormatting sqref="N453:N454">
    <cfRule type="cellIs" dxfId="52" priority="118" operator="greaterThan">
      <formula>0</formula>
    </cfRule>
  </conditionalFormatting>
  <conditionalFormatting sqref="N467">
    <cfRule type="cellIs" dxfId="51" priority="214" operator="lessThan">
      <formula>0</formula>
    </cfRule>
  </conditionalFormatting>
  <conditionalFormatting sqref="N467:N468">
    <cfRule type="cellIs" dxfId="50" priority="116" operator="greaterThan">
      <formula>0</formula>
    </cfRule>
  </conditionalFormatting>
  <conditionalFormatting sqref="N476 N486">
    <cfRule type="cellIs" dxfId="49" priority="216" operator="lessThan">
      <formula>0</formula>
    </cfRule>
  </conditionalFormatting>
  <conditionalFormatting sqref="N476:N477">
    <cfRule type="cellIs" dxfId="48" priority="4" operator="greaterThan">
      <formula>0</formula>
    </cfRule>
  </conditionalFormatting>
  <conditionalFormatting sqref="N486:N487">
    <cfRule type="cellIs" dxfId="47" priority="114" operator="greaterThan">
      <formula>0</formula>
    </cfRule>
  </conditionalFormatting>
  <conditionalFormatting sqref="N534">
    <cfRule type="cellIs" dxfId="46" priority="143" operator="greaterThan">
      <formula>0</formula>
    </cfRule>
    <cfRule type="cellIs" dxfId="45" priority="144" operator="lessThan">
      <formula>0</formula>
    </cfRule>
  </conditionalFormatting>
  <conditionalFormatting sqref="O128">
    <cfRule type="cellIs" dxfId="44" priority="127" operator="greaterThan">
      <formula>0</formula>
    </cfRule>
  </conditionalFormatting>
  <conditionalFormatting sqref="O218">
    <cfRule type="cellIs" dxfId="43" priority="126" operator="greaterThan">
      <formula>0</formula>
    </cfRule>
  </conditionalFormatting>
  <conditionalFormatting sqref="P535">
    <cfRule type="cellIs" dxfId="42" priority="62" operator="greaterThan">
      <formula>0</formula>
    </cfRule>
    <cfRule type="cellIs" dxfId="41" priority="63" operator="lessThan">
      <formula>0</formula>
    </cfRule>
  </conditionalFormatting>
  <hyperlinks>
    <hyperlink ref="O299" r:id="rId1" display="SETTEMBRE" xr:uid="{E53E30CC-DD95-44E3-BC92-B60CE9FA0ACF}"/>
    <hyperlink ref="O92" r:id="rId2" xr:uid="{52D943E2-D8B7-4157-82DB-69CDBA8941FE}"/>
  </hyperlinks>
  <pageMargins left="0.74803149606299213" right="0.74803149606299213" top="0.98425196850393704" bottom="0.98425196850393704" header="0.51181102362204722" footer="0.51181102362204722"/>
  <pageSetup paperSize="8" scale="10" orientation="portrait" horizontalDpi="1200" verticalDpi="1200" r:id="rId3"/>
  <legacyDrawing r:id="rId4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/>
  <dimension ref="A1:J149"/>
  <sheetViews>
    <sheetView zoomScale="70" zoomScaleNormal="70" workbookViewId="0">
      <selection activeCell="P22" sqref="P22"/>
    </sheetView>
  </sheetViews>
  <sheetFormatPr defaultRowHeight="21"/>
  <cols>
    <col min="1" max="1" width="18.5703125" customWidth="1"/>
    <col min="2" max="2" width="18.85546875" style="86" customWidth="1"/>
    <col min="3" max="3" width="27.7109375" customWidth="1"/>
    <col min="4" max="4" width="36.28515625" customWidth="1"/>
    <col min="6" max="6" width="18.42578125" customWidth="1"/>
    <col min="7" max="7" width="37" style="42" customWidth="1"/>
    <col min="8" max="8" width="19.85546875" style="86" customWidth="1"/>
    <col min="9" max="9" width="27.5703125" style="86" customWidth="1"/>
    <col min="10" max="10" width="41.85546875" style="95" customWidth="1"/>
  </cols>
  <sheetData>
    <row r="1" spans="1:10">
      <c r="A1" s="340" t="s">
        <v>2728</v>
      </c>
      <c r="B1" s="339"/>
      <c r="C1" s="341"/>
      <c r="D1" s="341"/>
      <c r="E1" s="341"/>
      <c r="F1" s="341"/>
      <c r="G1" s="342"/>
      <c r="H1" s="339"/>
      <c r="I1" s="339"/>
      <c r="J1" s="343"/>
    </row>
    <row r="2" spans="1:10">
      <c r="A2" s="69"/>
      <c r="B2" s="70"/>
      <c r="C2" s="69"/>
      <c r="D2" s="69"/>
      <c r="E2" s="69"/>
      <c r="F2" s="69"/>
      <c r="G2" s="69"/>
      <c r="H2" s="70"/>
      <c r="I2" s="70"/>
      <c r="J2" s="68"/>
    </row>
    <row r="3" spans="1:10" ht="37.5" customHeight="1">
      <c r="A3" s="71" t="s">
        <v>2729</v>
      </c>
      <c r="B3" s="72" t="s">
        <v>2730</v>
      </c>
      <c r="C3" s="71" t="s">
        <v>2731</v>
      </c>
      <c r="D3" s="73" t="s">
        <v>2732</v>
      </c>
      <c r="E3" s="73" t="s">
        <v>2733</v>
      </c>
      <c r="F3" s="73" t="s">
        <v>2734</v>
      </c>
      <c r="G3" s="73" t="s">
        <v>12</v>
      </c>
      <c r="H3" s="73" t="s">
        <v>2735</v>
      </c>
      <c r="I3" s="73" t="s">
        <v>1510</v>
      </c>
      <c r="J3" s="73" t="s">
        <v>2736</v>
      </c>
    </row>
    <row r="4" spans="1:10">
      <c r="A4" s="74"/>
      <c r="B4" s="75">
        <v>563.74</v>
      </c>
      <c r="C4" s="76" t="s">
        <v>2737</v>
      </c>
      <c r="D4" s="77" t="s">
        <v>2738</v>
      </c>
      <c r="E4" s="77" t="s">
        <v>2739</v>
      </c>
      <c r="F4" s="78">
        <v>45479</v>
      </c>
      <c r="G4" s="79" t="s">
        <v>2740</v>
      </c>
      <c r="H4" s="80">
        <v>565.17999999999995</v>
      </c>
      <c r="I4" s="81">
        <v>12247.9</v>
      </c>
      <c r="J4" s="82" t="s">
        <v>16</v>
      </c>
    </row>
    <row r="5" spans="1:10">
      <c r="A5" s="74">
        <v>45510</v>
      </c>
      <c r="B5" s="75">
        <v>563.74</v>
      </c>
      <c r="C5" s="76" t="s">
        <v>2737</v>
      </c>
      <c r="D5" s="77" t="s">
        <v>2738</v>
      </c>
      <c r="E5" s="77" t="s">
        <v>2739</v>
      </c>
      <c r="F5" s="78">
        <f t="shared" ref="F5:F27" si="0">A5</f>
        <v>45510</v>
      </c>
      <c r="G5" s="83" t="s">
        <v>2741</v>
      </c>
      <c r="H5" s="80">
        <v>564.5</v>
      </c>
      <c r="I5" s="81">
        <v>11742.09</v>
      </c>
      <c r="J5" s="82" t="s">
        <v>16</v>
      </c>
    </row>
    <row r="6" spans="1:10">
      <c r="A6" s="74">
        <v>45541</v>
      </c>
      <c r="B6" s="75">
        <v>563.74</v>
      </c>
      <c r="C6" s="76" t="s">
        <v>2737</v>
      </c>
      <c r="D6" s="77" t="s">
        <v>2738</v>
      </c>
      <c r="E6" s="77" t="s">
        <v>2739</v>
      </c>
      <c r="F6" s="78">
        <f t="shared" si="0"/>
        <v>45541</v>
      </c>
      <c r="G6" s="83" t="s">
        <v>2742</v>
      </c>
      <c r="H6" s="80">
        <v>564.5</v>
      </c>
      <c r="I6" s="81">
        <f t="shared" ref="I6:I19" si="1">I5-H6</f>
        <v>11177.59</v>
      </c>
      <c r="J6" s="82" t="s">
        <v>16</v>
      </c>
    </row>
    <row r="7" spans="1:10">
      <c r="A7" s="74">
        <v>45571</v>
      </c>
      <c r="B7" s="75">
        <v>563.74</v>
      </c>
      <c r="C7" s="76" t="s">
        <v>2737</v>
      </c>
      <c r="D7" s="77" t="s">
        <v>2738</v>
      </c>
      <c r="E7" s="77" t="s">
        <v>2739</v>
      </c>
      <c r="F7" s="78">
        <f t="shared" si="0"/>
        <v>45571</v>
      </c>
      <c r="G7" s="83" t="s">
        <v>2743</v>
      </c>
      <c r="H7" s="80">
        <v>563.95000000000005</v>
      </c>
      <c r="I7" s="81">
        <f t="shared" si="1"/>
        <v>10613.64</v>
      </c>
      <c r="J7" s="82" t="s">
        <v>16</v>
      </c>
    </row>
    <row r="8" spans="1:10">
      <c r="A8" s="74">
        <v>45602</v>
      </c>
      <c r="B8" s="75">
        <v>563.74</v>
      </c>
      <c r="C8" s="76" t="s">
        <v>2737</v>
      </c>
      <c r="D8" s="77" t="s">
        <v>2738</v>
      </c>
      <c r="E8" s="77" t="s">
        <v>2739</v>
      </c>
      <c r="F8" s="78">
        <f t="shared" si="0"/>
        <v>45602</v>
      </c>
      <c r="G8" s="83" t="s">
        <v>2744</v>
      </c>
      <c r="H8" s="80">
        <v>563.05999999999995</v>
      </c>
      <c r="I8" s="81">
        <f t="shared" si="1"/>
        <v>10050.58</v>
      </c>
      <c r="J8" s="82" t="s">
        <v>16</v>
      </c>
    </row>
    <row r="9" spans="1:10">
      <c r="A9" s="74">
        <v>45632</v>
      </c>
      <c r="B9" s="75">
        <v>563.74</v>
      </c>
      <c r="C9" s="76" t="s">
        <v>2737</v>
      </c>
      <c r="D9" s="77" t="s">
        <v>2738</v>
      </c>
      <c r="E9" s="77" t="s">
        <v>2739</v>
      </c>
      <c r="F9" s="78">
        <f t="shared" si="0"/>
        <v>45632</v>
      </c>
      <c r="G9" s="84" t="s">
        <v>2745</v>
      </c>
      <c r="H9" s="80">
        <v>563.05999999999995</v>
      </c>
      <c r="I9" s="81">
        <f t="shared" si="1"/>
        <v>9487.52</v>
      </c>
      <c r="J9" s="82" t="s">
        <v>16</v>
      </c>
    </row>
    <row r="10" spans="1:10">
      <c r="A10" s="74">
        <v>45663</v>
      </c>
      <c r="B10" s="75">
        <v>563.74</v>
      </c>
      <c r="C10" s="76" t="s">
        <v>2737</v>
      </c>
      <c r="D10" s="77" t="s">
        <v>2738</v>
      </c>
      <c r="E10" s="77" t="s">
        <v>2739</v>
      </c>
      <c r="F10" s="78">
        <f t="shared" si="0"/>
        <v>45663</v>
      </c>
      <c r="G10" s="84" t="s">
        <v>2745</v>
      </c>
      <c r="H10" s="80">
        <v>560.89</v>
      </c>
      <c r="I10" s="81">
        <f t="shared" si="1"/>
        <v>8926.630000000001</v>
      </c>
      <c r="J10" s="82" t="s">
        <v>16</v>
      </c>
    </row>
    <row r="11" spans="1:10">
      <c r="A11" s="74">
        <v>45694</v>
      </c>
      <c r="B11" s="75">
        <v>563.74</v>
      </c>
      <c r="C11" s="76" t="s">
        <v>2737</v>
      </c>
      <c r="D11" s="77" t="s">
        <v>2738</v>
      </c>
      <c r="E11" s="77" t="s">
        <v>2739</v>
      </c>
      <c r="F11" s="78">
        <f t="shared" si="0"/>
        <v>45694</v>
      </c>
      <c r="G11" s="84" t="s">
        <v>2745</v>
      </c>
      <c r="H11" s="80">
        <v>560.89</v>
      </c>
      <c r="I11" s="81">
        <f t="shared" si="1"/>
        <v>8365.7400000000016</v>
      </c>
      <c r="J11" s="82" t="s">
        <v>16</v>
      </c>
    </row>
    <row r="12" spans="1:10">
      <c r="A12" s="74">
        <v>45722</v>
      </c>
      <c r="B12" s="75">
        <v>563.74</v>
      </c>
      <c r="C12" s="76" t="s">
        <v>2737</v>
      </c>
      <c r="D12" s="77" t="s">
        <v>2738</v>
      </c>
      <c r="E12" s="77" t="s">
        <v>2739</v>
      </c>
      <c r="F12" s="78">
        <f t="shared" si="0"/>
        <v>45722</v>
      </c>
      <c r="G12" s="84" t="s">
        <v>2745</v>
      </c>
      <c r="H12" s="80">
        <v>560.89</v>
      </c>
      <c r="I12" s="81">
        <f t="shared" si="1"/>
        <v>7804.8500000000013</v>
      </c>
      <c r="J12" s="82" t="s">
        <v>16</v>
      </c>
    </row>
    <row r="13" spans="1:10">
      <c r="A13" s="74">
        <v>45753</v>
      </c>
      <c r="B13" s="75">
        <v>563.74</v>
      </c>
      <c r="C13" s="76" t="s">
        <v>2737</v>
      </c>
      <c r="D13" s="77" t="s">
        <v>2738</v>
      </c>
      <c r="E13" s="77" t="s">
        <v>2739</v>
      </c>
      <c r="F13" s="78">
        <f t="shared" si="0"/>
        <v>45753</v>
      </c>
      <c r="G13" s="84" t="s">
        <v>2745</v>
      </c>
      <c r="H13" s="80">
        <v>560.89</v>
      </c>
      <c r="I13" s="81">
        <f t="shared" si="1"/>
        <v>7243.9600000000009</v>
      </c>
      <c r="J13" s="82" t="s">
        <v>16</v>
      </c>
    </row>
    <row r="14" spans="1:10">
      <c r="A14" s="74">
        <v>45783</v>
      </c>
      <c r="B14" s="75">
        <v>563.74</v>
      </c>
      <c r="C14" s="76" t="s">
        <v>2737</v>
      </c>
      <c r="D14" s="77" t="s">
        <v>2738</v>
      </c>
      <c r="E14" s="77" t="s">
        <v>2739</v>
      </c>
      <c r="F14" s="78">
        <f t="shared" si="0"/>
        <v>45783</v>
      </c>
      <c r="G14" s="84" t="s">
        <v>2745</v>
      </c>
      <c r="H14" s="80">
        <v>560.89</v>
      </c>
      <c r="I14" s="81">
        <f t="shared" si="1"/>
        <v>6683.0700000000006</v>
      </c>
      <c r="J14" s="82" t="s">
        <v>16</v>
      </c>
    </row>
    <row r="15" spans="1:10">
      <c r="A15" s="74">
        <v>45814</v>
      </c>
      <c r="B15" s="75">
        <v>563.74</v>
      </c>
      <c r="C15" s="76" t="s">
        <v>2737</v>
      </c>
      <c r="D15" s="77" t="s">
        <v>2738</v>
      </c>
      <c r="E15" s="77" t="s">
        <v>2739</v>
      </c>
      <c r="F15" s="78">
        <f t="shared" si="0"/>
        <v>45814</v>
      </c>
      <c r="G15" s="84" t="s">
        <v>2745</v>
      </c>
      <c r="H15" s="80">
        <v>560.89</v>
      </c>
      <c r="I15" s="81">
        <f t="shared" si="1"/>
        <v>6122.18</v>
      </c>
      <c r="J15" s="82" t="s">
        <v>16</v>
      </c>
    </row>
    <row r="16" spans="1:10">
      <c r="A16" s="74">
        <v>45844</v>
      </c>
      <c r="B16" s="75">
        <v>563.74</v>
      </c>
      <c r="C16" s="76" t="s">
        <v>2737</v>
      </c>
      <c r="D16" s="77" t="s">
        <v>2738</v>
      </c>
      <c r="E16" s="77" t="s">
        <v>2739</v>
      </c>
      <c r="F16" s="78">
        <f t="shared" si="0"/>
        <v>45844</v>
      </c>
      <c r="G16" s="84" t="s">
        <v>2745</v>
      </c>
      <c r="H16" s="80">
        <v>560.89</v>
      </c>
      <c r="I16" s="81">
        <f t="shared" si="1"/>
        <v>5561.29</v>
      </c>
      <c r="J16" s="82" t="s">
        <v>16</v>
      </c>
    </row>
    <row r="17" spans="1:10">
      <c r="A17" s="74">
        <v>45875</v>
      </c>
      <c r="B17" s="75">
        <v>563.74</v>
      </c>
      <c r="C17" s="76" t="s">
        <v>2737</v>
      </c>
      <c r="D17" s="77" t="s">
        <v>2738</v>
      </c>
      <c r="E17" s="77" t="s">
        <v>2739</v>
      </c>
      <c r="F17" s="78">
        <f t="shared" si="0"/>
        <v>45875</v>
      </c>
      <c r="G17" s="84" t="s">
        <v>2745</v>
      </c>
      <c r="H17" s="80">
        <v>560.89</v>
      </c>
      <c r="I17" s="81">
        <f t="shared" si="1"/>
        <v>5000.3999999999996</v>
      </c>
      <c r="J17" s="82" t="s">
        <v>16</v>
      </c>
    </row>
    <row r="18" spans="1:10">
      <c r="A18" s="74">
        <v>45906</v>
      </c>
      <c r="B18" s="75">
        <v>563.74</v>
      </c>
      <c r="C18" s="76" t="s">
        <v>2737</v>
      </c>
      <c r="D18" s="77" t="s">
        <v>2738</v>
      </c>
      <c r="E18" s="77" t="s">
        <v>2739</v>
      </c>
      <c r="F18" s="78">
        <f t="shared" si="0"/>
        <v>45906</v>
      </c>
      <c r="G18" s="84" t="s">
        <v>2745</v>
      </c>
      <c r="H18" s="80">
        <v>560.89</v>
      </c>
      <c r="I18" s="81">
        <f t="shared" si="1"/>
        <v>4439.5099999999993</v>
      </c>
      <c r="J18" s="82" t="s">
        <v>16</v>
      </c>
    </row>
    <row r="19" spans="1:10">
      <c r="A19" s="74">
        <v>45936</v>
      </c>
      <c r="B19" s="75">
        <v>563.74</v>
      </c>
      <c r="C19" s="76" t="s">
        <v>2737</v>
      </c>
      <c r="D19" s="77" t="s">
        <v>2738</v>
      </c>
      <c r="E19" s="77" t="s">
        <v>2739</v>
      </c>
      <c r="F19" s="78">
        <f t="shared" si="0"/>
        <v>45936</v>
      </c>
      <c r="G19" s="84" t="s">
        <v>2745</v>
      </c>
      <c r="H19" s="80">
        <v>560.89</v>
      </c>
      <c r="I19" s="81">
        <f t="shared" si="1"/>
        <v>3878.6199999999994</v>
      </c>
      <c r="J19" s="85">
        <f t="shared" ref="J19:J27" ca="1" si="2">IF(A20="","inserire la prossima scadenza",F20-TODAY())</f>
        <v>-120</v>
      </c>
    </row>
    <row r="20" spans="1:10">
      <c r="A20" s="57">
        <v>45967</v>
      </c>
      <c r="B20" s="86">
        <v>563.74</v>
      </c>
      <c r="C20" t="s">
        <v>2737</v>
      </c>
      <c r="D20" s="87" t="s">
        <v>2738</v>
      </c>
      <c r="E20" s="87" t="s">
        <v>2739</v>
      </c>
      <c r="F20" s="88">
        <f t="shared" si="0"/>
        <v>45967</v>
      </c>
      <c r="G20" s="89"/>
      <c r="H20" s="81"/>
      <c r="I20" s="81"/>
      <c r="J20" s="85">
        <f t="shared" ca="1" si="2"/>
        <v>-90</v>
      </c>
    </row>
    <row r="21" spans="1:10">
      <c r="A21" s="57">
        <v>45997</v>
      </c>
      <c r="B21" s="86">
        <v>563.74</v>
      </c>
      <c r="C21" t="s">
        <v>2737</v>
      </c>
      <c r="D21" s="87" t="s">
        <v>2738</v>
      </c>
      <c r="E21" s="87" t="s">
        <v>2739</v>
      </c>
      <c r="F21" s="88">
        <f t="shared" si="0"/>
        <v>45997</v>
      </c>
      <c r="G21" s="89"/>
      <c r="H21" s="81"/>
      <c r="I21" s="81"/>
      <c r="J21" s="85">
        <f t="shared" ca="1" si="2"/>
        <v>-59</v>
      </c>
    </row>
    <row r="22" spans="1:10">
      <c r="A22" s="57">
        <v>46028</v>
      </c>
      <c r="B22" s="86">
        <v>563.74</v>
      </c>
      <c r="C22" t="s">
        <v>2737</v>
      </c>
      <c r="D22" s="87" t="s">
        <v>2738</v>
      </c>
      <c r="E22" s="87" t="s">
        <v>2739</v>
      </c>
      <c r="F22" s="88">
        <f t="shared" si="0"/>
        <v>46028</v>
      </c>
      <c r="G22" s="89"/>
      <c r="H22" s="81"/>
      <c r="I22" s="81"/>
      <c r="J22" s="85">
        <f t="shared" ca="1" si="2"/>
        <v>-28</v>
      </c>
    </row>
    <row r="23" spans="1:10">
      <c r="A23" s="57">
        <v>46059</v>
      </c>
      <c r="B23" s="86">
        <v>563.74</v>
      </c>
      <c r="C23" t="s">
        <v>2737</v>
      </c>
      <c r="D23" s="87" t="s">
        <v>2738</v>
      </c>
      <c r="E23" s="87" t="s">
        <v>2739</v>
      </c>
      <c r="F23" s="88">
        <f t="shared" si="0"/>
        <v>46059</v>
      </c>
      <c r="G23" s="89"/>
      <c r="H23" s="81"/>
      <c r="I23" s="81"/>
      <c r="J23" s="85">
        <f t="shared" ca="1" si="2"/>
        <v>0</v>
      </c>
    </row>
    <row r="24" spans="1:10">
      <c r="A24" s="57">
        <v>46087</v>
      </c>
      <c r="B24" s="86">
        <v>563.74</v>
      </c>
      <c r="C24" t="s">
        <v>2737</v>
      </c>
      <c r="D24" s="87" t="s">
        <v>2738</v>
      </c>
      <c r="E24" s="87" t="s">
        <v>2739</v>
      </c>
      <c r="F24" s="88">
        <f t="shared" si="0"/>
        <v>46087</v>
      </c>
      <c r="G24" s="89"/>
      <c r="H24" s="81"/>
      <c r="I24" s="81"/>
      <c r="J24" s="85">
        <f t="shared" ca="1" si="2"/>
        <v>31</v>
      </c>
    </row>
    <row r="25" spans="1:10">
      <c r="A25" s="57">
        <v>46118</v>
      </c>
      <c r="B25" s="86">
        <v>563.74</v>
      </c>
      <c r="C25" t="s">
        <v>2737</v>
      </c>
      <c r="D25" s="87" t="s">
        <v>2738</v>
      </c>
      <c r="E25" s="87" t="s">
        <v>2739</v>
      </c>
      <c r="F25" s="88">
        <f t="shared" si="0"/>
        <v>46118</v>
      </c>
      <c r="G25" s="89"/>
      <c r="H25" s="81"/>
      <c r="I25" s="81"/>
      <c r="J25" s="85">
        <f t="shared" ca="1" si="2"/>
        <v>61</v>
      </c>
    </row>
    <row r="26" spans="1:10">
      <c r="A26" s="57">
        <v>46148</v>
      </c>
      <c r="B26" s="86">
        <v>563.74</v>
      </c>
      <c r="C26" t="s">
        <v>2737</v>
      </c>
      <c r="D26" s="87" t="s">
        <v>2738</v>
      </c>
      <c r="E26" s="87" t="s">
        <v>2739</v>
      </c>
      <c r="F26" s="88">
        <f t="shared" si="0"/>
        <v>46148</v>
      </c>
      <c r="G26" s="89"/>
      <c r="H26" s="81"/>
      <c r="I26" s="81"/>
      <c r="J26" s="85">
        <f t="shared" ca="1" si="2"/>
        <v>92</v>
      </c>
    </row>
    <row r="27" spans="1:10">
      <c r="A27" s="57">
        <v>46179</v>
      </c>
      <c r="B27" s="86">
        <v>563.74</v>
      </c>
      <c r="C27" t="s">
        <v>2737</v>
      </c>
      <c r="D27" s="87" t="s">
        <v>2738</v>
      </c>
      <c r="E27" s="87" t="s">
        <v>2739</v>
      </c>
      <c r="F27" s="88">
        <f t="shared" si="0"/>
        <v>46179</v>
      </c>
      <c r="G27" s="89"/>
      <c r="H27" s="81"/>
      <c r="I27" s="81"/>
      <c r="J27" s="85" t="str">
        <f t="shared" ca="1" si="2"/>
        <v>inserire la prossima scadenza</v>
      </c>
    </row>
    <row r="28" spans="1:10">
      <c r="A28" s="57"/>
      <c r="D28" s="87"/>
      <c r="E28" s="87"/>
      <c r="F28" s="88"/>
      <c r="G28" s="89"/>
      <c r="H28" s="81"/>
      <c r="I28" s="81"/>
      <c r="J28" s="85"/>
    </row>
    <row r="29" spans="1:10" hidden="1">
      <c r="A29" s="74"/>
      <c r="B29" s="75">
        <v>522.87</v>
      </c>
      <c r="C29" s="76" t="s">
        <v>2746</v>
      </c>
      <c r="D29" s="77" t="s">
        <v>2738</v>
      </c>
      <c r="E29" s="77" t="s">
        <v>2739</v>
      </c>
      <c r="F29" s="78">
        <v>45483</v>
      </c>
      <c r="G29" s="83" t="s">
        <v>2747</v>
      </c>
      <c r="H29" s="80">
        <v>526.20000000000005</v>
      </c>
      <c r="I29" s="81">
        <v>4558.3900000000003</v>
      </c>
      <c r="J29" s="82" t="s">
        <v>16</v>
      </c>
    </row>
    <row r="30" spans="1:10" hidden="1">
      <c r="A30" s="74"/>
      <c r="B30" s="75">
        <v>522.87</v>
      </c>
      <c r="C30" s="76" t="s">
        <v>2746</v>
      </c>
      <c r="D30" s="77" t="s">
        <v>2738</v>
      </c>
      <c r="E30" s="77" t="s">
        <v>2739</v>
      </c>
      <c r="F30" s="78">
        <v>45514</v>
      </c>
      <c r="G30" s="83" t="s">
        <v>2748</v>
      </c>
      <c r="H30" s="80">
        <v>526.04</v>
      </c>
      <c r="I30" s="81">
        <f t="shared" ref="I30:I37" si="3">I29-H30</f>
        <v>4032.3500000000004</v>
      </c>
      <c r="J30" s="82" t="s">
        <v>16</v>
      </c>
    </row>
    <row r="31" spans="1:10" hidden="1">
      <c r="A31" s="74">
        <v>45545</v>
      </c>
      <c r="B31" s="75">
        <v>522.87</v>
      </c>
      <c r="C31" s="76" t="s">
        <v>2746</v>
      </c>
      <c r="D31" s="77" t="s">
        <v>2738</v>
      </c>
      <c r="E31" s="77" t="s">
        <v>2739</v>
      </c>
      <c r="F31" s="78">
        <v>45545</v>
      </c>
      <c r="G31" s="83" t="s">
        <v>2749</v>
      </c>
      <c r="H31" s="80">
        <v>526.04</v>
      </c>
      <c r="I31" s="81">
        <f t="shared" si="3"/>
        <v>3506.3100000000004</v>
      </c>
      <c r="J31" s="82" t="s">
        <v>16</v>
      </c>
    </row>
    <row r="32" spans="1:10" hidden="1">
      <c r="A32" s="74">
        <v>45575</v>
      </c>
      <c r="B32" s="75">
        <v>522.87</v>
      </c>
      <c r="C32" s="76" t="s">
        <v>2746</v>
      </c>
      <c r="D32" s="77" t="s">
        <v>2738</v>
      </c>
      <c r="E32" s="77" t="s">
        <v>2739</v>
      </c>
      <c r="F32" s="78">
        <v>45575</v>
      </c>
      <c r="G32" s="83" t="s">
        <v>2750</v>
      </c>
      <c r="H32" s="80">
        <v>525.75</v>
      </c>
      <c r="I32" s="81">
        <f t="shared" si="3"/>
        <v>2980.5600000000004</v>
      </c>
      <c r="J32" s="82" t="s">
        <v>16</v>
      </c>
    </row>
    <row r="33" spans="1:10" hidden="1">
      <c r="A33" s="74">
        <v>45606</v>
      </c>
      <c r="B33" s="75">
        <v>522.87</v>
      </c>
      <c r="C33" s="76" t="s">
        <v>2746</v>
      </c>
      <c r="D33" s="77" t="s">
        <v>2738</v>
      </c>
      <c r="E33" s="77" t="s">
        <v>2739</v>
      </c>
      <c r="F33" s="78">
        <v>45606</v>
      </c>
      <c r="G33" s="84" t="s">
        <v>2745</v>
      </c>
      <c r="H33" s="80">
        <v>525.6</v>
      </c>
      <c r="I33" s="81">
        <f t="shared" si="3"/>
        <v>2454.9600000000005</v>
      </c>
      <c r="J33" s="82" t="s">
        <v>16</v>
      </c>
    </row>
    <row r="34" spans="1:10" hidden="1">
      <c r="A34" s="74">
        <v>45636</v>
      </c>
      <c r="B34" s="75">
        <v>522.87</v>
      </c>
      <c r="C34" s="76" t="s">
        <v>2746</v>
      </c>
      <c r="D34" s="77" t="s">
        <v>2738</v>
      </c>
      <c r="E34" s="77" t="s">
        <v>2739</v>
      </c>
      <c r="F34" s="78">
        <v>45636</v>
      </c>
      <c r="G34" s="84" t="s">
        <v>2745</v>
      </c>
      <c r="H34" s="80">
        <v>525.6</v>
      </c>
      <c r="I34" s="81">
        <f t="shared" si="3"/>
        <v>1929.3600000000006</v>
      </c>
      <c r="J34" s="82" t="s">
        <v>16</v>
      </c>
    </row>
    <row r="35" spans="1:10" hidden="1">
      <c r="A35" s="74">
        <v>45667</v>
      </c>
      <c r="B35" s="75">
        <v>522.87</v>
      </c>
      <c r="C35" s="76" t="s">
        <v>2746</v>
      </c>
      <c r="D35" s="77" t="s">
        <v>2738</v>
      </c>
      <c r="E35" s="77" t="s">
        <v>2739</v>
      </c>
      <c r="F35" s="78">
        <v>45667</v>
      </c>
      <c r="G35" s="84" t="s">
        <v>2745</v>
      </c>
      <c r="H35" s="80">
        <v>521.85</v>
      </c>
      <c r="I35" s="81">
        <f t="shared" si="3"/>
        <v>1407.5100000000007</v>
      </c>
      <c r="J35" s="82" t="s">
        <v>16</v>
      </c>
    </row>
    <row r="36" spans="1:10" hidden="1">
      <c r="A36" s="74">
        <v>45698</v>
      </c>
      <c r="B36" s="75">
        <f>AVERAGE(H29:H35)</f>
        <v>525.29714285714283</v>
      </c>
      <c r="C36" s="76" t="s">
        <v>2746</v>
      </c>
      <c r="D36" s="77" t="s">
        <v>2738</v>
      </c>
      <c r="E36" s="77" t="s">
        <v>2739</v>
      </c>
      <c r="F36" s="78">
        <v>45698</v>
      </c>
      <c r="G36" s="84" t="s">
        <v>2745</v>
      </c>
      <c r="H36" s="80">
        <v>521.85</v>
      </c>
      <c r="I36" s="81">
        <f t="shared" si="3"/>
        <v>885.66000000000065</v>
      </c>
      <c r="J36" s="82" t="s">
        <v>16</v>
      </c>
    </row>
    <row r="37" spans="1:10" hidden="1">
      <c r="A37" s="74">
        <v>45726</v>
      </c>
      <c r="B37" s="75">
        <v>522.87</v>
      </c>
      <c r="C37" s="76" t="s">
        <v>2746</v>
      </c>
      <c r="D37" s="77" t="s">
        <v>2738</v>
      </c>
      <c r="E37" s="77" t="s">
        <v>2739</v>
      </c>
      <c r="F37" s="78">
        <v>45726</v>
      </c>
      <c r="G37" s="84" t="s">
        <v>2745</v>
      </c>
      <c r="H37" s="80">
        <v>521.85</v>
      </c>
      <c r="I37" s="81">
        <f t="shared" si="3"/>
        <v>363.81000000000063</v>
      </c>
      <c r="J37" s="82" t="s">
        <v>16</v>
      </c>
    </row>
    <row r="38" spans="1:10" hidden="1">
      <c r="A38" s="57"/>
      <c r="D38" s="87"/>
      <c r="E38" s="87"/>
      <c r="F38" s="88"/>
      <c r="G38" s="89"/>
      <c r="H38" s="81"/>
      <c r="I38" s="81"/>
      <c r="J38" s="85" t="str">
        <f ca="1">IF(A39="","inserire la prossima scadenza",F39-TODAY())</f>
        <v>inserire la prossima scadenza</v>
      </c>
    </row>
    <row r="39" spans="1:10" hidden="1">
      <c r="A39" s="74"/>
      <c r="B39" s="75">
        <v>1885.4</v>
      </c>
      <c r="C39" s="76" t="s">
        <v>2751</v>
      </c>
      <c r="D39" s="77" t="s">
        <v>2752</v>
      </c>
      <c r="E39" s="77" t="s">
        <v>2739</v>
      </c>
      <c r="F39" s="78">
        <v>45473</v>
      </c>
      <c r="G39" s="79" t="s">
        <v>2753</v>
      </c>
      <c r="H39" s="80">
        <v>1888.15</v>
      </c>
      <c r="I39" s="81">
        <v>119423.93</v>
      </c>
      <c r="J39" s="82" t="s">
        <v>16</v>
      </c>
    </row>
    <row r="40" spans="1:10" hidden="1">
      <c r="A40" s="74"/>
      <c r="B40" s="75">
        <v>1893.58</v>
      </c>
      <c r="C40" s="76" t="s">
        <v>2751</v>
      </c>
      <c r="D40" s="77" t="s">
        <v>2752</v>
      </c>
      <c r="E40" s="77" t="s">
        <v>2739</v>
      </c>
      <c r="F40" s="78">
        <v>45503</v>
      </c>
      <c r="G40" s="83" t="s">
        <v>2754</v>
      </c>
      <c r="H40" s="80">
        <v>1897.93</v>
      </c>
      <c r="I40" s="81">
        <f t="shared" ref="I40:I49" si="4">I39-H40</f>
        <v>117526</v>
      </c>
      <c r="J40" s="82" t="s">
        <v>16</v>
      </c>
    </row>
    <row r="41" spans="1:10" hidden="1">
      <c r="A41" s="74">
        <v>45534</v>
      </c>
      <c r="B41" s="75">
        <v>1893.47</v>
      </c>
      <c r="C41" s="76" t="s">
        <v>2751</v>
      </c>
      <c r="D41" s="77" t="s">
        <v>2752</v>
      </c>
      <c r="E41" s="77" t="s">
        <v>2739</v>
      </c>
      <c r="F41" s="78">
        <v>45534</v>
      </c>
      <c r="G41" s="83" t="s">
        <v>2755</v>
      </c>
      <c r="H41" s="80">
        <v>1897.36</v>
      </c>
      <c r="I41" s="81">
        <f t="shared" si="4"/>
        <v>115628.64</v>
      </c>
      <c r="J41" s="82" t="s">
        <v>16</v>
      </c>
    </row>
    <row r="42" spans="1:10" hidden="1">
      <c r="A42" s="74">
        <v>45565</v>
      </c>
      <c r="B42" s="75">
        <v>1885.4</v>
      </c>
      <c r="C42" s="76" t="s">
        <v>2751</v>
      </c>
      <c r="D42" s="77" t="s">
        <v>2752</v>
      </c>
      <c r="E42" s="77" t="s">
        <v>2739</v>
      </c>
      <c r="F42" s="78">
        <v>45565</v>
      </c>
      <c r="G42" s="83" t="s">
        <v>2756</v>
      </c>
      <c r="H42" s="80">
        <v>1888.15</v>
      </c>
      <c r="I42" s="81">
        <f t="shared" si="4"/>
        <v>113740.49</v>
      </c>
      <c r="J42" s="82" t="s">
        <v>16</v>
      </c>
    </row>
    <row r="43" spans="1:10" hidden="1">
      <c r="A43" s="74">
        <v>45595</v>
      </c>
      <c r="B43" s="75">
        <v>1893.24</v>
      </c>
      <c r="C43" s="76" t="s">
        <v>2751</v>
      </c>
      <c r="D43" s="77" t="s">
        <v>2752</v>
      </c>
      <c r="E43" s="77" t="s">
        <v>2739</v>
      </c>
      <c r="F43" s="78">
        <v>45595</v>
      </c>
      <c r="G43" s="90" t="s">
        <v>2757</v>
      </c>
      <c r="H43" s="80">
        <v>1895.99</v>
      </c>
      <c r="I43" s="81">
        <f t="shared" si="4"/>
        <v>111844.5</v>
      </c>
      <c r="J43" s="82" t="s">
        <v>16</v>
      </c>
    </row>
    <row r="44" spans="1:10" hidden="1">
      <c r="A44" s="74">
        <v>45626</v>
      </c>
      <c r="B44" s="75">
        <v>1885.4</v>
      </c>
      <c r="C44" s="76" t="s">
        <v>2751</v>
      </c>
      <c r="D44" s="77" t="s">
        <v>2752</v>
      </c>
      <c r="E44" s="77" t="s">
        <v>2739</v>
      </c>
      <c r="F44" s="78">
        <v>45626</v>
      </c>
      <c r="G44" s="84" t="s">
        <v>2745</v>
      </c>
      <c r="H44" s="80">
        <v>1895.99</v>
      </c>
      <c r="I44" s="81">
        <f t="shared" si="4"/>
        <v>109948.51</v>
      </c>
      <c r="J44" s="82" t="s">
        <v>16</v>
      </c>
    </row>
    <row r="45" spans="1:10" hidden="1">
      <c r="A45" s="74">
        <v>45656</v>
      </c>
      <c r="B45" s="75">
        <v>1893</v>
      </c>
      <c r="C45" s="76" t="s">
        <v>2751</v>
      </c>
      <c r="D45" s="77" t="s">
        <v>2752</v>
      </c>
      <c r="E45" s="77" t="s">
        <v>2739</v>
      </c>
      <c r="F45" s="78">
        <f t="shared" ref="F45:F54" si="5">A45</f>
        <v>45656</v>
      </c>
      <c r="G45" s="84" t="s">
        <v>2745</v>
      </c>
      <c r="H45" s="80">
        <v>1895.99</v>
      </c>
      <c r="I45" s="81">
        <f t="shared" si="4"/>
        <v>108052.51999999999</v>
      </c>
      <c r="J45" s="82" t="s">
        <v>16</v>
      </c>
    </row>
    <row r="46" spans="1:10" hidden="1">
      <c r="A46" s="74">
        <v>45687</v>
      </c>
      <c r="B46" s="75">
        <v>1892.9</v>
      </c>
      <c r="C46" s="76" t="s">
        <v>2751</v>
      </c>
      <c r="D46" s="77" t="s">
        <v>2752</v>
      </c>
      <c r="E46" s="77" t="s">
        <v>2739</v>
      </c>
      <c r="F46" s="78">
        <f t="shared" si="5"/>
        <v>45687</v>
      </c>
      <c r="G46" s="84" t="s">
        <v>2745</v>
      </c>
      <c r="H46" s="80">
        <v>1895.65</v>
      </c>
      <c r="I46" s="81">
        <f t="shared" si="4"/>
        <v>106156.87</v>
      </c>
      <c r="J46" s="82" t="s">
        <v>16</v>
      </c>
    </row>
    <row r="47" spans="1:10" hidden="1">
      <c r="A47" s="74">
        <v>45716</v>
      </c>
      <c r="B47" s="75">
        <f>AVERAGE(H39:H46)</f>
        <v>1894.4012499999999</v>
      </c>
      <c r="C47" s="76" t="s">
        <v>2751</v>
      </c>
      <c r="D47" s="77" t="s">
        <v>2752</v>
      </c>
      <c r="E47" s="77" t="s">
        <v>2739</v>
      </c>
      <c r="F47" s="78">
        <f t="shared" si="5"/>
        <v>45716</v>
      </c>
      <c r="G47" s="84" t="s">
        <v>2745</v>
      </c>
      <c r="H47" s="80">
        <v>1895.65</v>
      </c>
      <c r="I47" s="81">
        <f t="shared" si="4"/>
        <v>104261.22</v>
      </c>
      <c r="J47" s="82" t="s">
        <v>16</v>
      </c>
    </row>
    <row r="48" spans="1:10" hidden="1">
      <c r="A48" s="74">
        <v>45746</v>
      </c>
      <c r="B48" s="75">
        <v>1892.7</v>
      </c>
      <c r="C48" s="76" t="s">
        <v>2751</v>
      </c>
      <c r="D48" s="77" t="s">
        <v>2752</v>
      </c>
      <c r="E48" s="77" t="s">
        <v>2739</v>
      </c>
      <c r="F48" s="78">
        <f t="shared" si="5"/>
        <v>45746</v>
      </c>
      <c r="G48" s="84" t="s">
        <v>2745</v>
      </c>
      <c r="H48" s="80">
        <v>1895.65</v>
      </c>
      <c r="I48" s="81">
        <f t="shared" si="4"/>
        <v>102365.57</v>
      </c>
      <c r="J48" s="82" t="s">
        <v>16</v>
      </c>
    </row>
    <row r="49" spans="1:10" hidden="1">
      <c r="A49" s="74">
        <v>45777</v>
      </c>
      <c r="B49" s="75">
        <v>1892.6</v>
      </c>
      <c r="C49" s="76" t="s">
        <v>2751</v>
      </c>
      <c r="D49" s="77" t="s">
        <v>2752</v>
      </c>
      <c r="E49" s="77" t="s">
        <v>2739</v>
      </c>
      <c r="F49" s="78">
        <f t="shared" si="5"/>
        <v>45777</v>
      </c>
      <c r="G49" s="84" t="s">
        <v>2745</v>
      </c>
      <c r="H49" s="80">
        <v>1895.65</v>
      </c>
      <c r="I49" s="81">
        <f t="shared" si="4"/>
        <v>100469.92000000001</v>
      </c>
      <c r="J49" s="85">
        <f t="shared" ref="J49:J54" ca="1" si="6">IF(A50="","inserire la prossima scadenza",F50-TODAY())</f>
        <v>-280</v>
      </c>
    </row>
    <row r="50" spans="1:10" hidden="1">
      <c r="A50" s="74">
        <v>45807</v>
      </c>
      <c r="B50" s="75">
        <v>1892.5</v>
      </c>
      <c r="C50" s="76" t="s">
        <v>2751</v>
      </c>
      <c r="D50" s="77" t="s">
        <v>2752</v>
      </c>
      <c r="E50" s="77" t="s">
        <v>2739</v>
      </c>
      <c r="F50" s="78">
        <f t="shared" si="5"/>
        <v>45807</v>
      </c>
      <c r="G50" s="84"/>
      <c r="H50" s="80"/>
      <c r="I50" s="81"/>
      <c r="J50" s="85">
        <f t="shared" ca="1" si="6"/>
        <v>-249</v>
      </c>
    </row>
    <row r="51" spans="1:10" hidden="1">
      <c r="A51" s="57">
        <v>45838</v>
      </c>
      <c r="B51" s="86">
        <v>1892.4</v>
      </c>
      <c r="C51" t="s">
        <v>2751</v>
      </c>
      <c r="D51" s="87" t="s">
        <v>2752</v>
      </c>
      <c r="E51" s="87" t="s">
        <v>2739</v>
      </c>
      <c r="F51" s="88">
        <f t="shared" si="5"/>
        <v>45838</v>
      </c>
      <c r="G51" s="89"/>
      <c r="H51" s="81"/>
      <c r="I51" s="81"/>
      <c r="J51" s="85">
        <f t="shared" ca="1" si="6"/>
        <v>-219</v>
      </c>
    </row>
    <row r="52" spans="1:10" hidden="1">
      <c r="A52" s="57">
        <v>45868</v>
      </c>
      <c r="B52" s="86">
        <v>1892.3</v>
      </c>
      <c r="C52" t="s">
        <v>2751</v>
      </c>
      <c r="D52" s="87" t="s">
        <v>2752</v>
      </c>
      <c r="E52" s="87" t="s">
        <v>2739</v>
      </c>
      <c r="F52" s="88">
        <f t="shared" si="5"/>
        <v>45868</v>
      </c>
      <c r="G52" s="89"/>
      <c r="H52" s="81"/>
      <c r="I52" s="81"/>
      <c r="J52" s="85">
        <f t="shared" ca="1" si="6"/>
        <v>-188</v>
      </c>
    </row>
    <row r="53" spans="1:10" hidden="1">
      <c r="A53" s="57">
        <v>45899</v>
      </c>
      <c r="B53" s="86">
        <v>1892.2</v>
      </c>
      <c r="C53" t="s">
        <v>2751</v>
      </c>
      <c r="D53" s="87" t="s">
        <v>2752</v>
      </c>
      <c r="E53" s="87" t="s">
        <v>2739</v>
      </c>
      <c r="F53" s="88">
        <f t="shared" si="5"/>
        <v>45899</v>
      </c>
      <c r="G53" s="89"/>
      <c r="H53" s="81"/>
      <c r="I53" s="81"/>
      <c r="J53" s="85">
        <f t="shared" ca="1" si="6"/>
        <v>-157</v>
      </c>
    </row>
    <row r="54" spans="1:10" hidden="1">
      <c r="A54" s="57">
        <v>45930</v>
      </c>
      <c r="B54" s="86">
        <v>1892.1</v>
      </c>
      <c r="C54" t="s">
        <v>2751</v>
      </c>
      <c r="D54" s="87" t="s">
        <v>2752</v>
      </c>
      <c r="E54" s="87" t="s">
        <v>2739</v>
      </c>
      <c r="F54" s="88">
        <f t="shared" si="5"/>
        <v>45930</v>
      </c>
      <c r="G54" s="89"/>
      <c r="H54" s="81"/>
      <c r="I54" s="81"/>
      <c r="J54" s="85" t="str">
        <f t="shared" ca="1" si="6"/>
        <v>inserire la prossima scadenza</v>
      </c>
    </row>
    <row r="55" spans="1:10" hidden="1">
      <c r="A55" s="76"/>
      <c r="B55" s="345">
        <v>15639.85</v>
      </c>
      <c r="C55" s="76" t="s">
        <v>2758</v>
      </c>
      <c r="D55" s="77" t="s">
        <v>2759</v>
      </c>
      <c r="E55" s="77" t="s">
        <v>2739</v>
      </c>
      <c r="F55" s="78">
        <v>45486</v>
      </c>
      <c r="G55" s="83" t="s">
        <v>2760</v>
      </c>
      <c r="H55" s="80">
        <v>8500</v>
      </c>
      <c r="I55" s="344">
        <v>917000</v>
      </c>
      <c r="J55" s="82" t="s">
        <v>16</v>
      </c>
    </row>
    <row r="56" spans="1:10" hidden="1">
      <c r="A56" s="91">
        <v>45473</v>
      </c>
      <c r="B56" s="339"/>
      <c r="C56" s="76" t="s">
        <v>2758</v>
      </c>
      <c r="D56" s="77" t="s">
        <v>2759</v>
      </c>
      <c r="E56" s="77" t="s">
        <v>2739</v>
      </c>
      <c r="F56" s="78">
        <v>45486</v>
      </c>
      <c r="G56" s="79" t="s">
        <v>2761</v>
      </c>
      <c r="H56" s="80">
        <v>7148.29</v>
      </c>
      <c r="I56" s="339"/>
      <c r="J56" s="82" t="s">
        <v>16</v>
      </c>
    </row>
    <row r="57" spans="1:10" hidden="1">
      <c r="A57" s="74">
        <v>45565</v>
      </c>
      <c r="B57" s="75">
        <v>19144.96</v>
      </c>
      <c r="C57" s="76" t="s">
        <v>2758</v>
      </c>
      <c r="D57" s="77" t="s">
        <v>2759</v>
      </c>
      <c r="E57" s="77" t="s">
        <v>2739</v>
      </c>
      <c r="F57" s="78">
        <v>45565</v>
      </c>
      <c r="G57" s="83" t="s">
        <v>2762</v>
      </c>
      <c r="H57" s="80">
        <v>19215.22</v>
      </c>
      <c r="I57" s="81">
        <f>I55-H57</f>
        <v>897784.78</v>
      </c>
      <c r="J57" s="82" t="s">
        <v>16</v>
      </c>
    </row>
    <row r="58" spans="1:10" hidden="1">
      <c r="A58" s="74">
        <v>45657</v>
      </c>
      <c r="B58" s="75">
        <v>18445</v>
      </c>
      <c r="C58" s="76" t="s">
        <v>2758</v>
      </c>
      <c r="D58" s="77" t="s">
        <v>2759</v>
      </c>
      <c r="E58" s="77" t="s">
        <v>2739</v>
      </c>
      <c r="F58" s="78">
        <f>A58</f>
        <v>45657</v>
      </c>
      <c r="G58" s="84" t="s">
        <v>2745</v>
      </c>
      <c r="H58" s="80">
        <f>B58</f>
        <v>18445</v>
      </c>
      <c r="I58" s="81">
        <f>I57-H58</f>
        <v>879339.78</v>
      </c>
      <c r="J58" s="82" t="s">
        <v>16</v>
      </c>
    </row>
    <row r="59" spans="1:10" hidden="1">
      <c r="A59" s="74">
        <v>45747</v>
      </c>
      <c r="B59" s="75" t="s">
        <v>2763</v>
      </c>
      <c r="C59" s="76" t="s">
        <v>2758</v>
      </c>
      <c r="D59" s="77" t="s">
        <v>2764</v>
      </c>
      <c r="E59" s="77" t="s">
        <v>2739</v>
      </c>
      <c r="F59" s="78">
        <f>A59</f>
        <v>45747</v>
      </c>
      <c r="G59" s="84" t="s">
        <v>2745</v>
      </c>
      <c r="H59" s="80"/>
      <c r="I59" s="81"/>
      <c r="J59" s="85" t="str">
        <f ca="1">IF(A60="","inserire la prossima scadenza",F60-TODAY())</f>
        <v>inserire la prossima scadenza</v>
      </c>
    </row>
    <row r="60" spans="1:10" hidden="1">
      <c r="A60" s="74"/>
      <c r="B60" s="75">
        <v>8603.9699999999993</v>
      </c>
      <c r="C60" s="76" t="s">
        <v>2765</v>
      </c>
      <c r="D60" s="77" t="s">
        <v>2766</v>
      </c>
      <c r="E60" s="77" t="s">
        <v>2739</v>
      </c>
      <c r="F60" s="78">
        <v>45469</v>
      </c>
      <c r="G60" s="79" t="s">
        <v>2767</v>
      </c>
      <c r="H60" s="80">
        <v>8602.7199999999993</v>
      </c>
      <c r="I60" s="81">
        <v>67288.210000000006</v>
      </c>
      <c r="J60" s="82" t="s">
        <v>16</v>
      </c>
    </row>
    <row r="61" spans="1:10" hidden="1">
      <c r="A61" s="74">
        <v>45499</v>
      </c>
      <c r="B61" s="75">
        <v>8609.82</v>
      </c>
      <c r="C61" s="76" t="s">
        <v>2765</v>
      </c>
      <c r="D61" s="77" t="s">
        <v>2766</v>
      </c>
      <c r="E61" s="77" t="s">
        <v>2739</v>
      </c>
      <c r="F61" s="78">
        <v>45499</v>
      </c>
      <c r="G61" s="83" t="s">
        <v>2768</v>
      </c>
      <c r="H61" s="80">
        <v>8609.82</v>
      </c>
      <c r="I61" s="81">
        <v>59010.73</v>
      </c>
      <c r="J61" s="82" t="s">
        <v>16</v>
      </c>
    </row>
    <row r="62" spans="1:10" hidden="1">
      <c r="A62" s="74">
        <v>45530</v>
      </c>
      <c r="B62" s="75">
        <v>8601.39</v>
      </c>
      <c r="C62" s="76" t="s">
        <v>2765</v>
      </c>
      <c r="D62" s="77" t="s">
        <v>2766</v>
      </c>
      <c r="E62" s="77" t="s">
        <v>2739</v>
      </c>
      <c r="F62" s="78">
        <v>45530</v>
      </c>
      <c r="G62" s="83" t="s">
        <v>2769</v>
      </c>
      <c r="H62" s="80">
        <v>8602.1200000000008</v>
      </c>
      <c r="I62" s="81">
        <f>I61-H62</f>
        <v>50408.61</v>
      </c>
      <c r="J62" s="82" t="s">
        <v>16</v>
      </c>
    </row>
    <row r="63" spans="1:10" hidden="1">
      <c r="A63" s="74">
        <v>45561</v>
      </c>
      <c r="B63" s="75">
        <v>8600.09</v>
      </c>
      <c r="C63" s="76" t="s">
        <v>2765</v>
      </c>
      <c r="D63" s="77" t="s">
        <v>2766</v>
      </c>
      <c r="E63" s="77" t="s">
        <v>2739</v>
      </c>
      <c r="F63" s="78">
        <v>45561</v>
      </c>
      <c r="G63" s="83" t="s">
        <v>2770</v>
      </c>
      <c r="H63" s="80">
        <v>8592.74</v>
      </c>
      <c r="I63" s="81">
        <f>I62-H63</f>
        <v>41815.870000000003</v>
      </c>
      <c r="J63" s="82" t="s">
        <v>16</v>
      </c>
    </row>
    <row r="64" spans="1:10" hidden="1">
      <c r="A64" s="74">
        <v>45591</v>
      </c>
      <c r="B64" s="75">
        <v>8592.17</v>
      </c>
      <c r="C64" s="76" t="s">
        <v>2765</v>
      </c>
      <c r="D64" s="77" t="s">
        <v>2766</v>
      </c>
      <c r="E64" s="77" t="s">
        <v>2739</v>
      </c>
      <c r="F64" s="78">
        <v>45591</v>
      </c>
      <c r="G64" s="90" t="s">
        <v>2771</v>
      </c>
      <c r="H64" s="80">
        <v>8582.3799999999992</v>
      </c>
      <c r="I64" s="81">
        <f>I63-H64</f>
        <v>33233.490000000005</v>
      </c>
      <c r="J64" s="82" t="s">
        <v>16</v>
      </c>
    </row>
    <row r="65" spans="1:10" hidden="1">
      <c r="A65" s="74">
        <v>45622</v>
      </c>
      <c r="B65" s="75">
        <v>8597.48</v>
      </c>
      <c r="C65" s="76" t="s">
        <v>2765</v>
      </c>
      <c r="D65" s="77" t="s">
        <v>2766</v>
      </c>
      <c r="E65" s="77" t="s">
        <v>2739</v>
      </c>
      <c r="F65" s="78">
        <v>45622</v>
      </c>
      <c r="G65" s="83" t="s">
        <v>2772</v>
      </c>
      <c r="H65" s="80">
        <v>8597.48</v>
      </c>
      <c r="I65" s="81">
        <v>50733.25</v>
      </c>
      <c r="J65" s="82" t="s">
        <v>16</v>
      </c>
    </row>
    <row r="66" spans="1:10" hidden="1">
      <c r="A66" s="74">
        <v>45652</v>
      </c>
      <c r="B66" s="75">
        <v>8592.17</v>
      </c>
      <c r="C66" s="76" t="s">
        <v>2765</v>
      </c>
      <c r="D66" s="77" t="s">
        <v>2766</v>
      </c>
      <c r="E66" s="77" t="s">
        <v>2739</v>
      </c>
      <c r="F66" s="78">
        <f>A66</f>
        <v>45652</v>
      </c>
      <c r="G66" s="84" t="s">
        <v>2745</v>
      </c>
      <c r="H66" s="80">
        <v>8597.48</v>
      </c>
      <c r="I66" s="81">
        <f>I65-H66</f>
        <v>42135.770000000004</v>
      </c>
      <c r="J66" s="82" t="s">
        <v>16</v>
      </c>
    </row>
    <row r="67" spans="1:10" hidden="1">
      <c r="A67" s="74">
        <v>45683</v>
      </c>
      <c r="B67" s="75">
        <v>8594.84</v>
      </c>
      <c r="C67" s="76" t="s">
        <v>2765</v>
      </c>
      <c r="D67" s="77" t="s">
        <v>2766</v>
      </c>
      <c r="E67" s="77" t="s">
        <v>2739</v>
      </c>
      <c r="F67" s="78">
        <f>A67</f>
        <v>45683</v>
      </c>
      <c r="G67" s="84" t="s">
        <v>2745</v>
      </c>
      <c r="H67" s="80">
        <v>8577.1299999999992</v>
      </c>
      <c r="I67" s="81">
        <f>I66-H67</f>
        <v>33558.640000000007</v>
      </c>
      <c r="J67" s="82" t="s">
        <v>16</v>
      </c>
    </row>
    <row r="68" spans="1:10" hidden="1">
      <c r="A68" s="74">
        <v>45714</v>
      </c>
      <c r="B68" s="75">
        <f>AVERAGE(H60:H67)</f>
        <v>8595.2337499999994</v>
      </c>
      <c r="C68" s="76" t="s">
        <v>2765</v>
      </c>
      <c r="D68" s="77" t="s">
        <v>2766</v>
      </c>
      <c r="E68" s="77" t="s">
        <v>2739</v>
      </c>
      <c r="F68" s="78">
        <f>A68</f>
        <v>45714</v>
      </c>
      <c r="G68" s="84" t="s">
        <v>2745</v>
      </c>
      <c r="H68" s="80">
        <v>8577.1299999999992</v>
      </c>
      <c r="I68" s="81">
        <f>I67-H68</f>
        <v>24981.510000000009</v>
      </c>
      <c r="J68" s="82" t="s">
        <v>16</v>
      </c>
    </row>
    <row r="69" spans="1:10" hidden="1">
      <c r="A69" s="74">
        <v>45742</v>
      </c>
      <c r="B69" s="75">
        <v>8594.7533333333395</v>
      </c>
      <c r="C69" s="76" t="s">
        <v>2765</v>
      </c>
      <c r="D69" s="77" t="s">
        <v>2766</v>
      </c>
      <c r="E69" s="77" t="s">
        <v>2739</v>
      </c>
      <c r="F69" s="78">
        <f>A69</f>
        <v>45742</v>
      </c>
      <c r="G69" s="84" t="s">
        <v>2745</v>
      </c>
      <c r="H69" s="80"/>
      <c r="I69" s="81"/>
      <c r="J69" s="85" t="e">
        <f ca="1">IF(#REF!="","inserire la prossima scadenza",#REF!-TODAY())</f>
        <v>#REF!</v>
      </c>
    </row>
    <row r="70" spans="1:10">
      <c r="A70" s="57"/>
      <c r="D70" s="87"/>
      <c r="E70" s="87"/>
      <c r="F70" s="88"/>
      <c r="G70" s="89"/>
      <c r="H70" s="81"/>
      <c r="I70" s="81"/>
      <c r="J70" s="85" t="str">
        <f ca="1">IF(A71="","inserire la prossima scadenza",F71-TODAY())</f>
        <v>inserire la prossima scadenza</v>
      </c>
    </row>
    <row r="71" spans="1:10">
      <c r="A71" s="74"/>
      <c r="B71" s="75">
        <v>502.42</v>
      </c>
      <c r="C71" s="76" t="s">
        <v>2773</v>
      </c>
      <c r="D71" s="77" t="s">
        <v>2774</v>
      </c>
      <c r="E71" s="77" t="s">
        <v>2739</v>
      </c>
      <c r="F71" s="78">
        <v>45473</v>
      </c>
      <c r="G71" s="92" t="s">
        <v>2775</v>
      </c>
      <c r="H71" s="80">
        <v>502.42</v>
      </c>
      <c r="I71" s="81">
        <v>21029.87</v>
      </c>
      <c r="J71" s="82" t="s">
        <v>16</v>
      </c>
    </row>
    <row r="72" spans="1:10">
      <c r="A72" s="74">
        <v>45503</v>
      </c>
      <c r="B72" s="75">
        <v>502.42</v>
      </c>
      <c r="C72" s="76" t="s">
        <v>2773</v>
      </c>
      <c r="D72" s="77" t="s">
        <v>2774</v>
      </c>
      <c r="E72" s="77" t="s">
        <v>2739</v>
      </c>
      <c r="F72" s="78">
        <v>45503</v>
      </c>
      <c r="G72" s="83" t="s">
        <v>2776</v>
      </c>
      <c r="H72" s="80">
        <v>502.42</v>
      </c>
      <c r="I72" s="81">
        <f t="shared" ref="I72:I86" si="7">I71-H72</f>
        <v>20527.45</v>
      </c>
      <c r="J72" s="82" t="s">
        <v>16</v>
      </c>
    </row>
    <row r="73" spans="1:10">
      <c r="A73" s="74">
        <v>45534</v>
      </c>
      <c r="B73" s="75">
        <v>502.42</v>
      </c>
      <c r="C73" s="76" t="s">
        <v>2773</v>
      </c>
      <c r="D73" s="77" t="s">
        <v>2774</v>
      </c>
      <c r="E73" s="77" t="s">
        <v>2739</v>
      </c>
      <c r="F73" s="78">
        <v>45534</v>
      </c>
      <c r="G73" s="83" t="s">
        <v>2777</v>
      </c>
      <c r="H73" s="80">
        <v>502.42</v>
      </c>
      <c r="I73" s="81">
        <f t="shared" si="7"/>
        <v>20025.030000000002</v>
      </c>
      <c r="J73" s="82" t="s">
        <v>16</v>
      </c>
    </row>
    <row r="74" spans="1:10">
      <c r="A74" s="74">
        <v>45565</v>
      </c>
      <c r="B74" s="75">
        <v>502.42</v>
      </c>
      <c r="C74" s="76" t="s">
        <v>2773</v>
      </c>
      <c r="D74" s="77" t="s">
        <v>2774</v>
      </c>
      <c r="E74" s="77" t="s">
        <v>2739</v>
      </c>
      <c r="F74" s="78">
        <v>45565</v>
      </c>
      <c r="G74" s="84" t="s">
        <v>2745</v>
      </c>
      <c r="H74" s="80">
        <v>502.42</v>
      </c>
      <c r="I74" s="81">
        <f t="shared" si="7"/>
        <v>19522.610000000004</v>
      </c>
      <c r="J74" s="82" t="s">
        <v>16</v>
      </c>
    </row>
    <row r="75" spans="1:10">
      <c r="A75" s="74">
        <v>45595</v>
      </c>
      <c r="B75" s="75">
        <v>502.42</v>
      </c>
      <c r="C75" s="76" t="s">
        <v>2773</v>
      </c>
      <c r="D75" s="77" t="s">
        <v>2774</v>
      </c>
      <c r="E75" s="77" t="s">
        <v>2739</v>
      </c>
      <c r="F75" s="78">
        <v>45595</v>
      </c>
      <c r="G75" s="84" t="s">
        <v>2745</v>
      </c>
      <c r="H75" s="80">
        <v>502.42</v>
      </c>
      <c r="I75" s="81">
        <f t="shared" si="7"/>
        <v>19020.190000000006</v>
      </c>
      <c r="J75" s="82" t="s">
        <v>16</v>
      </c>
    </row>
    <row r="76" spans="1:10">
      <c r="A76" s="74">
        <v>45626</v>
      </c>
      <c r="B76" s="75">
        <v>502.42</v>
      </c>
      <c r="C76" s="76" t="s">
        <v>2773</v>
      </c>
      <c r="D76" s="77" t="s">
        <v>2774</v>
      </c>
      <c r="E76" s="77" t="s">
        <v>2739</v>
      </c>
      <c r="F76" s="78">
        <v>45626</v>
      </c>
      <c r="G76" s="84" t="s">
        <v>2745</v>
      </c>
      <c r="H76" s="80">
        <v>502.42</v>
      </c>
      <c r="I76" s="81">
        <f t="shared" si="7"/>
        <v>18517.770000000008</v>
      </c>
      <c r="J76" s="82" t="s">
        <v>16</v>
      </c>
    </row>
    <row r="77" spans="1:10">
      <c r="A77" s="74">
        <v>45656</v>
      </c>
      <c r="B77" s="75">
        <v>502.42</v>
      </c>
      <c r="C77" s="76" t="s">
        <v>2773</v>
      </c>
      <c r="D77" s="77" t="s">
        <v>2774</v>
      </c>
      <c r="E77" s="77" t="s">
        <v>2739</v>
      </c>
      <c r="F77" s="78">
        <v>45656</v>
      </c>
      <c r="G77" s="84" t="s">
        <v>2745</v>
      </c>
      <c r="H77" s="80">
        <v>502.42</v>
      </c>
      <c r="I77" s="81">
        <f t="shared" si="7"/>
        <v>18015.350000000009</v>
      </c>
      <c r="J77" s="82" t="s">
        <v>16</v>
      </c>
    </row>
    <row r="78" spans="1:10">
      <c r="A78" s="74">
        <v>45687</v>
      </c>
      <c r="B78" s="75">
        <v>502.42</v>
      </c>
      <c r="C78" s="76" t="s">
        <v>2773</v>
      </c>
      <c r="D78" s="77" t="s">
        <v>2774</v>
      </c>
      <c r="E78" s="77" t="s">
        <v>2739</v>
      </c>
      <c r="F78" s="78">
        <v>45687</v>
      </c>
      <c r="G78" s="84" t="s">
        <v>2745</v>
      </c>
      <c r="H78" s="80">
        <v>502.42</v>
      </c>
      <c r="I78" s="81">
        <f t="shared" si="7"/>
        <v>17512.930000000011</v>
      </c>
      <c r="J78" s="82" t="s">
        <v>16</v>
      </c>
    </row>
    <row r="79" spans="1:10">
      <c r="A79" s="74">
        <v>45716</v>
      </c>
      <c r="B79" s="75">
        <v>502.42</v>
      </c>
      <c r="C79" s="76" t="s">
        <v>2773</v>
      </c>
      <c r="D79" s="77" t="s">
        <v>2774</v>
      </c>
      <c r="E79" s="77" t="s">
        <v>2739</v>
      </c>
      <c r="F79" s="78">
        <v>45716</v>
      </c>
      <c r="G79" s="84" t="s">
        <v>2745</v>
      </c>
      <c r="H79" s="80">
        <v>502.42</v>
      </c>
      <c r="I79" s="81">
        <f t="shared" si="7"/>
        <v>17010.510000000013</v>
      </c>
      <c r="J79" s="82" t="s">
        <v>16</v>
      </c>
    </row>
    <row r="80" spans="1:10">
      <c r="A80" s="74">
        <v>45746</v>
      </c>
      <c r="B80" s="75">
        <v>502.42</v>
      </c>
      <c r="C80" s="76" t="s">
        <v>2773</v>
      </c>
      <c r="D80" s="77" t="s">
        <v>2774</v>
      </c>
      <c r="E80" s="77" t="s">
        <v>2739</v>
      </c>
      <c r="F80" s="78">
        <v>45746</v>
      </c>
      <c r="G80" s="84" t="s">
        <v>2745</v>
      </c>
      <c r="H80" s="80">
        <v>502.42</v>
      </c>
      <c r="I80" s="81">
        <f t="shared" si="7"/>
        <v>16508.090000000015</v>
      </c>
      <c r="J80" s="82" t="s">
        <v>16</v>
      </c>
    </row>
    <row r="81" spans="1:10">
      <c r="A81" s="74">
        <v>45777</v>
      </c>
      <c r="B81" s="75">
        <v>502.42</v>
      </c>
      <c r="C81" s="76" t="s">
        <v>2773</v>
      </c>
      <c r="D81" s="77" t="s">
        <v>2774</v>
      </c>
      <c r="E81" s="77" t="s">
        <v>2739</v>
      </c>
      <c r="F81" s="78">
        <v>45777</v>
      </c>
      <c r="G81" s="84" t="s">
        <v>2745</v>
      </c>
      <c r="H81" s="80">
        <v>502.42</v>
      </c>
      <c r="I81" s="81">
        <f t="shared" si="7"/>
        <v>16005.670000000015</v>
      </c>
      <c r="J81" s="82" t="s">
        <v>16</v>
      </c>
    </row>
    <row r="82" spans="1:10">
      <c r="A82" s="74">
        <v>45807</v>
      </c>
      <c r="B82" s="75">
        <v>502.42</v>
      </c>
      <c r="C82" s="76" t="s">
        <v>2773</v>
      </c>
      <c r="D82" s="77" t="s">
        <v>2774</v>
      </c>
      <c r="E82" s="77" t="s">
        <v>2739</v>
      </c>
      <c r="F82" s="78">
        <v>45807</v>
      </c>
      <c r="G82" s="84" t="s">
        <v>2745</v>
      </c>
      <c r="H82" s="80">
        <v>502.42</v>
      </c>
      <c r="I82" s="81">
        <f t="shared" si="7"/>
        <v>15503.250000000015</v>
      </c>
      <c r="J82" s="82" t="s">
        <v>16</v>
      </c>
    </row>
    <row r="83" spans="1:10">
      <c r="A83" s="74">
        <v>45838</v>
      </c>
      <c r="B83" s="75">
        <v>502.42</v>
      </c>
      <c r="C83" s="76" t="s">
        <v>2773</v>
      </c>
      <c r="D83" s="77" t="s">
        <v>2774</v>
      </c>
      <c r="E83" s="77" t="s">
        <v>2739</v>
      </c>
      <c r="F83" s="78">
        <v>45838</v>
      </c>
      <c r="G83" s="84" t="s">
        <v>2745</v>
      </c>
      <c r="H83" s="80">
        <v>502.42</v>
      </c>
      <c r="I83" s="81">
        <f t="shared" si="7"/>
        <v>15000.830000000014</v>
      </c>
      <c r="J83" s="82" t="s">
        <v>16</v>
      </c>
    </row>
    <row r="84" spans="1:10">
      <c r="A84" s="74">
        <v>45868</v>
      </c>
      <c r="B84" s="75">
        <v>502.42</v>
      </c>
      <c r="C84" s="76" t="s">
        <v>2773</v>
      </c>
      <c r="D84" s="77" t="s">
        <v>2774</v>
      </c>
      <c r="E84" s="77" t="s">
        <v>2739</v>
      </c>
      <c r="F84" s="78">
        <v>45868</v>
      </c>
      <c r="G84" s="84" t="s">
        <v>2745</v>
      </c>
      <c r="H84" s="80">
        <v>502.42</v>
      </c>
      <c r="I84" s="81">
        <f t="shared" si="7"/>
        <v>14498.410000000014</v>
      </c>
      <c r="J84" s="82" t="s">
        <v>16</v>
      </c>
    </row>
    <row r="85" spans="1:10">
      <c r="A85" s="74">
        <v>45899</v>
      </c>
      <c r="B85" s="75">
        <v>502.42</v>
      </c>
      <c r="C85" s="76" t="s">
        <v>2778</v>
      </c>
      <c r="D85" s="77" t="s">
        <v>2774</v>
      </c>
      <c r="E85" s="77" t="s">
        <v>2739</v>
      </c>
      <c r="F85" s="78">
        <v>45899</v>
      </c>
      <c r="G85" s="84" t="s">
        <v>2745</v>
      </c>
      <c r="H85" s="80">
        <v>502.42</v>
      </c>
      <c r="I85" s="81">
        <f t="shared" si="7"/>
        <v>13995.990000000014</v>
      </c>
      <c r="J85" s="82" t="s">
        <v>16</v>
      </c>
    </row>
    <row r="86" spans="1:10">
      <c r="A86" s="74">
        <v>45930</v>
      </c>
      <c r="B86" s="75">
        <v>502.42</v>
      </c>
      <c r="C86" s="76" t="s">
        <v>2779</v>
      </c>
      <c r="D86" s="77" t="s">
        <v>2774</v>
      </c>
      <c r="E86" s="77" t="s">
        <v>2739</v>
      </c>
      <c r="F86" s="78">
        <f t="shared" ref="F86:F113" si="8">A86</f>
        <v>45930</v>
      </c>
      <c r="G86" s="84" t="s">
        <v>2745</v>
      </c>
      <c r="H86" s="80">
        <v>502.42</v>
      </c>
      <c r="I86" s="81">
        <f t="shared" si="7"/>
        <v>13493.570000000014</v>
      </c>
      <c r="J86" s="85">
        <f t="shared" ref="J86:J113" ca="1" si="9">IF(A87="","inserire la prossima scadenza",F87-TODAY())</f>
        <v>-127</v>
      </c>
    </row>
    <row r="87" spans="1:10">
      <c r="A87" s="57">
        <v>45960</v>
      </c>
      <c r="B87" s="86">
        <v>502.42</v>
      </c>
      <c r="C87" t="s">
        <v>2780</v>
      </c>
      <c r="D87" s="87" t="s">
        <v>2774</v>
      </c>
      <c r="E87" s="87" t="s">
        <v>2739</v>
      </c>
      <c r="F87" s="88">
        <f t="shared" si="8"/>
        <v>45960</v>
      </c>
      <c r="G87" s="89"/>
      <c r="H87" s="81"/>
      <c r="I87" s="81"/>
      <c r="J87" s="85">
        <f t="shared" ca="1" si="9"/>
        <v>-96</v>
      </c>
    </row>
    <row r="88" spans="1:10">
      <c r="A88" s="57">
        <v>45991</v>
      </c>
      <c r="B88" s="86">
        <v>502.42</v>
      </c>
      <c r="C88" t="s">
        <v>2781</v>
      </c>
      <c r="D88" s="87" t="s">
        <v>2774</v>
      </c>
      <c r="E88" s="87" t="s">
        <v>2739</v>
      </c>
      <c r="F88" s="88">
        <f t="shared" si="8"/>
        <v>45991</v>
      </c>
      <c r="G88" s="89"/>
      <c r="H88" s="81"/>
      <c r="I88" s="81"/>
      <c r="J88" s="85">
        <f t="shared" ca="1" si="9"/>
        <v>-66</v>
      </c>
    </row>
    <row r="89" spans="1:10">
      <c r="A89" s="57">
        <v>46021</v>
      </c>
      <c r="B89" s="86">
        <v>502.42</v>
      </c>
      <c r="C89" t="s">
        <v>2782</v>
      </c>
      <c r="D89" s="87" t="s">
        <v>2774</v>
      </c>
      <c r="E89" s="87" t="s">
        <v>2739</v>
      </c>
      <c r="F89" s="88">
        <f t="shared" si="8"/>
        <v>46021</v>
      </c>
      <c r="G89" s="89"/>
      <c r="H89" s="81"/>
      <c r="I89" s="81"/>
      <c r="J89" s="85">
        <f t="shared" ca="1" si="9"/>
        <v>-35</v>
      </c>
    </row>
    <row r="90" spans="1:10">
      <c r="A90" s="57">
        <v>46052</v>
      </c>
      <c r="B90" s="86">
        <v>502.42</v>
      </c>
      <c r="C90" t="s">
        <v>2783</v>
      </c>
      <c r="D90" s="87" t="s">
        <v>2774</v>
      </c>
      <c r="E90" s="87" t="s">
        <v>2739</v>
      </c>
      <c r="F90" s="88">
        <f t="shared" si="8"/>
        <v>46052</v>
      </c>
      <c r="G90" s="89"/>
      <c r="H90" s="81"/>
      <c r="I90" s="81"/>
      <c r="J90" s="85">
        <f t="shared" ca="1" si="9"/>
        <v>-6</v>
      </c>
    </row>
    <row r="91" spans="1:10">
      <c r="A91" s="57">
        <v>46081</v>
      </c>
      <c r="B91" s="86">
        <v>502.42</v>
      </c>
      <c r="C91" t="s">
        <v>2784</v>
      </c>
      <c r="D91" s="87" t="s">
        <v>2774</v>
      </c>
      <c r="E91" s="87" t="s">
        <v>2739</v>
      </c>
      <c r="F91" s="88">
        <f t="shared" si="8"/>
        <v>46081</v>
      </c>
      <c r="G91" s="89"/>
      <c r="H91" s="81"/>
      <c r="I91" s="81"/>
      <c r="J91" s="85">
        <f t="shared" ca="1" si="9"/>
        <v>24</v>
      </c>
    </row>
    <row r="92" spans="1:10">
      <c r="A92" s="57">
        <v>46111</v>
      </c>
      <c r="B92" s="86">
        <v>502.42</v>
      </c>
      <c r="C92" t="s">
        <v>2785</v>
      </c>
      <c r="D92" s="87" t="s">
        <v>2774</v>
      </c>
      <c r="E92" s="87" t="s">
        <v>2739</v>
      </c>
      <c r="F92" s="88">
        <f t="shared" si="8"/>
        <v>46111</v>
      </c>
      <c r="G92" s="89"/>
      <c r="H92" s="81"/>
      <c r="I92" s="81"/>
      <c r="J92" s="85">
        <f t="shared" ca="1" si="9"/>
        <v>55</v>
      </c>
    </row>
    <row r="93" spans="1:10">
      <c r="A93" s="57">
        <v>46142</v>
      </c>
      <c r="B93" s="86">
        <v>502.42</v>
      </c>
      <c r="C93" t="s">
        <v>2786</v>
      </c>
      <c r="D93" s="87" t="s">
        <v>2774</v>
      </c>
      <c r="E93" s="87" t="s">
        <v>2739</v>
      </c>
      <c r="F93" s="88">
        <f t="shared" si="8"/>
        <v>46142</v>
      </c>
      <c r="G93" s="89"/>
      <c r="H93" s="81"/>
      <c r="I93" s="81"/>
      <c r="J93" s="85">
        <f t="shared" ca="1" si="9"/>
        <v>85</v>
      </c>
    </row>
    <row r="94" spans="1:10">
      <c r="A94" s="57">
        <v>46172</v>
      </c>
      <c r="B94" s="86">
        <v>502.42</v>
      </c>
      <c r="C94" t="s">
        <v>2787</v>
      </c>
      <c r="D94" s="87" t="s">
        <v>2774</v>
      </c>
      <c r="E94" s="87" t="s">
        <v>2739</v>
      </c>
      <c r="F94" s="88">
        <f t="shared" si="8"/>
        <v>46172</v>
      </c>
      <c r="G94" s="89"/>
      <c r="H94" s="81"/>
      <c r="I94" s="81"/>
      <c r="J94" s="85">
        <f t="shared" ca="1" si="9"/>
        <v>116</v>
      </c>
    </row>
    <row r="95" spans="1:10">
      <c r="A95" s="57">
        <v>46203</v>
      </c>
      <c r="B95" s="86">
        <v>502.42</v>
      </c>
      <c r="C95" t="s">
        <v>2788</v>
      </c>
      <c r="D95" s="87" t="s">
        <v>2774</v>
      </c>
      <c r="E95" s="87" t="s">
        <v>2739</v>
      </c>
      <c r="F95" s="88">
        <f t="shared" si="8"/>
        <v>46203</v>
      </c>
      <c r="G95" s="89"/>
      <c r="H95" s="81"/>
      <c r="I95" s="81"/>
      <c r="J95" s="85">
        <f t="shared" ca="1" si="9"/>
        <v>146</v>
      </c>
    </row>
    <row r="96" spans="1:10">
      <c r="A96" s="57">
        <v>46233</v>
      </c>
      <c r="B96" s="86">
        <v>502.42</v>
      </c>
      <c r="C96" t="s">
        <v>2789</v>
      </c>
      <c r="D96" s="87" t="s">
        <v>2774</v>
      </c>
      <c r="E96" s="87" t="s">
        <v>2739</v>
      </c>
      <c r="F96" s="88">
        <f t="shared" si="8"/>
        <v>46233</v>
      </c>
      <c r="G96" s="89"/>
      <c r="H96" s="81"/>
      <c r="I96" s="81"/>
      <c r="J96" s="85">
        <f t="shared" ca="1" si="9"/>
        <v>177</v>
      </c>
    </row>
    <row r="97" spans="1:10">
      <c r="A97" s="57">
        <v>46264</v>
      </c>
      <c r="B97" s="86">
        <v>502.42</v>
      </c>
      <c r="C97" t="s">
        <v>2790</v>
      </c>
      <c r="D97" s="87" t="s">
        <v>2774</v>
      </c>
      <c r="E97" s="87" t="s">
        <v>2739</v>
      </c>
      <c r="F97" s="88">
        <f t="shared" si="8"/>
        <v>46264</v>
      </c>
      <c r="G97" s="89"/>
      <c r="H97" s="81"/>
      <c r="I97" s="81"/>
      <c r="J97" s="85">
        <f t="shared" ca="1" si="9"/>
        <v>208</v>
      </c>
    </row>
    <row r="98" spans="1:10">
      <c r="A98" s="57">
        <v>46295</v>
      </c>
      <c r="B98" s="86">
        <v>502.42</v>
      </c>
      <c r="C98" t="s">
        <v>2791</v>
      </c>
      <c r="D98" s="87" t="s">
        <v>2774</v>
      </c>
      <c r="E98" s="87" t="s">
        <v>2739</v>
      </c>
      <c r="F98" s="88">
        <f t="shared" si="8"/>
        <v>46295</v>
      </c>
      <c r="G98" s="89"/>
      <c r="H98" s="81"/>
      <c r="I98" s="81"/>
      <c r="J98" s="85">
        <f t="shared" ca="1" si="9"/>
        <v>238</v>
      </c>
    </row>
    <row r="99" spans="1:10">
      <c r="A99" s="57">
        <v>46325</v>
      </c>
      <c r="B99" s="86">
        <v>502.42</v>
      </c>
      <c r="C99" t="s">
        <v>2792</v>
      </c>
      <c r="D99" s="87" t="s">
        <v>2774</v>
      </c>
      <c r="E99" s="87" t="s">
        <v>2739</v>
      </c>
      <c r="F99" s="88">
        <f t="shared" si="8"/>
        <v>46325</v>
      </c>
      <c r="G99" s="89"/>
      <c r="H99" s="81"/>
      <c r="I99" s="81"/>
      <c r="J99" s="85">
        <f t="shared" ca="1" si="9"/>
        <v>269</v>
      </c>
    </row>
    <row r="100" spans="1:10">
      <c r="A100" s="57">
        <v>46356</v>
      </c>
      <c r="B100" s="86">
        <v>502.42</v>
      </c>
      <c r="C100" t="s">
        <v>2793</v>
      </c>
      <c r="D100" s="87" t="s">
        <v>2774</v>
      </c>
      <c r="E100" s="87" t="s">
        <v>2739</v>
      </c>
      <c r="F100" s="88">
        <f t="shared" si="8"/>
        <v>46356</v>
      </c>
      <c r="G100" s="89"/>
      <c r="H100" s="81"/>
      <c r="I100" s="81"/>
      <c r="J100" s="85">
        <f t="shared" ca="1" si="9"/>
        <v>299</v>
      </c>
    </row>
    <row r="101" spans="1:10">
      <c r="A101" s="57">
        <v>46386</v>
      </c>
      <c r="B101" s="86">
        <v>502.42</v>
      </c>
      <c r="C101" t="s">
        <v>2794</v>
      </c>
      <c r="D101" s="87" t="s">
        <v>2774</v>
      </c>
      <c r="E101" s="87" t="s">
        <v>2739</v>
      </c>
      <c r="F101" s="88">
        <f t="shared" si="8"/>
        <v>46386</v>
      </c>
      <c r="G101" s="89"/>
      <c r="H101" s="81"/>
      <c r="I101" s="81"/>
      <c r="J101" s="85">
        <f t="shared" ca="1" si="9"/>
        <v>330</v>
      </c>
    </row>
    <row r="102" spans="1:10">
      <c r="A102" s="57">
        <v>46417</v>
      </c>
      <c r="B102" s="86">
        <v>502.42</v>
      </c>
      <c r="C102" t="s">
        <v>2795</v>
      </c>
      <c r="D102" s="87" t="s">
        <v>2774</v>
      </c>
      <c r="E102" s="87" t="s">
        <v>2739</v>
      </c>
      <c r="F102" s="88">
        <f t="shared" si="8"/>
        <v>46417</v>
      </c>
      <c r="G102" s="89"/>
      <c r="H102" s="81"/>
      <c r="I102" s="81"/>
      <c r="J102" s="85">
        <f t="shared" ca="1" si="9"/>
        <v>359</v>
      </c>
    </row>
    <row r="103" spans="1:10">
      <c r="A103" s="57">
        <v>46446</v>
      </c>
      <c r="B103" s="86">
        <v>502.42</v>
      </c>
      <c r="C103" t="s">
        <v>2796</v>
      </c>
      <c r="D103" s="87" t="s">
        <v>2774</v>
      </c>
      <c r="E103" s="87" t="s">
        <v>2739</v>
      </c>
      <c r="F103" s="88">
        <f t="shared" si="8"/>
        <v>46446</v>
      </c>
      <c r="G103" s="89"/>
      <c r="H103" s="81"/>
      <c r="I103" s="81"/>
      <c r="J103" s="85">
        <f t="shared" ca="1" si="9"/>
        <v>389</v>
      </c>
    </row>
    <row r="104" spans="1:10">
      <c r="A104" s="57">
        <v>46476</v>
      </c>
      <c r="B104" s="86">
        <v>502.42</v>
      </c>
      <c r="C104" t="s">
        <v>2797</v>
      </c>
      <c r="D104" s="87" t="s">
        <v>2774</v>
      </c>
      <c r="E104" s="87" t="s">
        <v>2739</v>
      </c>
      <c r="F104" s="88">
        <f t="shared" si="8"/>
        <v>46476</v>
      </c>
      <c r="G104" s="89"/>
      <c r="H104" s="81"/>
      <c r="I104" s="81"/>
      <c r="J104" s="85">
        <f t="shared" ca="1" si="9"/>
        <v>420</v>
      </c>
    </row>
    <row r="105" spans="1:10">
      <c r="A105" s="57">
        <v>46507</v>
      </c>
      <c r="B105" s="86">
        <v>502.42</v>
      </c>
      <c r="C105" t="s">
        <v>2798</v>
      </c>
      <c r="D105" s="87" t="s">
        <v>2774</v>
      </c>
      <c r="E105" s="87" t="s">
        <v>2739</v>
      </c>
      <c r="F105" s="88">
        <f t="shared" si="8"/>
        <v>46507</v>
      </c>
      <c r="G105" s="89"/>
      <c r="H105" s="81"/>
      <c r="I105" s="81"/>
      <c r="J105" s="85">
        <f t="shared" ca="1" si="9"/>
        <v>450</v>
      </c>
    </row>
    <row r="106" spans="1:10">
      <c r="A106" s="57">
        <v>46537</v>
      </c>
      <c r="B106" s="86">
        <v>502.42</v>
      </c>
      <c r="C106" t="s">
        <v>2799</v>
      </c>
      <c r="D106" s="87" t="s">
        <v>2774</v>
      </c>
      <c r="E106" s="87" t="s">
        <v>2739</v>
      </c>
      <c r="F106" s="88">
        <f t="shared" si="8"/>
        <v>46537</v>
      </c>
      <c r="G106" s="89"/>
      <c r="H106" s="81"/>
      <c r="I106" s="81"/>
      <c r="J106" s="85">
        <f t="shared" ca="1" si="9"/>
        <v>481</v>
      </c>
    </row>
    <row r="107" spans="1:10">
      <c r="A107" s="57">
        <v>46568</v>
      </c>
      <c r="B107" s="86">
        <v>502.42</v>
      </c>
      <c r="C107" t="s">
        <v>2800</v>
      </c>
      <c r="D107" s="87" t="s">
        <v>2774</v>
      </c>
      <c r="E107" s="87" t="s">
        <v>2739</v>
      </c>
      <c r="F107" s="88">
        <f t="shared" si="8"/>
        <v>46568</v>
      </c>
      <c r="G107" s="89"/>
      <c r="H107" s="81"/>
      <c r="I107" s="81"/>
      <c r="J107" s="85">
        <f t="shared" ca="1" si="9"/>
        <v>511</v>
      </c>
    </row>
    <row r="108" spans="1:10">
      <c r="A108" s="57">
        <v>46598</v>
      </c>
      <c r="B108" s="86">
        <v>502.42</v>
      </c>
      <c r="C108" t="s">
        <v>2801</v>
      </c>
      <c r="D108" s="87" t="s">
        <v>2774</v>
      </c>
      <c r="E108" s="87" t="s">
        <v>2739</v>
      </c>
      <c r="F108" s="88">
        <f t="shared" si="8"/>
        <v>46598</v>
      </c>
      <c r="G108" s="89"/>
      <c r="H108" s="81"/>
      <c r="I108" s="81"/>
      <c r="J108" s="85">
        <f t="shared" ca="1" si="9"/>
        <v>542</v>
      </c>
    </row>
    <row r="109" spans="1:10">
      <c r="A109" s="57">
        <v>46629</v>
      </c>
      <c r="B109" s="86">
        <v>502.42</v>
      </c>
      <c r="C109" t="s">
        <v>2802</v>
      </c>
      <c r="D109" s="87" t="s">
        <v>2774</v>
      </c>
      <c r="E109" s="87" t="s">
        <v>2739</v>
      </c>
      <c r="F109" s="88">
        <f t="shared" si="8"/>
        <v>46629</v>
      </c>
      <c r="G109" s="89"/>
      <c r="H109" s="81"/>
      <c r="I109" s="81"/>
      <c r="J109" s="85">
        <f t="shared" ca="1" si="9"/>
        <v>573</v>
      </c>
    </row>
    <row r="110" spans="1:10">
      <c r="A110" s="57">
        <v>46660</v>
      </c>
      <c r="B110" s="86">
        <v>502.42</v>
      </c>
      <c r="C110" t="s">
        <v>2803</v>
      </c>
      <c r="D110" s="87" t="s">
        <v>2774</v>
      </c>
      <c r="E110" s="87" t="s">
        <v>2739</v>
      </c>
      <c r="F110" s="88">
        <f t="shared" si="8"/>
        <v>46660</v>
      </c>
      <c r="G110" s="89"/>
      <c r="H110" s="81"/>
      <c r="I110" s="81"/>
      <c r="J110" s="85">
        <f t="shared" ca="1" si="9"/>
        <v>603</v>
      </c>
    </row>
    <row r="111" spans="1:10">
      <c r="A111" s="57">
        <v>46690</v>
      </c>
      <c r="B111" s="86">
        <v>502.42</v>
      </c>
      <c r="C111" t="s">
        <v>2804</v>
      </c>
      <c r="D111" s="87" t="s">
        <v>2774</v>
      </c>
      <c r="E111" s="87" t="s">
        <v>2739</v>
      </c>
      <c r="F111" s="88">
        <f t="shared" si="8"/>
        <v>46690</v>
      </c>
      <c r="G111" s="89"/>
      <c r="H111" s="81"/>
      <c r="I111" s="81"/>
      <c r="J111" s="85">
        <f t="shared" ca="1" si="9"/>
        <v>634</v>
      </c>
    </row>
    <row r="112" spans="1:10">
      <c r="A112" s="57">
        <v>46721</v>
      </c>
      <c r="B112" s="86">
        <v>502.42</v>
      </c>
      <c r="C112" t="s">
        <v>2805</v>
      </c>
      <c r="D112" s="87" t="s">
        <v>2774</v>
      </c>
      <c r="E112" s="87" t="s">
        <v>2739</v>
      </c>
      <c r="F112" s="88">
        <f t="shared" si="8"/>
        <v>46721</v>
      </c>
      <c r="G112" s="89"/>
      <c r="H112" s="81"/>
      <c r="I112" s="81"/>
      <c r="J112" s="85">
        <f t="shared" ca="1" si="9"/>
        <v>664</v>
      </c>
    </row>
    <row r="113" spans="1:10">
      <c r="A113" s="57">
        <v>46751</v>
      </c>
      <c r="B113" s="86">
        <v>502.42</v>
      </c>
      <c r="C113" t="s">
        <v>2806</v>
      </c>
      <c r="D113" s="87" t="s">
        <v>2774</v>
      </c>
      <c r="E113" s="87" t="s">
        <v>2739</v>
      </c>
      <c r="F113" s="88">
        <f t="shared" si="8"/>
        <v>46751</v>
      </c>
      <c r="G113" s="89"/>
      <c r="H113" s="81"/>
      <c r="I113" s="81"/>
      <c r="J113" s="85" t="str">
        <f t="shared" ca="1" si="9"/>
        <v>inserire la prossima scadenza</v>
      </c>
    </row>
    <row r="114" spans="1:10">
      <c r="A114" s="57"/>
      <c r="D114" s="87"/>
      <c r="E114" s="87"/>
      <c r="F114" s="88"/>
      <c r="G114" s="89"/>
      <c r="H114" s="81"/>
      <c r="I114" s="81"/>
      <c r="J114" s="85"/>
    </row>
    <row r="115" spans="1:10">
      <c r="A115" s="74"/>
      <c r="B115" s="75">
        <v>8970.56</v>
      </c>
      <c r="C115" s="76" t="s">
        <v>2807</v>
      </c>
      <c r="D115" s="77" t="s">
        <v>2808</v>
      </c>
      <c r="E115" s="77" t="s">
        <v>2739</v>
      </c>
      <c r="F115" s="78">
        <v>45474</v>
      </c>
      <c r="G115" s="92" t="s">
        <v>2809</v>
      </c>
      <c r="H115" s="80">
        <v>8970.56</v>
      </c>
      <c r="I115" s="81">
        <v>183834.6</v>
      </c>
      <c r="J115" s="82" t="s">
        <v>16</v>
      </c>
    </row>
    <row r="116" spans="1:10">
      <c r="A116" s="74">
        <v>45505</v>
      </c>
      <c r="B116" s="75">
        <v>8970.56</v>
      </c>
      <c r="C116" s="76" t="s">
        <v>2807</v>
      </c>
      <c r="D116" s="77" t="s">
        <v>2808</v>
      </c>
      <c r="E116" s="77" t="s">
        <v>2739</v>
      </c>
      <c r="F116" s="78">
        <v>45505</v>
      </c>
      <c r="G116" s="83" t="s">
        <v>2810</v>
      </c>
      <c r="H116" s="80">
        <v>8992</v>
      </c>
      <c r="I116" s="81">
        <f t="shared" ref="I116:I130" si="10">I115-H116</f>
        <v>174842.6</v>
      </c>
      <c r="J116" s="82" t="s">
        <v>16</v>
      </c>
    </row>
    <row r="117" spans="1:10">
      <c r="A117" s="74">
        <v>45536</v>
      </c>
      <c r="B117" s="75">
        <v>8970.56</v>
      </c>
      <c r="C117" s="76" t="s">
        <v>2807</v>
      </c>
      <c r="D117" s="77" t="s">
        <v>2808</v>
      </c>
      <c r="E117" s="77" t="s">
        <v>2739</v>
      </c>
      <c r="F117" s="78">
        <v>45536</v>
      </c>
      <c r="G117" s="83" t="s">
        <v>2811</v>
      </c>
      <c r="H117" s="80">
        <v>8962.48</v>
      </c>
      <c r="I117" s="81">
        <f t="shared" si="10"/>
        <v>165880.12</v>
      </c>
      <c r="J117" s="82" t="s">
        <v>16</v>
      </c>
    </row>
    <row r="118" spans="1:10">
      <c r="A118" s="74">
        <v>45566</v>
      </c>
      <c r="B118" s="75">
        <v>8970.56</v>
      </c>
      <c r="C118" s="76" t="s">
        <v>2807</v>
      </c>
      <c r="D118" s="77" t="s">
        <v>2808</v>
      </c>
      <c r="E118" s="77" t="s">
        <v>2739</v>
      </c>
      <c r="F118" s="78">
        <v>45566</v>
      </c>
      <c r="G118" s="83" t="s">
        <v>2812</v>
      </c>
      <c r="H118" s="80">
        <v>8923.4699999999993</v>
      </c>
      <c r="I118" s="81">
        <f t="shared" si="10"/>
        <v>156956.65</v>
      </c>
      <c r="J118" s="82" t="s">
        <v>16</v>
      </c>
    </row>
    <row r="119" spans="1:10">
      <c r="A119" s="74">
        <v>45597</v>
      </c>
      <c r="B119" s="75">
        <v>8970.56</v>
      </c>
      <c r="C119" s="76" t="s">
        <v>2807</v>
      </c>
      <c r="D119" s="77" t="s">
        <v>2808</v>
      </c>
      <c r="E119" s="77" t="s">
        <v>2739</v>
      </c>
      <c r="F119" s="78">
        <v>45597</v>
      </c>
      <c r="G119" s="83" t="s">
        <v>2813</v>
      </c>
      <c r="H119" s="80">
        <v>8910.06</v>
      </c>
      <c r="I119" s="81">
        <f t="shared" si="10"/>
        <v>148046.59</v>
      </c>
      <c r="J119" s="82" t="s">
        <v>16</v>
      </c>
    </row>
    <row r="120" spans="1:10">
      <c r="A120" s="74">
        <v>45627</v>
      </c>
      <c r="B120" s="75">
        <v>8970.56</v>
      </c>
      <c r="C120" s="76" t="s">
        <v>2807</v>
      </c>
      <c r="D120" s="77" t="s">
        <v>2808</v>
      </c>
      <c r="E120" s="77" t="s">
        <v>2739</v>
      </c>
      <c r="F120" s="78">
        <v>45627</v>
      </c>
      <c r="G120" s="84" t="s">
        <v>2745</v>
      </c>
      <c r="H120" s="80">
        <v>8848.0300000000007</v>
      </c>
      <c r="I120" s="81">
        <f t="shared" si="10"/>
        <v>139198.56</v>
      </c>
      <c r="J120" s="82" t="s">
        <v>16</v>
      </c>
    </row>
    <row r="121" spans="1:10">
      <c r="A121" s="74">
        <v>45658</v>
      </c>
      <c r="B121" s="75">
        <v>8970.56</v>
      </c>
      <c r="C121" s="76" t="s">
        <v>2807</v>
      </c>
      <c r="D121" s="77" t="s">
        <v>2808</v>
      </c>
      <c r="E121" s="77" t="s">
        <v>2739</v>
      </c>
      <c r="F121" s="78">
        <v>45658</v>
      </c>
      <c r="G121" s="84" t="s">
        <v>2745</v>
      </c>
      <c r="H121" s="80">
        <f>B121</f>
        <v>8970.56</v>
      </c>
      <c r="I121" s="81">
        <f t="shared" si="10"/>
        <v>130228</v>
      </c>
      <c r="J121" s="82" t="s">
        <v>16</v>
      </c>
    </row>
    <row r="122" spans="1:10">
      <c r="A122" s="74">
        <v>45689</v>
      </c>
      <c r="B122" s="75">
        <v>8970.56</v>
      </c>
      <c r="C122" s="76" t="s">
        <v>2807</v>
      </c>
      <c r="D122" s="77" t="s">
        <v>2808</v>
      </c>
      <c r="E122" s="77" t="s">
        <v>2739</v>
      </c>
      <c r="F122" s="78">
        <v>45689</v>
      </c>
      <c r="G122" s="84" t="s">
        <v>2745</v>
      </c>
      <c r="H122" s="80">
        <v>8829</v>
      </c>
      <c r="I122" s="81">
        <f t="shared" si="10"/>
        <v>121399</v>
      </c>
      <c r="J122" s="82" t="s">
        <v>16</v>
      </c>
    </row>
    <row r="123" spans="1:10">
      <c r="A123" s="74">
        <v>45717</v>
      </c>
      <c r="B123" s="75">
        <v>8970.56</v>
      </c>
      <c r="C123" s="76" t="s">
        <v>2807</v>
      </c>
      <c r="D123" s="77" t="s">
        <v>2808</v>
      </c>
      <c r="E123" s="77" t="s">
        <v>2739</v>
      </c>
      <c r="F123" s="78">
        <v>45717</v>
      </c>
      <c r="G123" s="84" t="s">
        <v>2745</v>
      </c>
      <c r="H123" s="80">
        <v>8829</v>
      </c>
      <c r="I123" s="81">
        <f t="shared" si="10"/>
        <v>112570</v>
      </c>
      <c r="J123" s="82" t="s">
        <v>16</v>
      </c>
    </row>
    <row r="124" spans="1:10">
      <c r="A124" s="74">
        <v>45748</v>
      </c>
      <c r="B124" s="75">
        <v>8970.56</v>
      </c>
      <c r="C124" s="76" t="s">
        <v>2807</v>
      </c>
      <c r="D124" s="77" t="s">
        <v>2808</v>
      </c>
      <c r="E124" s="77" t="s">
        <v>2739</v>
      </c>
      <c r="F124" s="78">
        <v>45748</v>
      </c>
      <c r="G124" s="84" t="s">
        <v>2745</v>
      </c>
      <c r="H124" s="80">
        <v>8829</v>
      </c>
      <c r="I124" s="81">
        <f t="shared" si="10"/>
        <v>103741</v>
      </c>
      <c r="J124" s="82" t="s">
        <v>16</v>
      </c>
    </row>
    <row r="125" spans="1:10">
      <c r="A125" s="74">
        <v>45778</v>
      </c>
      <c r="B125" s="75">
        <v>8970.56</v>
      </c>
      <c r="C125" s="76" t="s">
        <v>2807</v>
      </c>
      <c r="D125" s="77" t="s">
        <v>2808</v>
      </c>
      <c r="E125" s="77" t="s">
        <v>2739</v>
      </c>
      <c r="F125" s="78">
        <v>45778</v>
      </c>
      <c r="G125" s="84" t="s">
        <v>2745</v>
      </c>
      <c r="H125" s="80">
        <v>8751.65</v>
      </c>
      <c r="I125" s="81">
        <f t="shared" si="10"/>
        <v>94989.35</v>
      </c>
      <c r="J125" s="82" t="s">
        <v>16</v>
      </c>
    </row>
    <row r="126" spans="1:10">
      <c r="A126" s="74">
        <v>45809</v>
      </c>
      <c r="B126" s="75">
        <v>8970.56</v>
      </c>
      <c r="C126" s="76" t="s">
        <v>2807</v>
      </c>
      <c r="D126" s="77" t="s">
        <v>2808</v>
      </c>
      <c r="E126" s="77" t="s">
        <v>2739</v>
      </c>
      <c r="F126" s="78">
        <v>45809</v>
      </c>
      <c r="G126" s="84" t="s">
        <v>2745</v>
      </c>
      <c r="H126" s="80">
        <v>8829</v>
      </c>
      <c r="I126" s="81">
        <f t="shared" si="10"/>
        <v>86160.35</v>
      </c>
      <c r="J126" s="82" t="s">
        <v>16</v>
      </c>
    </row>
    <row r="127" spans="1:10">
      <c r="A127" s="78">
        <v>45839</v>
      </c>
      <c r="B127" s="75">
        <v>8970.56</v>
      </c>
      <c r="C127" s="78" t="s">
        <v>2807</v>
      </c>
      <c r="D127" s="78" t="s">
        <v>2808</v>
      </c>
      <c r="E127" s="78" t="s">
        <v>2739</v>
      </c>
      <c r="F127" s="78">
        <v>45839</v>
      </c>
      <c r="G127" s="84" t="s">
        <v>2745</v>
      </c>
      <c r="H127" s="80">
        <v>8829</v>
      </c>
      <c r="I127" s="81">
        <f t="shared" si="10"/>
        <v>77331.350000000006</v>
      </c>
      <c r="J127" s="82" t="s">
        <v>16</v>
      </c>
    </row>
    <row r="128" spans="1:10">
      <c r="A128" s="78">
        <v>45870</v>
      </c>
      <c r="B128" s="75">
        <v>8970.56</v>
      </c>
      <c r="C128" s="78" t="s">
        <v>2807</v>
      </c>
      <c r="D128" s="78" t="s">
        <v>2808</v>
      </c>
      <c r="E128" s="78" t="s">
        <v>2739</v>
      </c>
      <c r="F128" s="78">
        <v>45870</v>
      </c>
      <c r="G128" s="84" t="s">
        <v>2745</v>
      </c>
      <c r="H128" s="80">
        <v>8829</v>
      </c>
      <c r="I128" s="81">
        <f t="shared" si="10"/>
        <v>68502.350000000006</v>
      </c>
      <c r="J128" s="82" t="s">
        <v>16</v>
      </c>
    </row>
    <row r="129" spans="1:10">
      <c r="A129" s="78">
        <v>45901</v>
      </c>
      <c r="B129" s="75">
        <v>8970.56</v>
      </c>
      <c r="C129" s="78" t="s">
        <v>2807</v>
      </c>
      <c r="D129" s="78" t="s">
        <v>2808</v>
      </c>
      <c r="E129" s="78" t="s">
        <v>2739</v>
      </c>
      <c r="F129" s="78">
        <v>45901</v>
      </c>
      <c r="G129" s="84" t="s">
        <v>2745</v>
      </c>
      <c r="H129" s="80">
        <v>8829</v>
      </c>
      <c r="I129" s="81">
        <f t="shared" si="10"/>
        <v>59673.350000000006</v>
      </c>
      <c r="J129" s="82" t="s">
        <v>16</v>
      </c>
    </row>
    <row r="130" spans="1:10">
      <c r="A130" s="78">
        <v>45931</v>
      </c>
      <c r="B130" s="75">
        <v>8970.56</v>
      </c>
      <c r="C130" s="78" t="s">
        <v>2807</v>
      </c>
      <c r="D130" s="78" t="s">
        <v>2808</v>
      </c>
      <c r="E130" s="78" t="s">
        <v>2739</v>
      </c>
      <c r="F130" s="78">
        <v>45931</v>
      </c>
      <c r="G130" s="84" t="s">
        <v>2745</v>
      </c>
      <c r="H130" s="80">
        <v>8829</v>
      </c>
      <c r="I130" s="81">
        <f t="shared" si="10"/>
        <v>50844.350000000006</v>
      </c>
      <c r="J130" s="85">
        <f t="shared" ref="J130:J136" ca="1" si="11">IF(A131="","inserire la prossima scadenza",F131-TODAY())</f>
        <v>-125</v>
      </c>
    </row>
    <row r="131" spans="1:10">
      <c r="A131" s="88">
        <v>45962</v>
      </c>
      <c r="B131" s="86">
        <v>8970.56</v>
      </c>
      <c r="C131" s="88" t="s">
        <v>2807</v>
      </c>
      <c r="D131" s="88" t="s">
        <v>2808</v>
      </c>
      <c r="E131" s="88" t="s">
        <v>2739</v>
      </c>
      <c r="F131" s="88">
        <v>45962</v>
      </c>
      <c r="G131" s="89"/>
      <c r="H131" s="81"/>
      <c r="I131" s="81"/>
      <c r="J131" s="85">
        <f t="shared" ca="1" si="11"/>
        <v>-95</v>
      </c>
    </row>
    <row r="132" spans="1:10">
      <c r="A132" s="88">
        <v>45992</v>
      </c>
      <c r="B132" s="86">
        <v>8970.56</v>
      </c>
      <c r="C132" s="88" t="s">
        <v>2807</v>
      </c>
      <c r="D132" s="88" t="s">
        <v>2808</v>
      </c>
      <c r="E132" s="88" t="s">
        <v>2739</v>
      </c>
      <c r="F132" s="88">
        <f>A132</f>
        <v>45992</v>
      </c>
      <c r="G132" s="89"/>
      <c r="H132" s="81"/>
      <c r="I132" s="81"/>
      <c r="J132" s="85">
        <f t="shared" ca="1" si="11"/>
        <v>-64</v>
      </c>
    </row>
    <row r="133" spans="1:10">
      <c r="A133" s="88">
        <v>46023</v>
      </c>
      <c r="B133" s="86">
        <v>8970.56</v>
      </c>
      <c r="C133" s="88" t="s">
        <v>2807</v>
      </c>
      <c r="D133" s="88" t="s">
        <v>2808</v>
      </c>
      <c r="E133" s="88" t="s">
        <v>2739</v>
      </c>
      <c r="F133" s="88">
        <f>A133</f>
        <v>46023</v>
      </c>
      <c r="G133" s="89"/>
      <c r="H133" s="81"/>
      <c r="I133" s="81"/>
      <c r="J133" s="85">
        <f t="shared" ca="1" si="11"/>
        <v>-33</v>
      </c>
    </row>
    <row r="134" spans="1:10">
      <c r="A134" s="88">
        <v>46054</v>
      </c>
      <c r="B134" s="86">
        <v>8970.56</v>
      </c>
      <c r="C134" s="88" t="s">
        <v>2807</v>
      </c>
      <c r="D134" s="88" t="s">
        <v>2808</v>
      </c>
      <c r="E134" s="88" t="s">
        <v>2739</v>
      </c>
      <c r="F134" s="88">
        <f>A134</f>
        <v>46054</v>
      </c>
      <c r="G134" s="89"/>
      <c r="H134" s="81"/>
      <c r="I134" s="81"/>
      <c r="J134" s="85">
        <f t="shared" ca="1" si="11"/>
        <v>-5</v>
      </c>
    </row>
    <row r="135" spans="1:10">
      <c r="A135" s="88">
        <v>46082</v>
      </c>
      <c r="B135" s="86">
        <v>8970.56</v>
      </c>
      <c r="C135" s="88" t="s">
        <v>2807</v>
      </c>
      <c r="D135" s="88" t="s">
        <v>2808</v>
      </c>
      <c r="E135" s="88" t="s">
        <v>2739</v>
      </c>
      <c r="F135" s="88">
        <f>A135</f>
        <v>46082</v>
      </c>
      <c r="G135" s="89"/>
      <c r="H135" s="81"/>
      <c r="I135" s="81"/>
      <c r="J135" s="85">
        <f t="shared" ca="1" si="11"/>
        <v>26</v>
      </c>
    </row>
    <row r="136" spans="1:10">
      <c r="A136" s="88">
        <v>46113</v>
      </c>
      <c r="B136" s="86">
        <v>8970.56</v>
      </c>
      <c r="C136" s="88" t="s">
        <v>2807</v>
      </c>
      <c r="D136" s="88" t="s">
        <v>2808</v>
      </c>
      <c r="E136" s="88" t="s">
        <v>2739</v>
      </c>
      <c r="F136" s="88">
        <f>A136</f>
        <v>46113</v>
      </c>
      <c r="G136" s="89"/>
      <c r="H136" s="81"/>
      <c r="I136" s="81"/>
      <c r="J136" s="85" t="str">
        <f t="shared" ca="1" si="11"/>
        <v>inserire la prossima scadenza</v>
      </c>
    </row>
    <row r="137" spans="1:10">
      <c r="A137" s="57"/>
      <c r="D137" s="87"/>
      <c r="E137" s="87"/>
      <c r="F137" s="88"/>
      <c r="G137" s="89"/>
      <c r="H137" s="81"/>
      <c r="I137" s="81"/>
      <c r="J137" s="85"/>
    </row>
    <row r="138" spans="1:10">
      <c r="A138" s="57"/>
      <c r="D138" s="87"/>
      <c r="E138" s="87"/>
      <c r="F138" s="88"/>
      <c r="G138" s="89"/>
      <c r="H138" s="81"/>
      <c r="I138" s="81"/>
      <c r="J138" s="85"/>
    </row>
    <row r="139" spans="1:10">
      <c r="A139" s="57"/>
      <c r="D139" s="87"/>
      <c r="E139" s="87"/>
      <c r="F139" s="88"/>
      <c r="G139" s="89"/>
      <c r="H139" s="81"/>
      <c r="I139" s="81"/>
      <c r="J139" s="85"/>
    </row>
    <row r="140" spans="1:10">
      <c r="A140" s="57"/>
      <c r="D140" s="87"/>
      <c r="E140" s="87"/>
      <c r="F140" s="88"/>
      <c r="G140" s="89"/>
      <c r="H140" s="81"/>
      <c r="I140" s="81"/>
      <c r="J140" s="85"/>
    </row>
    <row r="141" spans="1:10">
      <c r="A141" s="57"/>
      <c r="D141" s="87"/>
      <c r="E141" s="87"/>
      <c r="F141" s="88"/>
      <c r="G141" s="89"/>
      <c r="H141" s="81"/>
      <c r="I141" s="81"/>
      <c r="J141" s="85"/>
    </row>
    <row r="142" spans="1:10">
      <c r="A142" s="57"/>
      <c r="D142" s="87"/>
      <c r="E142" s="87"/>
      <c r="F142" s="88"/>
      <c r="G142" s="89"/>
      <c r="H142" s="81"/>
      <c r="I142" s="81"/>
      <c r="J142" s="85"/>
    </row>
    <row r="143" spans="1:10">
      <c r="D143" s="87"/>
      <c r="E143" s="86"/>
      <c r="F143" s="88"/>
      <c r="G143" s="93"/>
      <c r="H143" s="81"/>
      <c r="J143" s="85"/>
    </row>
    <row r="144" spans="1:10">
      <c r="A144" s="65"/>
      <c r="B144" s="127"/>
      <c r="G144" s="94"/>
    </row>
    <row r="145" spans="1:7">
      <c r="A145" s="338"/>
      <c r="B145" s="339"/>
      <c r="C145" s="99"/>
      <c r="D145" s="99"/>
      <c r="G145" s="94"/>
    </row>
    <row r="146" spans="1:7">
      <c r="A146" s="338"/>
      <c r="B146" s="339"/>
      <c r="C146" s="99"/>
    </row>
    <row r="147" spans="1:7">
      <c r="A147" s="338"/>
      <c r="B147" s="339"/>
      <c r="C147" s="99"/>
    </row>
    <row r="148" spans="1:7">
      <c r="A148" s="338"/>
      <c r="B148" s="339"/>
      <c r="C148" s="99"/>
    </row>
    <row r="149" spans="1:7">
      <c r="A149" s="338"/>
      <c r="B149" s="339"/>
      <c r="C149" s="99"/>
    </row>
  </sheetData>
  <autoFilter ref="A3:K3" xr:uid="{00000000-0009-0000-0000-000009000000}"/>
  <mergeCells count="8">
    <mergeCell ref="A149:B149"/>
    <mergeCell ref="A146:B146"/>
    <mergeCell ref="A145:B145"/>
    <mergeCell ref="A1:J1"/>
    <mergeCell ref="A147:B147"/>
    <mergeCell ref="A148:B148"/>
    <mergeCell ref="I55:I56"/>
    <mergeCell ref="B55:B56"/>
  </mergeCells>
  <conditionalFormatting sqref="J4:J137">
    <cfRule type="expression" dxfId="40" priority="1">
      <formula>J4&lt;7</formula>
    </cfRule>
  </conditionalFormatting>
  <hyperlinks>
    <hyperlink ref="G6" r:id="rId1" xr:uid="{00000000-0004-0000-0900-000000000000}"/>
    <hyperlink ref="G7" r:id="rId2" xr:uid="{00000000-0004-0000-0900-000001000000}"/>
    <hyperlink ref="G8" r:id="rId3" xr:uid="{00000000-0004-0000-0900-000002000000}"/>
    <hyperlink ref="G31" r:id="rId4" xr:uid="{00000000-0004-0000-0900-000003000000}"/>
    <hyperlink ref="G32" r:id="rId5" xr:uid="{00000000-0004-0000-0900-000004000000}"/>
    <hyperlink ref="G42" r:id="rId6" xr:uid="{00000000-0004-0000-0900-000005000000}"/>
    <hyperlink ref="G43" r:id="rId7" xr:uid="{00000000-0004-0000-0900-000006000000}"/>
    <hyperlink ref="G57" r:id="rId8" xr:uid="{00000000-0004-0000-0900-000007000000}"/>
    <hyperlink ref="G62" r:id="rId9" xr:uid="{00000000-0004-0000-0900-000008000000}"/>
    <hyperlink ref="G63" r:id="rId10" xr:uid="{00000000-0004-0000-0900-000009000000}"/>
    <hyperlink ref="G64" r:id="rId11" xr:uid="{00000000-0004-0000-0900-00000A000000}"/>
    <hyperlink ref="G65" r:id="rId12" xr:uid="{00000000-0004-0000-0900-00000B000000}"/>
    <hyperlink ref="G116" r:id="rId13" xr:uid="{00000000-0004-0000-0900-00000C000000}"/>
    <hyperlink ref="G117" r:id="rId14" xr:uid="{00000000-0004-0000-0900-00000D000000}"/>
    <hyperlink ref="G118" r:id="rId15" xr:uid="{00000000-0004-0000-0900-00000E000000}"/>
    <hyperlink ref="G119" r:id="rId16" xr:uid="{00000000-0004-0000-0900-00000F000000}"/>
  </hyperlinks>
  <pageMargins left="0.7" right="0.7" top="0.75" bottom="0.75" header="0.3" footer="0.3"/>
  <pageSetup paperSize="9" orientation="portrait" r:id="rId1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3"/>
  <dimension ref="A1:L95"/>
  <sheetViews>
    <sheetView zoomScale="85" zoomScaleNormal="85" workbookViewId="0">
      <pane ySplit="1" topLeftCell="A78" activePane="bottomLeft" state="frozen"/>
      <selection pane="bottomLeft" activeCell="G94" sqref="G94"/>
    </sheetView>
  </sheetViews>
  <sheetFormatPr defaultRowHeight="21"/>
  <cols>
    <col min="1" max="1" width="23.7109375" bestFit="1" customWidth="1"/>
    <col min="2" max="2" width="19.42578125" style="148" bestFit="1" customWidth="1"/>
    <col min="3" max="3" width="26" bestFit="1" customWidth="1"/>
    <col min="4" max="4" width="22" bestFit="1" customWidth="1"/>
    <col min="5" max="5" width="14.42578125" bestFit="1" customWidth="1"/>
    <col min="6" max="6" width="19" bestFit="1" customWidth="1"/>
    <col min="7" max="7" width="11" style="42" customWidth="1"/>
    <col min="8" max="8" width="17.5703125" style="148" bestFit="1" customWidth="1"/>
    <col min="9" max="9" width="22" bestFit="1" customWidth="1"/>
    <col min="10" max="10" width="35" style="95" bestFit="1" customWidth="1"/>
  </cols>
  <sheetData>
    <row r="1" spans="1:12" ht="37.5" customHeight="1">
      <c r="A1" s="71" t="s">
        <v>2814</v>
      </c>
      <c r="B1" s="152" t="s">
        <v>2730</v>
      </c>
      <c r="C1" s="71" t="s">
        <v>2731</v>
      </c>
      <c r="D1" s="73" t="s">
        <v>2732</v>
      </c>
      <c r="E1" s="73" t="s">
        <v>2733</v>
      </c>
      <c r="F1" s="73" t="s">
        <v>2734</v>
      </c>
      <c r="G1" s="73" t="s">
        <v>12</v>
      </c>
      <c r="H1" s="146" t="s">
        <v>2735</v>
      </c>
      <c r="I1" s="73" t="s">
        <v>2815</v>
      </c>
      <c r="J1" s="73" t="s">
        <v>2736</v>
      </c>
      <c r="L1" s="73"/>
    </row>
    <row r="2" spans="1:12">
      <c r="A2" s="57" t="s">
        <v>2816</v>
      </c>
      <c r="B2" s="148">
        <v>6553.77</v>
      </c>
      <c r="C2" s="96" t="s">
        <v>2817</v>
      </c>
      <c r="D2" s="87" t="s">
        <v>2575</v>
      </c>
      <c r="E2" s="87" t="s">
        <v>2739</v>
      </c>
      <c r="F2" s="88">
        <v>45572</v>
      </c>
      <c r="G2" s="93" t="s">
        <v>2818</v>
      </c>
      <c r="H2" s="147">
        <f>B2</f>
        <v>6553.77</v>
      </c>
      <c r="I2" s="57">
        <v>45572</v>
      </c>
      <c r="J2" s="85">
        <f t="shared" ref="J2:J33" ca="1" si="0">F2-TODAY()</f>
        <v>-515</v>
      </c>
    </row>
    <row r="3" spans="1:12">
      <c r="A3" t="s">
        <v>2819</v>
      </c>
      <c r="B3" s="148">
        <v>7349.38</v>
      </c>
      <c r="C3" s="96" t="s">
        <v>2817</v>
      </c>
      <c r="D3" s="87" t="s">
        <v>2575</v>
      </c>
      <c r="E3" s="86" t="s">
        <v>2739</v>
      </c>
      <c r="F3" s="88">
        <v>45572</v>
      </c>
      <c r="G3" s="93" t="s">
        <v>2820</v>
      </c>
      <c r="H3" s="147">
        <v>7349.38</v>
      </c>
      <c r="I3" s="57">
        <v>45574</v>
      </c>
      <c r="J3" s="85">
        <f t="shared" ca="1" si="0"/>
        <v>-515</v>
      </c>
    </row>
    <row r="4" spans="1:12">
      <c r="A4" s="57" t="s">
        <v>2821</v>
      </c>
      <c r="B4" s="148">
        <v>4500</v>
      </c>
      <c r="C4" s="96" t="s">
        <v>2817</v>
      </c>
      <c r="D4" s="87" t="s">
        <v>2575</v>
      </c>
      <c r="E4" s="87" t="s">
        <v>2739</v>
      </c>
      <c r="F4" s="88">
        <v>45575</v>
      </c>
      <c r="G4" s="93" t="s">
        <v>2822</v>
      </c>
      <c r="H4" s="147">
        <f>B4</f>
        <v>4500</v>
      </c>
      <c r="I4" s="57">
        <v>45575</v>
      </c>
      <c r="J4" s="85">
        <f t="shared" ca="1" si="0"/>
        <v>-512</v>
      </c>
    </row>
    <row r="5" spans="1:12">
      <c r="A5" s="57" t="s">
        <v>2823</v>
      </c>
      <c r="B5" s="148">
        <v>57617.78</v>
      </c>
      <c r="C5" s="96" t="s">
        <v>2817</v>
      </c>
      <c r="D5" s="87" t="s">
        <v>2545</v>
      </c>
      <c r="E5" s="87" t="s">
        <v>2739</v>
      </c>
      <c r="F5" s="88">
        <v>45575</v>
      </c>
      <c r="G5" s="93" t="s">
        <v>2824</v>
      </c>
      <c r="H5" s="147">
        <v>57617.78</v>
      </c>
      <c r="I5" s="57">
        <v>45575</v>
      </c>
      <c r="J5" s="85">
        <f t="shared" ca="1" si="0"/>
        <v>-512</v>
      </c>
    </row>
    <row r="6" spans="1:12">
      <c r="A6" s="57" t="s">
        <v>2825</v>
      </c>
      <c r="B6" s="148">
        <v>5000</v>
      </c>
      <c r="C6" s="96" t="s">
        <v>2817</v>
      </c>
      <c r="D6" s="87" t="s">
        <v>2575</v>
      </c>
      <c r="E6" s="87" t="s">
        <v>2739</v>
      </c>
      <c r="F6" s="88">
        <v>45575</v>
      </c>
      <c r="G6" s="93" t="s">
        <v>2822</v>
      </c>
      <c r="H6" s="147">
        <f>B6</f>
        <v>5000</v>
      </c>
      <c r="I6" s="57">
        <v>45576</v>
      </c>
      <c r="J6" s="85">
        <f t="shared" ca="1" si="0"/>
        <v>-512</v>
      </c>
    </row>
    <row r="7" spans="1:12">
      <c r="A7" s="57" t="s">
        <v>2826</v>
      </c>
      <c r="B7" s="148">
        <v>2784.2</v>
      </c>
      <c r="C7" s="96" t="s">
        <v>2817</v>
      </c>
      <c r="D7" s="87" t="s">
        <v>2575</v>
      </c>
      <c r="E7" s="87" t="s">
        <v>2739</v>
      </c>
      <c r="F7" s="88">
        <v>45580</v>
      </c>
      <c r="G7" s="93" t="s">
        <v>2827</v>
      </c>
      <c r="H7" s="147">
        <f>B7</f>
        <v>2784.2</v>
      </c>
      <c r="I7" s="57">
        <v>45588</v>
      </c>
      <c r="J7" s="85">
        <f t="shared" ca="1" si="0"/>
        <v>-507</v>
      </c>
    </row>
    <row r="8" spans="1:12">
      <c r="A8" s="57" t="s">
        <v>2828</v>
      </c>
      <c r="B8" s="148">
        <v>5525</v>
      </c>
      <c r="C8" s="96" t="s">
        <v>2829</v>
      </c>
      <c r="D8" s="87" t="s">
        <v>2575</v>
      </c>
      <c r="E8" s="87" t="s">
        <v>2739</v>
      </c>
      <c r="F8" s="88">
        <v>45588</v>
      </c>
      <c r="G8" s="93" t="s">
        <v>2830</v>
      </c>
      <c r="H8" s="147">
        <f>B8</f>
        <v>5525</v>
      </c>
      <c r="I8" s="57">
        <v>45595</v>
      </c>
      <c r="J8" s="85">
        <f t="shared" ca="1" si="0"/>
        <v>-499</v>
      </c>
    </row>
    <row r="9" spans="1:12">
      <c r="A9" s="57" t="s">
        <v>2831</v>
      </c>
      <c r="B9" s="148">
        <v>6220</v>
      </c>
      <c r="C9" s="96" t="s">
        <v>2832</v>
      </c>
      <c r="D9" s="87" t="s">
        <v>2575</v>
      </c>
      <c r="E9" s="87" t="s">
        <v>2739</v>
      </c>
      <c r="F9" s="88">
        <v>45590</v>
      </c>
      <c r="G9" s="93" t="s">
        <v>2833</v>
      </c>
      <c r="H9" s="147">
        <f>B9</f>
        <v>6220</v>
      </c>
      <c r="I9" s="57">
        <v>45595</v>
      </c>
      <c r="J9" s="85">
        <f t="shared" ca="1" si="0"/>
        <v>-497</v>
      </c>
    </row>
    <row r="10" spans="1:12">
      <c r="A10" s="57" t="s">
        <v>2834</v>
      </c>
      <c r="B10" s="148">
        <v>21909.61</v>
      </c>
      <c r="C10" s="96" t="s">
        <v>2817</v>
      </c>
      <c r="D10" s="87" t="s">
        <v>125</v>
      </c>
      <c r="E10" s="87" t="s">
        <v>2739</v>
      </c>
      <c r="F10" s="88">
        <v>45596</v>
      </c>
      <c r="G10" s="93" t="s">
        <v>2835</v>
      </c>
      <c r="H10" s="147">
        <v>21909.61</v>
      </c>
      <c r="I10" s="57">
        <v>45596</v>
      </c>
      <c r="J10" s="85">
        <f t="shared" ca="1" si="0"/>
        <v>-491</v>
      </c>
    </row>
    <row r="11" spans="1:12">
      <c r="A11" s="57" t="s">
        <v>2823</v>
      </c>
      <c r="B11" s="148">
        <v>716.97</v>
      </c>
      <c r="C11" s="96" t="s">
        <v>2817</v>
      </c>
      <c r="D11" s="87" t="s">
        <v>2545</v>
      </c>
      <c r="E11" s="87" t="s">
        <v>2739</v>
      </c>
      <c r="F11" s="88">
        <v>45606</v>
      </c>
      <c r="G11" s="93" t="s">
        <v>2836</v>
      </c>
      <c r="H11" s="147">
        <f>B11</f>
        <v>716.97</v>
      </c>
      <c r="I11" s="57">
        <f t="shared" ref="I11:I42" si="1">F11</f>
        <v>45606</v>
      </c>
      <c r="J11" s="85">
        <f t="shared" ca="1" si="0"/>
        <v>-481</v>
      </c>
    </row>
    <row r="12" spans="1:12">
      <c r="A12" s="57" t="s">
        <v>2823</v>
      </c>
      <c r="B12" s="148">
        <v>8250.43</v>
      </c>
      <c r="C12" s="96" t="s">
        <v>2817</v>
      </c>
      <c r="D12" s="87" t="s">
        <v>2545</v>
      </c>
      <c r="E12" s="87" t="s">
        <v>2739</v>
      </c>
      <c r="F12" s="88">
        <v>45611</v>
      </c>
      <c r="G12" s="93" t="s">
        <v>2837</v>
      </c>
      <c r="H12" s="147">
        <f>B12</f>
        <v>8250.43</v>
      </c>
      <c r="I12" s="57">
        <f t="shared" si="1"/>
        <v>45611</v>
      </c>
      <c r="J12" s="85">
        <f t="shared" ca="1" si="0"/>
        <v>-476</v>
      </c>
    </row>
    <row r="13" spans="1:12">
      <c r="A13" s="57" t="s">
        <v>2823</v>
      </c>
      <c r="B13" s="148">
        <v>221.2</v>
      </c>
      <c r="C13" s="96" t="s">
        <v>2817</v>
      </c>
      <c r="D13" s="87" t="s">
        <v>2575</v>
      </c>
      <c r="E13" s="87" t="s">
        <v>2739</v>
      </c>
      <c r="F13" s="88">
        <v>45611</v>
      </c>
      <c r="G13" s="93" t="s">
        <v>2838</v>
      </c>
      <c r="H13" s="147">
        <f>B13</f>
        <v>221.2</v>
      </c>
      <c r="I13" s="57">
        <f t="shared" si="1"/>
        <v>45611</v>
      </c>
      <c r="J13" s="85">
        <f t="shared" ca="1" si="0"/>
        <v>-476</v>
      </c>
    </row>
    <row r="14" spans="1:12">
      <c r="A14" s="57" t="s">
        <v>2825</v>
      </c>
      <c r="B14" s="148">
        <v>11800</v>
      </c>
      <c r="C14" s="96" t="s">
        <v>2817</v>
      </c>
      <c r="D14" s="87" t="s">
        <v>2575</v>
      </c>
      <c r="E14" s="87" t="s">
        <v>2739</v>
      </c>
      <c r="F14" s="88">
        <v>45621</v>
      </c>
      <c r="G14" s="93" t="s">
        <v>2822</v>
      </c>
      <c r="H14" s="147">
        <f>B14</f>
        <v>11800</v>
      </c>
      <c r="I14" s="57">
        <f t="shared" si="1"/>
        <v>45621</v>
      </c>
      <c r="J14" s="85">
        <f t="shared" ca="1" si="0"/>
        <v>-466</v>
      </c>
    </row>
    <row r="15" spans="1:12">
      <c r="A15" s="57" t="s">
        <v>2834</v>
      </c>
      <c r="B15" s="148">
        <v>16351.9</v>
      </c>
      <c r="C15" s="96" t="s">
        <v>2817</v>
      </c>
      <c r="D15" s="87" t="s">
        <v>2839</v>
      </c>
      <c r="E15" s="87" t="s">
        <v>2739</v>
      </c>
      <c r="F15" s="88">
        <v>45621</v>
      </c>
      <c r="G15" s="93" t="s">
        <v>2840</v>
      </c>
      <c r="H15" s="147">
        <f>B15</f>
        <v>16351.9</v>
      </c>
      <c r="I15" s="57">
        <f t="shared" si="1"/>
        <v>45621</v>
      </c>
      <c r="J15" s="85">
        <f t="shared" ca="1" si="0"/>
        <v>-466</v>
      </c>
    </row>
    <row r="16" spans="1:12">
      <c r="A16" s="57" t="s">
        <v>2841</v>
      </c>
      <c r="B16" s="148">
        <v>32895.5</v>
      </c>
      <c r="C16" s="96" t="s">
        <v>2817</v>
      </c>
      <c r="D16" s="87" t="s">
        <v>2575</v>
      </c>
      <c r="E16" s="87" t="s">
        <v>2739</v>
      </c>
      <c r="F16" s="88">
        <v>45622</v>
      </c>
      <c r="G16" s="93" t="s">
        <v>2842</v>
      </c>
      <c r="H16" s="147">
        <v>32895.5</v>
      </c>
      <c r="I16" s="57">
        <f t="shared" si="1"/>
        <v>45622</v>
      </c>
      <c r="J16" s="85">
        <f t="shared" ca="1" si="0"/>
        <v>-465</v>
      </c>
    </row>
    <row r="17" spans="1:10">
      <c r="A17" s="57" t="s">
        <v>2144</v>
      </c>
      <c r="B17" s="148">
        <v>1900</v>
      </c>
      <c r="C17" s="96" t="s">
        <v>2817</v>
      </c>
      <c r="D17" s="87" t="s">
        <v>2575</v>
      </c>
      <c r="E17" s="87" t="s">
        <v>2739</v>
      </c>
      <c r="F17" s="88">
        <v>45626</v>
      </c>
      <c r="G17" s="93" t="s">
        <v>2843</v>
      </c>
      <c r="H17" s="147">
        <f t="shared" ref="H17:H31" si="2">B17</f>
        <v>1900</v>
      </c>
      <c r="I17" s="57">
        <f t="shared" si="1"/>
        <v>45626</v>
      </c>
      <c r="J17" s="85">
        <f t="shared" ca="1" si="0"/>
        <v>-461</v>
      </c>
    </row>
    <row r="18" spans="1:10">
      <c r="A18" s="57" t="s">
        <v>2844</v>
      </c>
      <c r="B18" s="148">
        <v>7275</v>
      </c>
      <c r="C18" s="96" t="s">
        <v>2817</v>
      </c>
      <c r="D18" s="87" t="s">
        <v>2575</v>
      </c>
      <c r="E18" s="87" t="s">
        <v>2739</v>
      </c>
      <c r="F18" s="88">
        <v>45626</v>
      </c>
      <c r="G18" s="93" t="s">
        <v>2845</v>
      </c>
      <c r="H18" s="147">
        <f t="shared" si="2"/>
        <v>7275</v>
      </c>
      <c r="I18" s="57">
        <f t="shared" si="1"/>
        <v>45626</v>
      </c>
      <c r="J18" s="85">
        <f t="shared" ca="1" si="0"/>
        <v>-461</v>
      </c>
    </row>
    <row r="19" spans="1:10">
      <c r="A19" s="57" t="s">
        <v>2846</v>
      </c>
      <c r="B19" s="148">
        <v>3500</v>
      </c>
      <c r="C19" s="96" t="s">
        <v>2817</v>
      </c>
      <c r="D19" s="87" t="s">
        <v>2575</v>
      </c>
      <c r="E19" s="87" t="s">
        <v>2739</v>
      </c>
      <c r="F19" s="88">
        <v>45626</v>
      </c>
      <c r="G19" s="93" t="s">
        <v>2847</v>
      </c>
      <c r="H19" s="147">
        <f t="shared" si="2"/>
        <v>3500</v>
      </c>
      <c r="I19" s="57">
        <f t="shared" si="1"/>
        <v>45626</v>
      </c>
      <c r="J19" s="85">
        <f t="shared" ca="1" si="0"/>
        <v>-461</v>
      </c>
    </row>
    <row r="20" spans="1:10">
      <c r="A20" s="57" t="s">
        <v>2819</v>
      </c>
      <c r="B20" s="148">
        <v>5996.34</v>
      </c>
      <c r="C20" s="96" t="s">
        <v>2817</v>
      </c>
      <c r="D20" s="87" t="s">
        <v>2575</v>
      </c>
      <c r="E20" s="87" t="s">
        <v>2739</v>
      </c>
      <c r="F20" s="88">
        <v>45635</v>
      </c>
      <c r="G20" s="93" t="s">
        <v>2848</v>
      </c>
      <c r="H20" s="147">
        <f t="shared" si="2"/>
        <v>5996.34</v>
      </c>
      <c r="I20" s="57">
        <f t="shared" si="1"/>
        <v>45635</v>
      </c>
      <c r="J20" s="85">
        <f t="shared" ca="1" si="0"/>
        <v>-452</v>
      </c>
    </row>
    <row r="21" spans="1:10">
      <c r="A21" s="57" t="s">
        <v>2849</v>
      </c>
      <c r="B21" s="148">
        <v>8794.5300000000007</v>
      </c>
      <c r="C21" s="96" t="s">
        <v>2832</v>
      </c>
      <c r="D21" s="87" t="s">
        <v>2575</v>
      </c>
      <c r="E21" s="87" t="s">
        <v>2739</v>
      </c>
      <c r="F21" s="88">
        <v>45636</v>
      </c>
      <c r="G21" s="93" t="s">
        <v>2850</v>
      </c>
      <c r="H21" s="147">
        <f t="shared" si="2"/>
        <v>8794.5300000000007</v>
      </c>
      <c r="I21" s="57">
        <f t="shared" si="1"/>
        <v>45636</v>
      </c>
      <c r="J21" s="85">
        <f t="shared" ca="1" si="0"/>
        <v>-451</v>
      </c>
    </row>
    <row r="22" spans="1:10">
      <c r="A22" s="57" t="s">
        <v>2831</v>
      </c>
      <c r="B22" s="148">
        <v>25140.9</v>
      </c>
      <c r="C22" s="96" t="s">
        <v>2832</v>
      </c>
      <c r="D22" s="87" t="s">
        <v>2575</v>
      </c>
      <c r="E22" s="87" t="s">
        <v>2739</v>
      </c>
      <c r="F22" s="88">
        <v>45646</v>
      </c>
      <c r="G22" s="93" t="s">
        <v>2833</v>
      </c>
      <c r="H22" s="147">
        <f t="shared" si="2"/>
        <v>25140.9</v>
      </c>
      <c r="I22" s="57">
        <f t="shared" si="1"/>
        <v>45646</v>
      </c>
      <c r="J22" s="85">
        <f t="shared" ca="1" si="0"/>
        <v>-441</v>
      </c>
    </row>
    <row r="23" spans="1:10">
      <c r="A23" s="57" t="s">
        <v>2844</v>
      </c>
      <c r="B23" s="148">
        <v>7275</v>
      </c>
      <c r="C23" s="96" t="s">
        <v>2817</v>
      </c>
      <c r="D23" s="87" t="s">
        <v>2575</v>
      </c>
      <c r="E23" s="87" t="s">
        <v>2739</v>
      </c>
      <c r="F23" s="88">
        <v>45646</v>
      </c>
      <c r="G23" s="93" t="s">
        <v>2845</v>
      </c>
      <c r="H23" s="147">
        <f t="shared" si="2"/>
        <v>7275</v>
      </c>
      <c r="I23" s="57">
        <f t="shared" si="1"/>
        <v>45646</v>
      </c>
      <c r="J23" s="85">
        <f t="shared" ca="1" si="0"/>
        <v>-441</v>
      </c>
    </row>
    <row r="24" spans="1:10">
      <c r="A24" s="57" t="s">
        <v>2846</v>
      </c>
      <c r="B24" s="148">
        <v>3500</v>
      </c>
      <c r="C24" s="96" t="s">
        <v>2817</v>
      </c>
      <c r="D24" s="87" t="s">
        <v>2575</v>
      </c>
      <c r="E24" s="87" t="s">
        <v>2739</v>
      </c>
      <c r="F24" s="88">
        <v>45646</v>
      </c>
      <c r="G24" s="93" t="s">
        <v>2847</v>
      </c>
      <c r="H24" s="147">
        <f t="shared" si="2"/>
        <v>3500</v>
      </c>
      <c r="I24" s="57">
        <f t="shared" si="1"/>
        <v>45646</v>
      </c>
      <c r="J24" s="85">
        <f t="shared" ca="1" si="0"/>
        <v>-441</v>
      </c>
    </row>
    <row r="25" spans="1:10">
      <c r="A25" s="57" t="s">
        <v>2823</v>
      </c>
      <c r="B25" s="148">
        <v>12482.08</v>
      </c>
      <c r="C25" s="96" t="s">
        <v>2817</v>
      </c>
      <c r="D25" s="87" t="s">
        <v>2575</v>
      </c>
      <c r="E25" s="87" t="s">
        <v>2739</v>
      </c>
      <c r="F25" s="88">
        <v>45650</v>
      </c>
      <c r="G25" s="93" t="s">
        <v>2851</v>
      </c>
      <c r="H25" s="147">
        <f t="shared" si="2"/>
        <v>12482.08</v>
      </c>
      <c r="I25" s="57">
        <f t="shared" si="1"/>
        <v>45650</v>
      </c>
      <c r="J25" s="85">
        <f t="shared" ca="1" si="0"/>
        <v>-437</v>
      </c>
    </row>
    <row r="26" spans="1:10">
      <c r="A26" s="57" t="s">
        <v>2144</v>
      </c>
      <c r="B26" s="148">
        <v>1900</v>
      </c>
      <c r="C26" s="96" t="s">
        <v>2817</v>
      </c>
      <c r="D26" s="87" t="s">
        <v>2575</v>
      </c>
      <c r="E26" s="87" t="s">
        <v>2739</v>
      </c>
      <c r="F26" s="88">
        <v>45657</v>
      </c>
      <c r="G26" s="93" t="s">
        <v>2843</v>
      </c>
      <c r="H26" s="147">
        <f t="shared" si="2"/>
        <v>1900</v>
      </c>
      <c r="I26" s="57">
        <f t="shared" si="1"/>
        <v>45657</v>
      </c>
      <c r="J26" s="85">
        <f t="shared" ca="1" si="0"/>
        <v>-430</v>
      </c>
    </row>
    <row r="27" spans="1:10">
      <c r="A27" s="57" t="s">
        <v>2852</v>
      </c>
      <c r="B27" s="148">
        <v>3750</v>
      </c>
      <c r="C27" s="96" t="s">
        <v>2817</v>
      </c>
      <c r="D27" s="87" t="s">
        <v>2575</v>
      </c>
      <c r="E27" s="87" t="s">
        <v>2739</v>
      </c>
      <c r="F27" s="88">
        <v>45657</v>
      </c>
      <c r="G27" s="93" t="s">
        <v>2853</v>
      </c>
      <c r="H27" s="147">
        <f t="shared" si="2"/>
        <v>3750</v>
      </c>
      <c r="I27" s="57">
        <f t="shared" si="1"/>
        <v>45657</v>
      </c>
      <c r="J27" s="85">
        <f t="shared" ca="1" si="0"/>
        <v>-430</v>
      </c>
    </row>
    <row r="28" spans="1:10">
      <c r="A28" s="57" t="s">
        <v>2849</v>
      </c>
      <c r="B28" s="148">
        <v>8794.5300000000007</v>
      </c>
      <c r="C28" s="96" t="s">
        <v>2829</v>
      </c>
      <c r="D28" s="87" t="s">
        <v>2575</v>
      </c>
      <c r="E28" s="87" t="s">
        <v>2739</v>
      </c>
      <c r="F28" s="88">
        <v>45667</v>
      </c>
      <c r="G28" s="97" t="s">
        <v>2850</v>
      </c>
      <c r="H28" s="147">
        <f t="shared" si="2"/>
        <v>8794.5300000000007</v>
      </c>
      <c r="I28" s="57">
        <f t="shared" si="1"/>
        <v>45667</v>
      </c>
      <c r="J28" s="85">
        <f t="shared" ca="1" si="0"/>
        <v>-420</v>
      </c>
    </row>
    <row r="29" spans="1:10">
      <c r="A29" s="57" t="s">
        <v>2819</v>
      </c>
      <c r="B29" s="148">
        <v>13862.2</v>
      </c>
      <c r="C29" s="96" t="s">
        <v>2854</v>
      </c>
      <c r="D29" s="87" t="s">
        <v>2575</v>
      </c>
      <c r="E29" s="87" t="s">
        <v>2739</v>
      </c>
      <c r="F29" s="88">
        <v>45667</v>
      </c>
      <c r="G29" s="93" t="s">
        <v>2855</v>
      </c>
      <c r="H29" s="147">
        <f t="shared" si="2"/>
        <v>13862.2</v>
      </c>
      <c r="I29" s="57">
        <f t="shared" si="1"/>
        <v>45667</v>
      </c>
      <c r="J29" s="85">
        <f t="shared" ca="1" si="0"/>
        <v>-420</v>
      </c>
    </row>
    <row r="30" spans="1:10">
      <c r="A30" s="57" t="s">
        <v>2816</v>
      </c>
      <c r="B30" s="148">
        <v>19992.650000000001</v>
      </c>
      <c r="C30" s="96" t="s">
        <v>2817</v>
      </c>
      <c r="D30" s="87" t="s">
        <v>2575</v>
      </c>
      <c r="E30" s="87" t="s">
        <v>2739</v>
      </c>
      <c r="F30" s="98">
        <v>45688</v>
      </c>
      <c r="G30" s="93" t="s">
        <v>2818</v>
      </c>
      <c r="H30" s="147">
        <f t="shared" si="2"/>
        <v>19992.650000000001</v>
      </c>
      <c r="I30" s="57">
        <f t="shared" si="1"/>
        <v>45688</v>
      </c>
      <c r="J30" s="85">
        <f t="shared" ca="1" si="0"/>
        <v>-399</v>
      </c>
    </row>
    <row r="31" spans="1:10">
      <c r="A31" s="57" t="s">
        <v>2144</v>
      </c>
      <c r="B31" s="148">
        <v>1800</v>
      </c>
      <c r="C31" s="96" t="s">
        <v>2817</v>
      </c>
      <c r="D31" s="87" t="s">
        <v>2575</v>
      </c>
      <c r="E31" s="87" t="s">
        <v>2739</v>
      </c>
      <c r="F31" s="88">
        <v>45688</v>
      </c>
      <c r="G31" s="93" t="s">
        <v>2843</v>
      </c>
      <c r="H31" s="147">
        <f t="shared" si="2"/>
        <v>1800</v>
      </c>
      <c r="I31" s="57">
        <f t="shared" si="1"/>
        <v>45688</v>
      </c>
      <c r="J31" s="85">
        <f t="shared" ca="1" si="0"/>
        <v>-399</v>
      </c>
    </row>
    <row r="32" spans="1:10">
      <c r="A32" s="57" t="s">
        <v>2823</v>
      </c>
      <c r="B32" s="148">
        <v>7719.19</v>
      </c>
      <c r="C32" s="96" t="s">
        <v>2817</v>
      </c>
      <c r="D32" s="87" t="s">
        <v>2545</v>
      </c>
      <c r="E32" s="87" t="s">
        <v>2739</v>
      </c>
      <c r="F32" s="88">
        <v>45698</v>
      </c>
      <c r="G32" s="93" t="s">
        <v>2856</v>
      </c>
      <c r="H32" s="148">
        <v>7719.19</v>
      </c>
      <c r="I32" s="57">
        <f t="shared" si="1"/>
        <v>45698</v>
      </c>
      <c r="J32" s="85">
        <f t="shared" ca="1" si="0"/>
        <v>-389</v>
      </c>
    </row>
    <row r="33" spans="1:10">
      <c r="A33" s="57" t="s">
        <v>2819</v>
      </c>
      <c r="B33" s="148">
        <v>3506.41</v>
      </c>
      <c r="C33" s="96" t="s">
        <v>2854</v>
      </c>
      <c r="D33" s="87" t="s">
        <v>2575</v>
      </c>
      <c r="E33" s="87" t="s">
        <v>2739</v>
      </c>
      <c r="F33" s="88">
        <v>45702</v>
      </c>
      <c r="G33" s="93" t="s">
        <v>2857</v>
      </c>
      <c r="H33" s="148">
        <v>3506.41</v>
      </c>
      <c r="I33" s="57">
        <f t="shared" si="1"/>
        <v>45702</v>
      </c>
      <c r="J33" s="85">
        <f t="shared" ca="1" si="0"/>
        <v>-385</v>
      </c>
    </row>
    <row r="34" spans="1:10">
      <c r="A34" s="57" t="s">
        <v>2823</v>
      </c>
      <c r="B34" s="148">
        <v>7003.13</v>
      </c>
      <c r="C34" s="96" t="s">
        <v>2817</v>
      </c>
      <c r="D34" s="87" t="s">
        <v>2575</v>
      </c>
      <c r="E34" s="87" t="s">
        <v>2739</v>
      </c>
      <c r="F34" s="88">
        <v>45708</v>
      </c>
      <c r="G34" s="93" t="s">
        <v>2858</v>
      </c>
      <c r="H34" s="148">
        <v>7003.13</v>
      </c>
      <c r="I34" s="57">
        <f t="shared" si="1"/>
        <v>45708</v>
      </c>
      <c r="J34" s="85">
        <f t="shared" ref="J34:J65" ca="1" si="3">F34-TODAY()</f>
        <v>-379</v>
      </c>
    </row>
    <row r="35" spans="1:10">
      <c r="A35" s="57" t="s">
        <v>2823</v>
      </c>
      <c r="B35" s="148">
        <v>9542.2999999999993</v>
      </c>
      <c r="C35" s="96" t="s">
        <v>2817</v>
      </c>
      <c r="D35" s="87" t="s">
        <v>2545</v>
      </c>
      <c r="E35" s="87" t="s">
        <v>2739</v>
      </c>
      <c r="F35" s="88">
        <v>45726</v>
      </c>
      <c r="G35" s="97" t="s">
        <v>2859</v>
      </c>
      <c r="H35" s="148">
        <v>9542.2999999999993</v>
      </c>
      <c r="I35" s="57">
        <f t="shared" si="1"/>
        <v>45726</v>
      </c>
      <c r="J35" s="85">
        <f t="shared" ca="1" si="3"/>
        <v>-361</v>
      </c>
    </row>
    <row r="36" spans="1:10">
      <c r="A36" s="57" t="s">
        <v>2144</v>
      </c>
      <c r="B36" s="148">
        <v>1600</v>
      </c>
      <c r="C36" s="96" t="s">
        <v>2817</v>
      </c>
      <c r="D36" s="87" t="s">
        <v>2575</v>
      </c>
      <c r="E36" s="87" t="s">
        <v>2739</v>
      </c>
      <c r="F36" s="88">
        <v>45726</v>
      </c>
      <c r="G36" s="93" t="s">
        <v>2860</v>
      </c>
      <c r="H36" s="148">
        <v>1600</v>
      </c>
      <c r="I36" s="57">
        <f t="shared" si="1"/>
        <v>45726</v>
      </c>
      <c r="J36" s="85">
        <f t="shared" ca="1" si="3"/>
        <v>-361</v>
      </c>
    </row>
    <row r="37" spans="1:10">
      <c r="A37" s="57" t="s">
        <v>2849</v>
      </c>
      <c r="B37" s="148">
        <v>12801.52</v>
      </c>
      <c r="C37" s="96" t="s">
        <v>2832</v>
      </c>
      <c r="D37" s="87" t="s">
        <v>2575</v>
      </c>
      <c r="E37" s="87" t="s">
        <v>2739</v>
      </c>
      <c r="F37" s="88">
        <v>45733</v>
      </c>
      <c r="G37" s="93" t="s">
        <v>2861</v>
      </c>
      <c r="H37" s="148">
        <v>12801.52</v>
      </c>
      <c r="I37" s="57">
        <f t="shared" si="1"/>
        <v>45733</v>
      </c>
      <c r="J37" s="85">
        <f t="shared" ca="1" si="3"/>
        <v>-354</v>
      </c>
    </row>
    <row r="38" spans="1:10">
      <c r="A38" s="57" t="s">
        <v>2849</v>
      </c>
      <c r="B38" s="148">
        <v>12801.52</v>
      </c>
      <c r="C38" s="96" t="s">
        <v>2817</v>
      </c>
      <c r="D38" s="87" t="s">
        <v>2575</v>
      </c>
      <c r="E38" s="87" t="s">
        <v>2739</v>
      </c>
      <c r="F38" s="88">
        <v>45752</v>
      </c>
      <c r="G38" s="93" t="s">
        <v>2862</v>
      </c>
      <c r="H38" s="148">
        <v>12801.52</v>
      </c>
      <c r="I38" s="57">
        <f t="shared" si="1"/>
        <v>45752</v>
      </c>
      <c r="J38" s="85">
        <f t="shared" ca="1" si="3"/>
        <v>-335</v>
      </c>
    </row>
    <row r="39" spans="1:10">
      <c r="A39" s="57" t="s">
        <v>2823</v>
      </c>
      <c r="B39" s="148">
        <v>8898.2099999999991</v>
      </c>
      <c r="C39" s="96" t="s">
        <v>2817</v>
      </c>
      <c r="D39" s="87" t="s">
        <v>2545</v>
      </c>
      <c r="E39" s="87" t="s">
        <v>2739</v>
      </c>
      <c r="F39" s="88">
        <v>45757</v>
      </c>
      <c r="G39" s="93" t="s">
        <v>2863</v>
      </c>
      <c r="H39" s="147">
        <f t="shared" ref="H39:H72" si="4">B39</f>
        <v>8898.2099999999991</v>
      </c>
      <c r="I39" s="57">
        <f t="shared" si="1"/>
        <v>45757</v>
      </c>
      <c r="J39" s="85">
        <f t="shared" ca="1" si="3"/>
        <v>-330</v>
      </c>
    </row>
    <row r="40" spans="1:10">
      <c r="A40" s="57" t="s">
        <v>2144</v>
      </c>
      <c r="B40" s="148">
        <v>1600</v>
      </c>
      <c r="C40" s="96" t="s">
        <v>2832</v>
      </c>
      <c r="D40" s="87" t="s">
        <v>2575</v>
      </c>
      <c r="E40" s="87" t="s">
        <v>2739</v>
      </c>
      <c r="F40" s="88">
        <v>45757</v>
      </c>
      <c r="G40" s="93" t="s">
        <v>2860</v>
      </c>
      <c r="H40" s="147">
        <f t="shared" si="4"/>
        <v>1600</v>
      </c>
      <c r="I40" s="57">
        <f t="shared" si="1"/>
        <v>45757</v>
      </c>
      <c r="J40" s="85">
        <f t="shared" ca="1" si="3"/>
        <v>-330</v>
      </c>
    </row>
    <row r="41" spans="1:10">
      <c r="A41" s="57" t="s">
        <v>2819</v>
      </c>
      <c r="B41" s="148">
        <v>270.35000000000002</v>
      </c>
      <c r="C41" s="96" t="s">
        <v>111</v>
      </c>
      <c r="D41" s="87" t="s">
        <v>2575</v>
      </c>
      <c r="E41" s="87" t="s">
        <v>2739</v>
      </c>
      <c r="F41" s="88">
        <v>45757</v>
      </c>
      <c r="G41" s="93" t="s">
        <v>2864</v>
      </c>
      <c r="H41" s="147">
        <f t="shared" si="4"/>
        <v>270.35000000000002</v>
      </c>
      <c r="I41" s="57">
        <f t="shared" si="1"/>
        <v>45757</v>
      </c>
      <c r="J41" s="85">
        <f t="shared" ca="1" si="3"/>
        <v>-330</v>
      </c>
    </row>
    <row r="42" spans="1:10">
      <c r="A42" s="57" t="s">
        <v>2144</v>
      </c>
      <c r="B42" s="148">
        <v>1600</v>
      </c>
      <c r="C42" s="96" t="s">
        <v>2832</v>
      </c>
      <c r="D42" s="87" t="s">
        <v>2575</v>
      </c>
      <c r="E42" s="87" t="s">
        <v>2739</v>
      </c>
      <c r="F42" s="88">
        <v>45787</v>
      </c>
      <c r="G42" s="93" t="s">
        <v>2860</v>
      </c>
      <c r="H42" s="147">
        <f t="shared" si="4"/>
        <v>1600</v>
      </c>
      <c r="I42" s="57">
        <f t="shared" si="1"/>
        <v>45787</v>
      </c>
      <c r="J42" s="85">
        <f t="shared" ca="1" si="3"/>
        <v>-300</v>
      </c>
    </row>
    <row r="43" spans="1:10">
      <c r="A43" s="57" t="s">
        <v>2865</v>
      </c>
      <c r="B43" s="148">
        <v>3850</v>
      </c>
      <c r="C43" s="96" t="s">
        <v>75</v>
      </c>
      <c r="D43" s="87" t="s">
        <v>75</v>
      </c>
      <c r="E43" s="87" t="s">
        <v>2739</v>
      </c>
      <c r="F43" s="88">
        <v>45792</v>
      </c>
      <c r="G43" s="93" t="s">
        <v>2866</v>
      </c>
      <c r="H43" s="147">
        <f t="shared" si="4"/>
        <v>3850</v>
      </c>
      <c r="I43" s="57">
        <f t="shared" ref="I43:I74" si="5">F43</f>
        <v>45792</v>
      </c>
      <c r="J43" s="85">
        <f t="shared" ca="1" si="3"/>
        <v>-295</v>
      </c>
    </row>
    <row r="44" spans="1:10">
      <c r="A44" s="57" t="s">
        <v>2823</v>
      </c>
      <c r="B44" s="148">
        <v>3389.34</v>
      </c>
      <c r="C44" s="96" t="s">
        <v>345</v>
      </c>
      <c r="D44" s="87" t="s">
        <v>2575</v>
      </c>
      <c r="E44" s="87" t="s">
        <v>2739</v>
      </c>
      <c r="F44" s="88">
        <v>45818</v>
      </c>
      <c r="G44" s="93" t="s">
        <v>2867</v>
      </c>
      <c r="H44" s="147">
        <f t="shared" si="4"/>
        <v>3389.34</v>
      </c>
      <c r="I44" s="57">
        <f t="shared" si="5"/>
        <v>45818</v>
      </c>
      <c r="J44" s="85">
        <f t="shared" ca="1" si="3"/>
        <v>-269</v>
      </c>
    </row>
    <row r="45" spans="1:10">
      <c r="A45" s="57" t="s">
        <v>2144</v>
      </c>
      <c r="B45" s="148">
        <v>1600</v>
      </c>
      <c r="C45" s="96" t="s">
        <v>2832</v>
      </c>
      <c r="D45" s="87" t="s">
        <v>2575</v>
      </c>
      <c r="E45" s="87" t="s">
        <v>2739</v>
      </c>
      <c r="F45" s="88">
        <v>45818</v>
      </c>
      <c r="G45" s="93" t="s">
        <v>2860</v>
      </c>
      <c r="H45" s="147">
        <f t="shared" si="4"/>
        <v>1600</v>
      </c>
      <c r="I45" s="57">
        <f t="shared" si="5"/>
        <v>45818</v>
      </c>
      <c r="J45" s="85">
        <f t="shared" ca="1" si="3"/>
        <v>-269</v>
      </c>
    </row>
    <row r="46" spans="1:10">
      <c r="A46" s="57" t="s">
        <v>2865</v>
      </c>
      <c r="B46" s="148">
        <v>3850</v>
      </c>
      <c r="C46" s="96" t="s">
        <v>75</v>
      </c>
      <c r="D46" s="87" t="s">
        <v>75</v>
      </c>
      <c r="E46" s="87" t="s">
        <v>2739</v>
      </c>
      <c r="F46" s="88">
        <v>45823</v>
      </c>
      <c r="G46" s="93" t="s">
        <v>2866</v>
      </c>
      <c r="H46" s="147">
        <f t="shared" si="4"/>
        <v>3850</v>
      </c>
      <c r="I46" s="57">
        <f t="shared" si="5"/>
        <v>45823</v>
      </c>
      <c r="J46" s="85">
        <f t="shared" ca="1" si="3"/>
        <v>-264</v>
      </c>
    </row>
    <row r="47" spans="1:10">
      <c r="A47" s="57" t="s">
        <v>2816</v>
      </c>
      <c r="B47" s="148">
        <v>5049.7299999999996</v>
      </c>
      <c r="C47" s="96" t="s">
        <v>111</v>
      </c>
      <c r="D47" s="87" t="s">
        <v>2575</v>
      </c>
      <c r="E47" s="87" t="s">
        <v>2739</v>
      </c>
      <c r="F47" s="88">
        <v>45823</v>
      </c>
      <c r="G47" s="93" t="s">
        <v>2868</v>
      </c>
      <c r="H47" s="147">
        <f t="shared" si="4"/>
        <v>5049.7299999999996</v>
      </c>
      <c r="I47" s="57">
        <f t="shared" si="5"/>
        <v>45823</v>
      </c>
      <c r="J47" s="85">
        <f t="shared" ca="1" si="3"/>
        <v>-264</v>
      </c>
    </row>
    <row r="48" spans="1:10">
      <c r="A48" s="57" t="s">
        <v>2869</v>
      </c>
      <c r="B48" s="148">
        <v>25000</v>
      </c>
      <c r="C48" s="96" t="s">
        <v>2575</v>
      </c>
      <c r="D48" s="87" t="s">
        <v>345</v>
      </c>
      <c r="E48" s="87" t="s">
        <v>2739</v>
      </c>
      <c r="F48" s="88">
        <v>45823</v>
      </c>
      <c r="G48" s="93" t="s">
        <v>2870</v>
      </c>
      <c r="H48" s="147">
        <f t="shared" si="4"/>
        <v>25000</v>
      </c>
      <c r="I48" s="57">
        <f t="shared" si="5"/>
        <v>45823</v>
      </c>
      <c r="J48" s="85">
        <f t="shared" ca="1" si="3"/>
        <v>-264</v>
      </c>
    </row>
    <row r="49" spans="1:10">
      <c r="A49" s="57" t="s">
        <v>2871</v>
      </c>
      <c r="B49" s="148">
        <v>25000</v>
      </c>
      <c r="C49" s="96" t="s">
        <v>75</v>
      </c>
      <c r="D49" s="87" t="s">
        <v>75</v>
      </c>
      <c r="E49" s="87" t="s">
        <v>2739</v>
      </c>
      <c r="F49" s="88">
        <v>45828</v>
      </c>
      <c r="G49" s="93" t="s">
        <v>2872</v>
      </c>
      <c r="H49" s="147">
        <f t="shared" si="4"/>
        <v>25000</v>
      </c>
      <c r="I49" s="57">
        <f t="shared" si="5"/>
        <v>45828</v>
      </c>
      <c r="J49" s="85">
        <f t="shared" ca="1" si="3"/>
        <v>-259</v>
      </c>
    </row>
    <row r="50" spans="1:10">
      <c r="A50" s="57" t="s">
        <v>2823</v>
      </c>
      <c r="B50" s="148">
        <v>37690.51</v>
      </c>
      <c r="C50" s="96" t="s">
        <v>345</v>
      </c>
      <c r="D50" s="87" t="s">
        <v>2545</v>
      </c>
      <c r="E50" s="87" t="s">
        <v>2873</v>
      </c>
      <c r="F50" s="88">
        <v>45848</v>
      </c>
      <c r="G50" s="93" t="s">
        <v>2874</v>
      </c>
      <c r="H50" s="147">
        <f t="shared" si="4"/>
        <v>37690.51</v>
      </c>
      <c r="I50" s="57">
        <f t="shared" si="5"/>
        <v>45848</v>
      </c>
      <c r="J50" s="85">
        <f t="shared" ca="1" si="3"/>
        <v>-239</v>
      </c>
    </row>
    <row r="51" spans="1:10">
      <c r="A51" s="57" t="s">
        <v>2865</v>
      </c>
      <c r="B51" s="148">
        <v>3850</v>
      </c>
      <c r="C51" s="96" t="s">
        <v>75</v>
      </c>
      <c r="D51" s="87" t="s">
        <v>75</v>
      </c>
      <c r="E51" s="87" t="s">
        <v>2739</v>
      </c>
      <c r="F51" s="88">
        <v>45853</v>
      </c>
      <c r="G51" s="93" t="s">
        <v>2866</v>
      </c>
      <c r="H51" s="147">
        <f t="shared" si="4"/>
        <v>3850</v>
      </c>
      <c r="I51" s="57">
        <f t="shared" si="5"/>
        <v>45853</v>
      </c>
      <c r="J51" s="85">
        <f t="shared" ca="1" si="3"/>
        <v>-234</v>
      </c>
    </row>
    <row r="52" spans="1:10">
      <c r="A52" s="57" t="s">
        <v>2869</v>
      </c>
      <c r="B52" s="148">
        <v>25000</v>
      </c>
      <c r="C52" s="96" t="s">
        <v>2575</v>
      </c>
      <c r="D52" s="87" t="s">
        <v>345</v>
      </c>
      <c r="E52" s="87" t="s">
        <v>2739</v>
      </c>
      <c r="F52" s="88">
        <v>45853</v>
      </c>
      <c r="G52" s="93" t="s">
        <v>2870</v>
      </c>
      <c r="H52" s="147">
        <f t="shared" si="4"/>
        <v>25000</v>
      </c>
      <c r="I52" s="57">
        <f t="shared" si="5"/>
        <v>45853</v>
      </c>
      <c r="J52" s="85">
        <f t="shared" ca="1" si="3"/>
        <v>-234</v>
      </c>
    </row>
    <row r="53" spans="1:10">
      <c r="A53" s="57" t="s">
        <v>2816</v>
      </c>
      <c r="B53" s="148">
        <v>3655.96</v>
      </c>
      <c r="C53" s="96" t="s">
        <v>2575</v>
      </c>
      <c r="D53" s="87" t="s">
        <v>345</v>
      </c>
      <c r="E53" s="87" t="s">
        <v>2739</v>
      </c>
      <c r="F53" s="88">
        <v>45853</v>
      </c>
      <c r="G53" s="93" t="s">
        <v>2875</v>
      </c>
      <c r="H53" s="147">
        <f t="shared" si="4"/>
        <v>3655.96</v>
      </c>
      <c r="I53" s="57">
        <f t="shared" si="5"/>
        <v>45853</v>
      </c>
      <c r="J53" s="85">
        <f t="shared" ca="1" si="3"/>
        <v>-234</v>
      </c>
    </row>
    <row r="54" spans="1:10">
      <c r="A54" s="57" t="s">
        <v>2871</v>
      </c>
      <c r="B54" s="148">
        <v>25000</v>
      </c>
      <c r="C54" s="96" t="s">
        <v>75</v>
      </c>
      <c r="D54" s="87" t="s">
        <v>75</v>
      </c>
      <c r="E54" s="87" t="s">
        <v>2739</v>
      </c>
      <c r="F54" s="88">
        <v>45858</v>
      </c>
      <c r="G54" s="93" t="s">
        <v>2872</v>
      </c>
      <c r="H54" s="147">
        <f t="shared" si="4"/>
        <v>25000</v>
      </c>
      <c r="I54" s="57">
        <f t="shared" si="5"/>
        <v>45858</v>
      </c>
      <c r="J54" s="85">
        <f t="shared" ca="1" si="3"/>
        <v>-229</v>
      </c>
    </row>
    <row r="55" spans="1:10">
      <c r="A55" s="57" t="s">
        <v>2631</v>
      </c>
      <c r="B55" s="148">
        <v>2192.41</v>
      </c>
      <c r="C55" s="96" t="s">
        <v>75</v>
      </c>
      <c r="D55" s="87" t="s">
        <v>75</v>
      </c>
      <c r="E55" s="87" t="s">
        <v>2739</v>
      </c>
      <c r="F55" s="88">
        <v>45868</v>
      </c>
      <c r="G55" s="93"/>
      <c r="H55" s="147">
        <f t="shared" si="4"/>
        <v>2192.41</v>
      </c>
      <c r="I55" s="57">
        <f t="shared" si="5"/>
        <v>45868</v>
      </c>
      <c r="J55" s="85">
        <f t="shared" ca="1" si="3"/>
        <v>-219</v>
      </c>
    </row>
    <row r="56" spans="1:10">
      <c r="A56" s="57" t="s">
        <v>2588</v>
      </c>
      <c r="B56" s="148">
        <v>1236.81</v>
      </c>
      <c r="C56" s="96" t="s">
        <v>75</v>
      </c>
      <c r="D56" s="87" t="s">
        <v>75</v>
      </c>
      <c r="E56" s="87" t="s">
        <v>2739</v>
      </c>
      <c r="F56" s="88">
        <v>45868</v>
      </c>
      <c r="G56" s="93"/>
      <c r="H56" s="147">
        <f t="shared" si="4"/>
        <v>1236.81</v>
      </c>
      <c r="I56" s="57">
        <f t="shared" si="5"/>
        <v>45868</v>
      </c>
      <c r="J56" s="85">
        <f t="shared" ca="1" si="3"/>
        <v>-219</v>
      </c>
    </row>
    <row r="57" spans="1:10">
      <c r="A57" s="57" t="s">
        <v>2849</v>
      </c>
      <c r="B57" s="148">
        <v>3911.34</v>
      </c>
      <c r="C57" s="96" t="s">
        <v>345</v>
      </c>
      <c r="D57" s="87" t="s">
        <v>2575</v>
      </c>
      <c r="E57" s="87" t="s">
        <v>2873</v>
      </c>
      <c r="F57" s="88">
        <v>45869</v>
      </c>
      <c r="G57" s="93" t="s">
        <v>2876</v>
      </c>
      <c r="H57" s="147">
        <f t="shared" si="4"/>
        <v>3911.34</v>
      </c>
      <c r="I57" s="57">
        <f t="shared" si="5"/>
        <v>45869</v>
      </c>
      <c r="J57" s="95">
        <f t="shared" ca="1" si="3"/>
        <v>-218</v>
      </c>
    </row>
    <row r="58" spans="1:10">
      <c r="A58" s="57" t="s">
        <v>2877</v>
      </c>
      <c r="B58" s="148">
        <v>15883.59</v>
      </c>
      <c r="C58" s="96" t="s">
        <v>345</v>
      </c>
      <c r="D58" s="87" t="s">
        <v>2545</v>
      </c>
      <c r="E58" s="87" t="s">
        <v>2739</v>
      </c>
      <c r="F58" s="88">
        <v>45879</v>
      </c>
      <c r="G58" s="93" t="s">
        <v>2878</v>
      </c>
      <c r="H58" s="147">
        <f t="shared" si="4"/>
        <v>15883.59</v>
      </c>
      <c r="I58" s="57">
        <f t="shared" si="5"/>
        <v>45879</v>
      </c>
      <c r="J58" s="85">
        <f t="shared" ca="1" si="3"/>
        <v>-208</v>
      </c>
    </row>
    <row r="59" spans="1:10">
      <c r="A59" s="57" t="s">
        <v>2879</v>
      </c>
      <c r="B59" s="148">
        <v>7909.94</v>
      </c>
      <c r="C59" s="96" t="s">
        <v>345</v>
      </c>
      <c r="D59" s="87" t="s">
        <v>2545</v>
      </c>
      <c r="E59" s="87" t="s">
        <v>2873</v>
      </c>
      <c r="F59" s="88">
        <v>45879</v>
      </c>
      <c r="G59" s="93" t="s">
        <v>2880</v>
      </c>
      <c r="H59" s="147">
        <f t="shared" si="4"/>
        <v>7909.94</v>
      </c>
      <c r="I59" s="57">
        <f t="shared" si="5"/>
        <v>45879</v>
      </c>
      <c r="J59" s="85">
        <f t="shared" ca="1" si="3"/>
        <v>-208</v>
      </c>
    </row>
    <row r="60" spans="1:10">
      <c r="A60" s="57" t="s">
        <v>2869</v>
      </c>
      <c r="B60" s="148">
        <v>25000</v>
      </c>
      <c r="C60" s="96" t="s">
        <v>2575</v>
      </c>
      <c r="D60" s="87" t="s">
        <v>345</v>
      </c>
      <c r="E60" s="87" t="s">
        <v>2739</v>
      </c>
      <c r="F60" s="88">
        <v>45884</v>
      </c>
      <c r="G60" s="93" t="s">
        <v>2870</v>
      </c>
      <c r="H60" s="147">
        <f t="shared" si="4"/>
        <v>25000</v>
      </c>
      <c r="I60" s="57">
        <f t="shared" si="5"/>
        <v>45884</v>
      </c>
      <c r="J60" s="85">
        <f t="shared" ca="1" si="3"/>
        <v>-203</v>
      </c>
    </row>
    <row r="61" spans="1:10">
      <c r="A61" s="57" t="s">
        <v>2588</v>
      </c>
      <c r="B61" s="148">
        <v>1236.82</v>
      </c>
      <c r="C61" s="96" t="s">
        <v>75</v>
      </c>
      <c r="D61" s="87" t="s">
        <v>75</v>
      </c>
      <c r="E61" s="87" t="s">
        <v>2739</v>
      </c>
      <c r="F61" s="88">
        <v>45884</v>
      </c>
      <c r="G61" s="93" t="s">
        <v>2881</v>
      </c>
      <c r="H61" s="147">
        <f t="shared" si="4"/>
        <v>1236.82</v>
      </c>
      <c r="I61" s="57">
        <f t="shared" si="5"/>
        <v>45884</v>
      </c>
      <c r="J61" s="85">
        <f t="shared" ca="1" si="3"/>
        <v>-203</v>
      </c>
    </row>
    <row r="62" spans="1:10">
      <c r="A62" s="57" t="s">
        <v>2631</v>
      </c>
      <c r="B62" s="148">
        <v>2192.41</v>
      </c>
      <c r="C62" s="96" t="s">
        <v>75</v>
      </c>
      <c r="D62" s="87" t="s">
        <v>75</v>
      </c>
      <c r="E62" s="87" t="s">
        <v>2739</v>
      </c>
      <c r="F62" s="88">
        <v>45899</v>
      </c>
      <c r="G62" s="93"/>
      <c r="H62" s="147">
        <f t="shared" si="4"/>
        <v>2192.41</v>
      </c>
      <c r="I62" s="57">
        <f t="shared" si="5"/>
        <v>45899</v>
      </c>
      <c r="J62" s="85">
        <f t="shared" ca="1" si="3"/>
        <v>-188</v>
      </c>
    </row>
    <row r="63" spans="1:10">
      <c r="A63" s="57" t="s">
        <v>2823</v>
      </c>
      <c r="B63" s="148">
        <v>10028.719999999999</v>
      </c>
      <c r="C63" s="96" t="s">
        <v>345</v>
      </c>
      <c r="D63" s="87" t="s">
        <v>2545</v>
      </c>
      <c r="E63" s="87" t="s">
        <v>2739</v>
      </c>
      <c r="F63" s="88">
        <v>45910</v>
      </c>
      <c r="G63" s="93" t="s">
        <v>2882</v>
      </c>
      <c r="H63" s="147">
        <f t="shared" si="4"/>
        <v>10028.719999999999</v>
      </c>
      <c r="I63" s="57">
        <f t="shared" si="5"/>
        <v>45910</v>
      </c>
      <c r="J63" s="85">
        <f t="shared" ca="1" si="3"/>
        <v>-177</v>
      </c>
    </row>
    <row r="64" spans="1:10">
      <c r="A64" s="57" t="s">
        <v>2823</v>
      </c>
      <c r="B64" s="148">
        <v>17192.150000000001</v>
      </c>
      <c r="C64" s="96" t="s">
        <v>345</v>
      </c>
      <c r="D64" s="87" t="s">
        <v>2545</v>
      </c>
      <c r="E64" s="87" t="s">
        <v>2873</v>
      </c>
      <c r="F64" s="88">
        <v>45910</v>
      </c>
      <c r="G64" s="93" t="s">
        <v>2883</v>
      </c>
      <c r="H64" s="147">
        <f t="shared" si="4"/>
        <v>17192.150000000001</v>
      </c>
      <c r="I64" s="57">
        <f t="shared" si="5"/>
        <v>45910</v>
      </c>
      <c r="J64" s="85">
        <f t="shared" ca="1" si="3"/>
        <v>-177</v>
      </c>
    </row>
    <row r="65" spans="1:10">
      <c r="A65" s="57" t="s">
        <v>2884</v>
      </c>
      <c r="B65" s="148">
        <v>1058</v>
      </c>
      <c r="C65" s="96" t="s">
        <v>345</v>
      </c>
      <c r="D65" s="87" t="s">
        <v>2575</v>
      </c>
      <c r="E65" s="87" t="s">
        <v>2739</v>
      </c>
      <c r="F65" s="88">
        <v>45910</v>
      </c>
      <c r="G65" s="93" t="s">
        <v>2885</v>
      </c>
      <c r="H65" s="147">
        <f t="shared" si="4"/>
        <v>1058</v>
      </c>
      <c r="I65" s="57">
        <f t="shared" si="5"/>
        <v>45910</v>
      </c>
      <c r="J65" s="85">
        <f t="shared" ca="1" si="3"/>
        <v>-177</v>
      </c>
    </row>
    <row r="66" spans="1:10">
      <c r="A66" s="57" t="s">
        <v>2588</v>
      </c>
      <c r="B66" s="148">
        <v>1236.81</v>
      </c>
      <c r="C66" s="96" t="s">
        <v>75</v>
      </c>
      <c r="D66" s="87" t="s">
        <v>75</v>
      </c>
      <c r="E66" s="87" t="s">
        <v>2739</v>
      </c>
      <c r="F66" s="88">
        <v>45915</v>
      </c>
      <c r="G66" s="93"/>
      <c r="H66" s="147">
        <f t="shared" si="4"/>
        <v>1236.81</v>
      </c>
      <c r="I66" s="57">
        <f t="shared" si="5"/>
        <v>45915</v>
      </c>
      <c r="J66" s="85">
        <f t="shared" ref="J66:J94" ca="1" si="6">F66-TODAY()</f>
        <v>-172</v>
      </c>
    </row>
    <row r="67" spans="1:10">
      <c r="A67" s="57" t="s">
        <v>2869</v>
      </c>
      <c r="B67" s="148">
        <v>25000</v>
      </c>
      <c r="C67" s="96" t="s">
        <v>2575</v>
      </c>
      <c r="D67" s="87" t="s">
        <v>345</v>
      </c>
      <c r="E67" s="87" t="s">
        <v>2739</v>
      </c>
      <c r="F67" s="88">
        <v>45915</v>
      </c>
      <c r="G67" s="93" t="s">
        <v>2870</v>
      </c>
      <c r="H67" s="147">
        <f t="shared" si="4"/>
        <v>25000</v>
      </c>
      <c r="I67" s="57">
        <f t="shared" si="5"/>
        <v>45915</v>
      </c>
      <c r="J67" s="85">
        <f t="shared" ca="1" si="6"/>
        <v>-172</v>
      </c>
    </row>
    <row r="68" spans="1:10">
      <c r="A68" s="57" t="s">
        <v>2588</v>
      </c>
      <c r="B68" s="148">
        <v>1236.82</v>
      </c>
      <c r="C68" s="96" t="s">
        <v>75</v>
      </c>
      <c r="D68" s="87" t="s">
        <v>75</v>
      </c>
      <c r="E68" s="87" t="s">
        <v>2739</v>
      </c>
      <c r="F68" s="88">
        <v>45915</v>
      </c>
      <c r="G68" s="93" t="s">
        <v>2881</v>
      </c>
      <c r="H68" s="147">
        <f t="shared" si="4"/>
        <v>1236.82</v>
      </c>
      <c r="I68" s="57">
        <f t="shared" si="5"/>
        <v>45915</v>
      </c>
      <c r="J68" s="85">
        <f t="shared" ca="1" si="6"/>
        <v>-172</v>
      </c>
    </row>
    <row r="69" spans="1:10">
      <c r="A69" s="57" t="s">
        <v>2871</v>
      </c>
      <c r="B69" s="148">
        <v>25000</v>
      </c>
      <c r="C69" s="96" t="s">
        <v>75</v>
      </c>
      <c r="D69" s="87" t="s">
        <v>75</v>
      </c>
      <c r="E69" s="87" t="s">
        <v>2739</v>
      </c>
      <c r="F69" s="88">
        <v>45920</v>
      </c>
      <c r="G69" s="93" t="s">
        <v>2872</v>
      </c>
      <c r="H69" s="147">
        <f t="shared" si="4"/>
        <v>25000</v>
      </c>
      <c r="I69" s="57">
        <f t="shared" si="5"/>
        <v>45920</v>
      </c>
      <c r="J69" s="85">
        <f t="shared" ca="1" si="6"/>
        <v>-167</v>
      </c>
    </row>
    <row r="70" spans="1:10">
      <c r="A70" s="57" t="s">
        <v>2871</v>
      </c>
      <c r="B70" s="148">
        <v>25000</v>
      </c>
      <c r="C70" s="96" t="s">
        <v>75</v>
      </c>
      <c r="D70" s="87" t="s">
        <v>75</v>
      </c>
      <c r="E70" s="87" t="s">
        <v>2739</v>
      </c>
      <c r="F70" s="88">
        <v>45930</v>
      </c>
      <c r="G70" s="93" t="s">
        <v>2872</v>
      </c>
      <c r="H70" s="147">
        <f t="shared" si="4"/>
        <v>25000</v>
      </c>
      <c r="I70" s="57">
        <f t="shared" si="5"/>
        <v>45930</v>
      </c>
      <c r="J70" s="85">
        <f t="shared" ca="1" si="6"/>
        <v>-157</v>
      </c>
    </row>
    <row r="71" spans="1:10">
      <c r="A71" s="57" t="s">
        <v>2631</v>
      </c>
      <c r="B71" s="148">
        <v>2192.41</v>
      </c>
      <c r="C71" s="96" t="s">
        <v>75</v>
      </c>
      <c r="D71" s="87" t="s">
        <v>75</v>
      </c>
      <c r="E71" s="87" t="s">
        <v>2739</v>
      </c>
      <c r="F71" s="88">
        <v>45930</v>
      </c>
      <c r="G71" s="93"/>
      <c r="H71" s="147">
        <f t="shared" si="4"/>
        <v>2192.41</v>
      </c>
      <c r="I71" s="57">
        <f t="shared" si="5"/>
        <v>45930</v>
      </c>
      <c r="J71" s="85">
        <f t="shared" ca="1" si="6"/>
        <v>-157</v>
      </c>
    </row>
    <row r="72" spans="1:10">
      <c r="A72" s="57" t="s">
        <v>2886</v>
      </c>
      <c r="B72" s="148">
        <v>18700</v>
      </c>
      <c r="C72" s="96" t="s">
        <v>2886</v>
      </c>
      <c r="D72" s="87" t="s">
        <v>2887</v>
      </c>
      <c r="E72" s="87" t="s">
        <v>2739</v>
      </c>
      <c r="F72" s="88">
        <v>45936</v>
      </c>
      <c r="G72" s="93" t="s">
        <v>2888</v>
      </c>
      <c r="H72" s="147">
        <f t="shared" si="4"/>
        <v>18700</v>
      </c>
      <c r="I72" s="57">
        <f t="shared" si="5"/>
        <v>45936</v>
      </c>
      <c r="J72" s="85">
        <f t="shared" ca="1" si="6"/>
        <v>-151</v>
      </c>
    </row>
    <row r="73" spans="1:10">
      <c r="A73" s="57" t="s">
        <v>345</v>
      </c>
      <c r="B73" s="148">
        <v>62400</v>
      </c>
      <c r="C73" s="96" t="s">
        <v>2817</v>
      </c>
      <c r="D73" s="87" t="s">
        <v>2887</v>
      </c>
      <c r="E73" s="87" t="s">
        <v>2739</v>
      </c>
      <c r="F73" s="88">
        <v>45938</v>
      </c>
      <c r="G73" s="93" t="s">
        <v>2889</v>
      </c>
      <c r="H73" s="147">
        <v>-49920</v>
      </c>
      <c r="I73" s="57">
        <f t="shared" si="5"/>
        <v>45938</v>
      </c>
      <c r="J73" s="85">
        <f t="shared" ca="1" si="6"/>
        <v>-149</v>
      </c>
    </row>
    <row r="74" spans="1:10">
      <c r="A74" s="57" t="s">
        <v>2890</v>
      </c>
      <c r="B74" s="148">
        <v>16000</v>
      </c>
      <c r="C74" s="96" t="s">
        <v>345</v>
      </c>
      <c r="D74" s="87" t="s">
        <v>2575</v>
      </c>
      <c r="E74" s="87" t="s">
        <v>2739</v>
      </c>
      <c r="F74" s="88">
        <v>45940</v>
      </c>
      <c r="G74" s="93" t="s">
        <v>2891</v>
      </c>
      <c r="H74" s="147">
        <f t="shared" ref="H74:H80" si="7">B74</f>
        <v>16000</v>
      </c>
      <c r="I74" s="57">
        <f t="shared" si="5"/>
        <v>45940</v>
      </c>
      <c r="J74" s="85">
        <f t="shared" ca="1" si="6"/>
        <v>-147</v>
      </c>
    </row>
    <row r="75" spans="1:10">
      <c r="A75" s="57" t="s">
        <v>2823</v>
      </c>
      <c r="B75" s="148">
        <v>2522.36</v>
      </c>
      <c r="C75" s="96" t="s">
        <v>345</v>
      </c>
      <c r="D75" s="87" t="s">
        <v>2545</v>
      </c>
      <c r="E75" s="87" t="s">
        <v>2739</v>
      </c>
      <c r="F75" s="88">
        <v>45940</v>
      </c>
      <c r="G75" s="93" t="s">
        <v>2892</v>
      </c>
      <c r="H75" s="147">
        <f t="shared" si="7"/>
        <v>2522.36</v>
      </c>
      <c r="I75" s="57">
        <f t="shared" ref="I75:I80" si="8">F75</f>
        <v>45940</v>
      </c>
      <c r="J75" s="85">
        <f t="shared" ca="1" si="6"/>
        <v>-147</v>
      </c>
    </row>
    <row r="76" spans="1:10">
      <c r="A76" s="57" t="s">
        <v>2823</v>
      </c>
      <c r="B76" s="148">
        <v>7131.83</v>
      </c>
      <c r="C76" s="96" t="s">
        <v>345</v>
      </c>
      <c r="D76" s="87" t="s">
        <v>2545</v>
      </c>
      <c r="E76" s="87" t="s">
        <v>2873</v>
      </c>
      <c r="F76" s="88">
        <v>45940</v>
      </c>
      <c r="G76" s="93" t="s">
        <v>2892</v>
      </c>
      <c r="H76" s="147">
        <f t="shared" si="7"/>
        <v>7131.83</v>
      </c>
      <c r="I76" s="57">
        <f t="shared" si="8"/>
        <v>45940</v>
      </c>
      <c r="J76" s="85">
        <f t="shared" ca="1" si="6"/>
        <v>-147</v>
      </c>
    </row>
    <row r="77" spans="1:10">
      <c r="A77" s="57" t="s">
        <v>2144</v>
      </c>
      <c r="B77" s="148">
        <v>2458.96</v>
      </c>
      <c r="C77" s="96" t="s">
        <v>2435</v>
      </c>
      <c r="D77" s="87" t="s">
        <v>75</v>
      </c>
      <c r="E77" s="87" t="s">
        <v>2739</v>
      </c>
      <c r="F77" s="88">
        <v>45945</v>
      </c>
      <c r="G77" s="93" t="s">
        <v>2893</v>
      </c>
      <c r="H77" s="147">
        <f t="shared" si="7"/>
        <v>2458.96</v>
      </c>
      <c r="I77" s="57">
        <f t="shared" si="8"/>
        <v>45945</v>
      </c>
      <c r="J77" s="85">
        <f t="shared" ca="1" si="6"/>
        <v>-142</v>
      </c>
    </row>
    <row r="78" spans="1:10">
      <c r="A78" s="57" t="s">
        <v>2890</v>
      </c>
      <c r="B78" s="148">
        <v>16000</v>
      </c>
      <c r="C78" s="96" t="s">
        <v>345</v>
      </c>
      <c r="D78" s="87" t="s">
        <v>2575</v>
      </c>
      <c r="E78" s="87" t="s">
        <v>2739</v>
      </c>
      <c r="F78" s="88">
        <v>45960</v>
      </c>
      <c r="G78" s="93" t="s">
        <v>2891</v>
      </c>
      <c r="H78" s="147">
        <f t="shared" si="7"/>
        <v>16000</v>
      </c>
      <c r="I78" s="57">
        <f t="shared" si="8"/>
        <v>45960</v>
      </c>
      <c r="J78" s="85">
        <f t="shared" ca="1" si="6"/>
        <v>-127</v>
      </c>
    </row>
    <row r="79" spans="1:10">
      <c r="A79" s="57" t="s">
        <v>2823</v>
      </c>
      <c r="B79" s="148">
        <v>10536.59</v>
      </c>
      <c r="C79" s="96" t="s">
        <v>345</v>
      </c>
      <c r="D79" s="87" t="s">
        <v>2545</v>
      </c>
      <c r="E79" s="87" t="s">
        <v>2739</v>
      </c>
      <c r="F79" s="88">
        <v>45971</v>
      </c>
      <c r="G79" s="93" t="s">
        <v>2894</v>
      </c>
      <c r="H79" s="147">
        <f t="shared" si="7"/>
        <v>10536.59</v>
      </c>
      <c r="I79" s="57">
        <f t="shared" si="8"/>
        <v>45971</v>
      </c>
      <c r="J79" s="85">
        <f t="shared" ca="1" si="6"/>
        <v>-116</v>
      </c>
    </row>
    <row r="80" spans="1:10">
      <c r="A80" s="57" t="s">
        <v>2823</v>
      </c>
      <c r="B80" s="148">
        <v>2178.35</v>
      </c>
      <c r="C80" s="96" t="s">
        <v>345</v>
      </c>
      <c r="D80" s="87" t="s">
        <v>2545</v>
      </c>
      <c r="E80" s="87" t="s">
        <v>2873</v>
      </c>
      <c r="F80" s="88">
        <v>45971</v>
      </c>
      <c r="G80" s="93" t="s">
        <v>2894</v>
      </c>
      <c r="H80" s="147">
        <f t="shared" si="7"/>
        <v>2178.35</v>
      </c>
      <c r="I80" s="57">
        <f t="shared" si="8"/>
        <v>45971</v>
      </c>
      <c r="J80" s="85">
        <f t="shared" ca="1" si="6"/>
        <v>-116</v>
      </c>
    </row>
    <row r="81" spans="1:10">
      <c r="A81" s="57" t="s">
        <v>2890</v>
      </c>
      <c r="B81" s="148">
        <v>16000</v>
      </c>
      <c r="C81" s="96" t="s">
        <v>345</v>
      </c>
      <c r="D81" s="87" t="s">
        <v>2575</v>
      </c>
      <c r="E81" s="87" t="s">
        <v>2739</v>
      </c>
      <c r="F81" s="88">
        <v>45991</v>
      </c>
      <c r="G81" s="93" t="s">
        <v>2891</v>
      </c>
      <c r="H81" s="147"/>
      <c r="I81" s="57"/>
      <c r="J81" s="85">
        <f t="shared" ca="1" si="6"/>
        <v>-96</v>
      </c>
    </row>
    <row r="82" spans="1:10">
      <c r="A82" s="57" t="s">
        <v>2144</v>
      </c>
      <c r="B82" s="148">
        <v>1140</v>
      </c>
      <c r="C82" s="96" t="s">
        <v>345</v>
      </c>
      <c r="D82" s="87" t="s">
        <v>2575</v>
      </c>
      <c r="E82" s="87" t="s">
        <v>2739</v>
      </c>
      <c r="F82" s="88">
        <v>45992</v>
      </c>
      <c r="G82" s="93" t="s">
        <v>2893</v>
      </c>
      <c r="H82" s="147"/>
      <c r="I82" s="57"/>
      <c r="J82" s="85">
        <f t="shared" ca="1" si="6"/>
        <v>-95</v>
      </c>
    </row>
    <row r="83" spans="1:10">
      <c r="A83" s="57" t="s">
        <v>2816</v>
      </c>
      <c r="B83" s="148">
        <v>1258.1600000000001</v>
      </c>
      <c r="C83" s="96" t="s">
        <v>345</v>
      </c>
      <c r="D83" s="87" t="s">
        <v>2575</v>
      </c>
      <c r="E83" s="87" t="s">
        <v>2739</v>
      </c>
      <c r="F83" s="88">
        <v>46001</v>
      </c>
      <c r="G83" s="93" t="s">
        <v>2895</v>
      </c>
      <c r="H83" s="147"/>
      <c r="I83" s="57"/>
      <c r="J83" s="85">
        <f t="shared" ca="1" si="6"/>
        <v>-86</v>
      </c>
    </row>
    <row r="84" spans="1:10">
      <c r="A84" s="57" t="s">
        <v>3356</v>
      </c>
      <c r="B84" s="148">
        <v>668.56</v>
      </c>
      <c r="C84" s="96" t="s">
        <v>345</v>
      </c>
      <c r="D84" s="87" t="s">
        <v>2575</v>
      </c>
      <c r="E84" s="87" t="s">
        <v>2739</v>
      </c>
      <c r="F84" s="88">
        <v>46014</v>
      </c>
      <c r="G84" s="97" t="s">
        <v>3358</v>
      </c>
      <c r="H84" s="147"/>
      <c r="I84" s="57"/>
      <c r="J84" s="85">
        <f t="shared" ca="1" si="6"/>
        <v>-73</v>
      </c>
    </row>
    <row r="85" spans="1:10">
      <c r="A85" s="57" t="s">
        <v>2144</v>
      </c>
      <c r="B85" s="148">
        <v>1140</v>
      </c>
      <c r="C85" s="96" t="s">
        <v>345</v>
      </c>
      <c r="D85" s="87" t="s">
        <v>2575</v>
      </c>
      <c r="E85" s="87" t="s">
        <v>2739</v>
      </c>
      <c r="F85" s="88">
        <v>46021</v>
      </c>
      <c r="G85" s="93" t="s">
        <v>2893</v>
      </c>
      <c r="H85" s="147"/>
      <c r="I85" s="57"/>
      <c r="J85" s="85">
        <f t="shared" ca="1" si="6"/>
        <v>-66</v>
      </c>
    </row>
    <row r="86" spans="1:10">
      <c r="A86" s="57" t="s">
        <v>2819</v>
      </c>
      <c r="B86" s="148">
        <v>5155.1099999999997</v>
      </c>
      <c r="C86" s="96" t="s">
        <v>2435</v>
      </c>
      <c r="D86" s="87" t="s">
        <v>2575</v>
      </c>
      <c r="E86" s="87" t="s">
        <v>2739</v>
      </c>
      <c r="F86" s="88">
        <v>46029</v>
      </c>
      <c r="G86" s="93" t="s">
        <v>2896</v>
      </c>
      <c r="H86" s="147"/>
      <c r="I86" s="57"/>
      <c r="J86" s="85">
        <f t="shared" ca="1" si="6"/>
        <v>-58</v>
      </c>
    </row>
    <row r="87" spans="1:10">
      <c r="A87" s="57" t="s">
        <v>2823</v>
      </c>
      <c r="B87" s="148">
        <v>3068</v>
      </c>
      <c r="C87" s="96" t="s">
        <v>345</v>
      </c>
      <c r="D87" s="87" t="s">
        <v>2545</v>
      </c>
      <c r="E87" s="87" t="s">
        <v>2739</v>
      </c>
      <c r="F87" s="88">
        <v>46032</v>
      </c>
      <c r="G87" s="93" t="s">
        <v>2897</v>
      </c>
      <c r="H87" s="147"/>
      <c r="I87" s="57"/>
      <c r="J87" s="85">
        <f t="shared" ca="1" si="6"/>
        <v>-55</v>
      </c>
    </row>
    <row r="88" spans="1:10">
      <c r="A88" s="57" t="s">
        <v>2823</v>
      </c>
      <c r="B88" s="148">
        <v>1580</v>
      </c>
      <c r="C88" s="96" t="s">
        <v>345</v>
      </c>
      <c r="D88" s="87" t="s">
        <v>2545</v>
      </c>
      <c r="E88" s="87" t="s">
        <v>2873</v>
      </c>
      <c r="F88" s="88">
        <v>46032</v>
      </c>
      <c r="G88" s="93" t="s">
        <v>2897</v>
      </c>
      <c r="H88" s="147"/>
      <c r="J88" s="85">
        <f t="shared" ca="1" si="6"/>
        <v>-55</v>
      </c>
    </row>
    <row r="89" spans="1:10">
      <c r="A89" s="57" t="s">
        <v>2144</v>
      </c>
      <c r="B89" s="148">
        <v>1140</v>
      </c>
      <c r="C89" s="96" t="s">
        <v>2832</v>
      </c>
      <c r="D89" s="87" t="s">
        <v>2575</v>
      </c>
      <c r="E89" s="87" t="s">
        <v>2739</v>
      </c>
      <c r="F89" s="88">
        <v>46052</v>
      </c>
      <c r="G89" s="93" t="s">
        <v>2893</v>
      </c>
      <c r="H89" s="147"/>
      <c r="I89" s="57"/>
      <c r="J89" s="85">
        <f t="shared" ca="1" si="6"/>
        <v>-35</v>
      </c>
    </row>
    <row r="90" spans="1:10">
      <c r="A90" s="57" t="s">
        <v>2144</v>
      </c>
      <c r="B90" s="148">
        <v>1140</v>
      </c>
      <c r="C90" s="96" t="s">
        <v>2832</v>
      </c>
      <c r="D90" s="87" t="s">
        <v>2575</v>
      </c>
      <c r="E90" s="87" t="s">
        <v>2739</v>
      </c>
      <c r="F90" s="88">
        <v>46081</v>
      </c>
      <c r="G90" s="93" t="s">
        <v>2893</v>
      </c>
      <c r="H90" s="147"/>
      <c r="I90" s="57"/>
      <c r="J90" s="85">
        <f t="shared" ca="1" si="6"/>
        <v>-6</v>
      </c>
    </row>
    <row r="91" spans="1:10">
      <c r="A91" s="57" t="s">
        <v>2823</v>
      </c>
      <c r="B91" s="148">
        <v>500.48</v>
      </c>
      <c r="C91" s="96" t="s">
        <v>345</v>
      </c>
      <c r="D91" s="87" t="s">
        <v>2545</v>
      </c>
      <c r="E91" s="87" t="s">
        <v>2873</v>
      </c>
      <c r="F91" s="88">
        <v>46091</v>
      </c>
      <c r="G91" s="97" t="s">
        <v>4084</v>
      </c>
      <c r="H91" s="147"/>
      <c r="J91" s="85">
        <f t="shared" ca="1" si="6"/>
        <v>4</v>
      </c>
    </row>
    <row r="92" spans="1:10" hidden="1">
      <c r="A92" s="57" t="s">
        <v>2898</v>
      </c>
      <c r="B92" s="148">
        <v>10000</v>
      </c>
      <c r="C92" s="96" t="s">
        <v>2832</v>
      </c>
      <c r="D92" s="87" t="s">
        <v>2575</v>
      </c>
      <c r="E92" s="87" t="s">
        <v>2739</v>
      </c>
      <c r="F92" s="88" t="s">
        <v>2899</v>
      </c>
      <c r="G92" s="93" t="s">
        <v>2900</v>
      </c>
      <c r="H92" s="147"/>
      <c r="I92" s="57"/>
      <c r="J92" s="85" t="e">
        <f t="shared" ca="1" si="6"/>
        <v>#VALUE!</v>
      </c>
    </row>
    <row r="93" spans="1:10">
      <c r="A93" s="57" t="s">
        <v>2823</v>
      </c>
      <c r="B93" s="148">
        <v>2869.42</v>
      </c>
      <c r="C93" s="96" t="s">
        <v>345</v>
      </c>
      <c r="D93" s="87" t="s">
        <v>2545</v>
      </c>
      <c r="E93" s="87" t="s">
        <v>2739</v>
      </c>
      <c r="F93" s="88">
        <v>46091</v>
      </c>
      <c r="G93" s="97" t="s">
        <v>4084</v>
      </c>
      <c r="H93" s="147"/>
      <c r="I93" s="57"/>
      <c r="J93" s="85">
        <f t="shared" ca="1" si="6"/>
        <v>4</v>
      </c>
    </row>
    <row r="94" spans="1:10">
      <c r="A94" s="57" t="s">
        <v>2144</v>
      </c>
      <c r="B94" s="148">
        <v>1140</v>
      </c>
      <c r="C94" s="96" t="s">
        <v>2832</v>
      </c>
      <c r="D94" s="87" t="s">
        <v>2575</v>
      </c>
      <c r="E94" s="87" t="s">
        <v>2739</v>
      </c>
      <c r="F94" s="88">
        <v>46111</v>
      </c>
      <c r="G94" s="93" t="s">
        <v>2893</v>
      </c>
      <c r="H94" s="147"/>
      <c r="I94" s="57"/>
      <c r="J94" s="85">
        <f t="shared" ca="1" si="6"/>
        <v>24</v>
      </c>
    </row>
    <row r="95" spans="1:10">
      <c r="A95" s="87" t="s">
        <v>4098</v>
      </c>
      <c r="B95" s="148">
        <v>2000</v>
      </c>
      <c r="C95" s="99" t="s">
        <v>4099</v>
      </c>
      <c r="D95" s="87" t="s">
        <v>2575</v>
      </c>
      <c r="E95" s="87" t="s">
        <v>4100</v>
      </c>
      <c r="F95" s="87" t="s">
        <v>4101</v>
      </c>
      <c r="G95" s="97" t="s">
        <v>4102</v>
      </c>
      <c r="J95" s="85"/>
    </row>
  </sheetData>
  <autoFilter ref="A1:J95" xr:uid="{00000000-0009-0000-0000-00000A000000}">
    <sortState xmlns:xlrd2="http://schemas.microsoft.com/office/spreadsheetml/2017/richdata2" ref="A2:J95">
      <sortCondition ref="J1:J95"/>
    </sortState>
  </autoFilter>
  <conditionalFormatting sqref="J2:J95">
    <cfRule type="expression" dxfId="39" priority="2">
      <formula>J2&lt;0</formula>
    </cfRule>
    <cfRule type="expression" dxfId="38" priority="3">
      <formula>J2&lt;=7</formula>
    </cfRule>
  </conditionalFormatting>
  <hyperlinks>
    <hyperlink ref="G2" r:id="rId1" xr:uid="{00000000-0004-0000-0A00-000000000000}"/>
    <hyperlink ref="G3" r:id="rId2" xr:uid="{00000000-0004-0000-0A00-000001000000}"/>
    <hyperlink ref="G4" r:id="rId3" xr:uid="{00000000-0004-0000-0A00-000002000000}"/>
    <hyperlink ref="G5" r:id="rId4" xr:uid="{00000000-0004-0000-0A00-000003000000}"/>
    <hyperlink ref="G6" r:id="rId5" xr:uid="{00000000-0004-0000-0A00-000004000000}"/>
    <hyperlink ref="G7" r:id="rId6" xr:uid="{00000000-0004-0000-0A00-000005000000}"/>
    <hyperlink ref="G8" r:id="rId7" xr:uid="{00000000-0004-0000-0A00-000006000000}"/>
    <hyperlink ref="G9" r:id="rId8" xr:uid="{00000000-0004-0000-0A00-000007000000}"/>
    <hyperlink ref="G10" r:id="rId9" xr:uid="{00000000-0004-0000-0A00-000008000000}"/>
    <hyperlink ref="G11" r:id="rId10" xr:uid="{00000000-0004-0000-0A00-000009000000}"/>
    <hyperlink ref="G12" r:id="rId11" xr:uid="{00000000-0004-0000-0A00-00000A000000}"/>
    <hyperlink ref="G13" r:id="rId12" xr:uid="{00000000-0004-0000-0A00-00000B000000}"/>
    <hyperlink ref="G14" r:id="rId13" xr:uid="{00000000-0004-0000-0A00-00000C000000}"/>
    <hyperlink ref="G15" r:id="rId14" xr:uid="{00000000-0004-0000-0A00-00000D000000}"/>
    <hyperlink ref="G16" r:id="rId15" xr:uid="{00000000-0004-0000-0A00-00000E000000}"/>
    <hyperlink ref="G17" r:id="rId16" xr:uid="{00000000-0004-0000-0A00-00000F000000}"/>
    <hyperlink ref="G18" r:id="rId17" xr:uid="{00000000-0004-0000-0A00-000010000000}"/>
    <hyperlink ref="G19" r:id="rId18" xr:uid="{00000000-0004-0000-0A00-000011000000}"/>
    <hyperlink ref="G20" r:id="rId19" xr:uid="{00000000-0004-0000-0A00-000012000000}"/>
    <hyperlink ref="G21" r:id="rId20" xr:uid="{00000000-0004-0000-0A00-000013000000}"/>
    <hyperlink ref="G22" r:id="rId21" xr:uid="{00000000-0004-0000-0A00-000014000000}"/>
    <hyperlink ref="G23" r:id="rId22" xr:uid="{00000000-0004-0000-0A00-000015000000}"/>
    <hyperlink ref="G24" r:id="rId23" xr:uid="{00000000-0004-0000-0A00-000016000000}"/>
    <hyperlink ref="G25" r:id="rId24" xr:uid="{00000000-0004-0000-0A00-000017000000}"/>
    <hyperlink ref="G26" r:id="rId25" xr:uid="{00000000-0004-0000-0A00-000018000000}"/>
    <hyperlink ref="G27" r:id="rId26" xr:uid="{00000000-0004-0000-0A00-000019000000}"/>
    <hyperlink ref="G28" r:id="rId27" xr:uid="{00000000-0004-0000-0A00-00001A000000}"/>
    <hyperlink ref="G29" r:id="rId28" xr:uid="{00000000-0004-0000-0A00-00001B000000}"/>
    <hyperlink ref="G30" r:id="rId29" xr:uid="{00000000-0004-0000-0A00-00001C000000}"/>
    <hyperlink ref="G31" r:id="rId30" xr:uid="{00000000-0004-0000-0A00-00001D000000}"/>
    <hyperlink ref="G32" r:id="rId31" xr:uid="{00000000-0004-0000-0A00-00001E000000}"/>
    <hyperlink ref="G33" r:id="rId32" xr:uid="{00000000-0004-0000-0A00-00001F000000}"/>
    <hyperlink ref="G34" r:id="rId33" xr:uid="{00000000-0004-0000-0A00-000020000000}"/>
    <hyperlink ref="G35" r:id="rId34" xr:uid="{00000000-0004-0000-0A00-000021000000}"/>
    <hyperlink ref="G36" r:id="rId35" xr:uid="{00000000-0004-0000-0A00-000022000000}"/>
    <hyperlink ref="G37" r:id="rId36" xr:uid="{00000000-0004-0000-0A00-000023000000}"/>
    <hyperlink ref="G38" r:id="rId37" xr:uid="{00000000-0004-0000-0A00-000024000000}"/>
    <hyperlink ref="G39" r:id="rId38" xr:uid="{00000000-0004-0000-0A00-000025000000}"/>
    <hyperlink ref="G40" r:id="rId39" xr:uid="{00000000-0004-0000-0A00-000026000000}"/>
    <hyperlink ref="G41" r:id="rId40" xr:uid="{00000000-0004-0000-0A00-000027000000}"/>
    <hyperlink ref="G42" r:id="rId41" xr:uid="{00000000-0004-0000-0A00-000028000000}"/>
    <hyperlink ref="G43" r:id="rId42" xr:uid="{00000000-0004-0000-0A00-000029000000}"/>
    <hyperlink ref="G44" r:id="rId43" xr:uid="{00000000-0004-0000-0A00-00002A000000}"/>
    <hyperlink ref="G45" r:id="rId44" xr:uid="{00000000-0004-0000-0A00-00002B000000}"/>
    <hyperlink ref="G46" r:id="rId45" xr:uid="{00000000-0004-0000-0A00-00002C000000}"/>
    <hyperlink ref="G47" r:id="rId46" xr:uid="{00000000-0004-0000-0A00-00002D000000}"/>
    <hyperlink ref="G48" r:id="rId47" xr:uid="{00000000-0004-0000-0A00-00002E000000}"/>
    <hyperlink ref="G49" r:id="rId48" xr:uid="{00000000-0004-0000-0A00-00002F000000}"/>
    <hyperlink ref="G50" r:id="rId49" xr:uid="{00000000-0004-0000-0A00-000030000000}"/>
    <hyperlink ref="G51" r:id="rId50" xr:uid="{00000000-0004-0000-0A00-000031000000}"/>
    <hyperlink ref="G52" r:id="rId51" xr:uid="{00000000-0004-0000-0A00-000032000000}"/>
    <hyperlink ref="G53" r:id="rId52" xr:uid="{00000000-0004-0000-0A00-000033000000}"/>
    <hyperlink ref="G54" r:id="rId53" xr:uid="{00000000-0004-0000-0A00-000034000000}"/>
    <hyperlink ref="G57" r:id="rId54" xr:uid="{00000000-0004-0000-0A00-000035000000}"/>
    <hyperlink ref="G58" r:id="rId55" xr:uid="{00000000-0004-0000-0A00-000036000000}"/>
    <hyperlink ref="G59" r:id="rId56" xr:uid="{00000000-0004-0000-0A00-000037000000}"/>
    <hyperlink ref="G60" r:id="rId57" xr:uid="{00000000-0004-0000-0A00-000038000000}"/>
    <hyperlink ref="G61" r:id="rId58" xr:uid="{00000000-0004-0000-0A00-000039000000}"/>
    <hyperlink ref="G63" r:id="rId59" xr:uid="{00000000-0004-0000-0A00-00003A000000}"/>
    <hyperlink ref="G64" r:id="rId60" xr:uid="{00000000-0004-0000-0A00-00003B000000}"/>
    <hyperlink ref="G65" r:id="rId61" xr:uid="{00000000-0004-0000-0A00-00003C000000}"/>
    <hyperlink ref="G67" r:id="rId62" xr:uid="{00000000-0004-0000-0A00-00003D000000}"/>
    <hyperlink ref="G68" r:id="rId63" xr:uid="{00000000-0004-0000-0A00-00003E000000}"/>
    <hyperlink ref="G69" r:id="rId64" xr:uid="{00000000-0004-0000-0A00-00003F000000}"/>
    <hyperlink ref="G70" r:id="rId65" xr:uid="{00000000-0004-0000-0A00-000040000000}"/>
    <hyperlink ref="G72" r:id="rId66" xr:uid="{00000000-0004-0000-0A00-000041000000}"/>
    <hyperlink ref="G73" r:id="rId67" xr:uid="{00000000-0004-0000-0A00-000042000000}"/>
    <hyperlink ref="G74" r:id="rId68" xr:uid="{00000000-0004-0000-0A00-000043000000}"/>
    <hyperlink ref="G75" r:id="rId69" xr:uid="{00000000-0004-0000-0A00-000044000000}"/>
    <hyperlink ref="G76" r:id="rId70" xr:uid="{00000000-0004-0000-0A00-000045000000}"/>
    <hyperlink ref="G77" r:id="rId71" xr:uid="{00000000-0004-0000-0A00-000046000000}"/>
    <hyperlink ref="G78" r:id="rId72" xr:uid="{00000000-0004-0000-0A00-000047000000}"/>
    <hyperlink ref="G79" r:id="rId73" xr:uid="{00000000-0004-0000-0A00-000048000000}"/>
    <hyperlink ref="G80" r:id="rId74" xr:uid="{00000000-0004-0000-0A00-000049000000}"/>
    <hyperlink ref="G81" r:id="rId75" xr:uid="{00000000-0004-0000-0A00-00004A000000}"/>
    <hyperlink ref="G82" r:id="rId76" xr:uid="{00000000-0004-0000-0A00-00004B000000}"/>
    <hyperlink ref="G83" r:id="rId77" xr:uid="{00000000-0004-0000-0A00-00004C000000}"/>
    <hyperlink ref="G85" r:id="rId78" xr:uid="{00000000-0004-0000-0A00-00004D000000}"/>
    <hyperlink ref="G86" r:id="rId79" xr:uid="{00000000-0004-0000-0A00-00004E000000}"/>
    <hyperlink ref="G87" r:id="rId80" xr:uid="{00000000-0004-0000-0A00-00004F000000}"/>
    <hyperlink ref="G89" r:id="rId81" xr:uid="{00000000-0004-0000-0A00-000051000000}"/>
    <hyperlink ref="G90" r:id="rId82" xr:uid="{00000000-0004-0000-0A00-000052000000}"/>
    <hyperlink ref="G94" r:id="rId83" xr:uid="{00000000-0004-0000-0A00-000053000000}"/>
    <hyperlink ref="G92" r:id="rId84" xr:uid="{00000000-0004-0000-0A00-000054000000}"/>
    <hyperlink ref="G84" r:id="rId85" xr:uid="{B76115E2-C314-4AD4-8F87-29AA4ADABE3B}"/>
    <hyperlink ref="G88" r:id="rId86" xr:uid="{53DCAE9D-7416-4128-A8CE-D230DF0AD9E2}"/>
    <hyperlink ref="G91" r:id="rId87" xr:uid="{313D63C9-3759-4214-BFAA-9E079FDC6768}"/>
    <hyperlink ref="G93" r:id="rId88" xr:uid="{DE4F16B9-A68B-4B70-B40C-636F8FF92302}"/>
    <hyperlink ref="G95" r:id="rId89" xr:uid="{E9C3C16A-2D45-4CB5-A4AC-EAC8634F21AC}"/>
  </hyperlinks>
  <pageMargins left="0.7" right="0.7" top="0.75" bottom="0.75" header="0.3" footer="0.3"/>
  <pageSetup paperSize="9" orientation="portrait" r:id="rId9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14"/>
  <dimension ref="A1:K22"/>
  <sheetViews>
    <sheetView workbookViewId="0">
      <selection activeCell="H19" sqref="H19:I19"/>
    </sheetView>
  </sheetViews>
  <sheetFormatPr defaultRowHeight="18.75"/>
  <cols>
    <col min="1" max="1" width="20.5703125" customWidth="1"/>
    <col min="3" max="3" width="22.7109375" bestFit="1" customWidth="1"/>
    <col min="4" max="4" width="11.5703125" customWidth="1"/>
    <col min="5" max="5" width="22.5703125" customWidth="1"/>
    <col min="7" max="7" width="10.7109375" bestFit="1" customWidth="1"/>
    <col min="8" max="8" width="11" bestFit="1" customWidth="1"/>
    <col min="9" max="9" width="14.85546875" style="9" bestFit="1" customWidth="1"/>
    <col min="10" max="10" width="28.140625" customWidth="1"/>
    <col min="11" max="11" width="9.140625" style="61" customWidth="1"/>
  </cols>
  <sheetData>
    <row r="1" spans="1:11">
      <c r="A1" s="100" t="s">
        <v>2901</v>
      </c>
      <c r="B1" s="100" t="s">
        <v>2902</v>
      </c>
      <c r="C1" s="100" t="s">
        <v>2903</v>
      </c>
      <c r="D1" s="100" t="s">
        <v>2904</v>
      </c>
      <c r="E1" s="100" t="s">
        <v>2905</v>
      </c>
      <c r="F1" s="100" t="s">
        <v>2906</v>
      </c>
      <c r="G1" s="100" t="s">
        <v>2907</v>
      </c>
      <c r="H1" s="101" t="s">
        <v>6</v>
      </c>
      <c r="I1" s="100" t="s">
        <v>2908</v>
      </c>
      <c r="J1" s="100" t="s">
        <v>2909</v>
      </c>
      <c r="K1" s="102" t="s">
        <v>2910</v>
      </c>
    </row>
    <row r="2" spans="1:11">
      <c r="A2" s="103" t="s">
        <v>2911</v>
      </c>
      <c r="B2" s="103" t="s">
        <v>2912</v>
      </c>
      <c r="C2" s="103" t="s">
        <v>2913</v>
      </c>
      <c r="D2" s="103" t="s">
        <v>2914</v>
      </c>
      <c r="E2" s="103" t="s">
        <v>2915</v>
      </c>
      <c r="F2" s="7" t="s">
        <v>338</v>
      </c>
      <c r="G2" s="104"/>
      <c r="H2" s="105"/>
      <c r="I2" s="106">
        <v>0</v>
      </c>
      <c r="J2" s="103" t="s">
        <v>2916</v>
      </c>
      <c r="K2" s="107"/>
    </row>
    <row r="3" spans="1:11">
      <c r="A3" s="103" t="s">
        <v>2911</v>
      </c>
      <c r="B3" s="103" t="s">
        <v>2917</v>
      </c>
      <c r="C3" s="103" t="s">
        <v>2913</v>
      </c>
      <c r="D3" s="103" t="s">
        <v>2918</v>
      </c>
      <c r="E3" s="103" t="s">
        <v>2915</v>
      </c>
      <c r="F3" s="7" t="s">
        <v>338</v>
      </c>
      <c r="G3" s="104"/>
      <c r="H3" s="105"/>
      <c r="I3" s="106">
        <v>0</v>
      </c>
      <c r="J3" s="103" t="s">
        <v>2919</v>
      </c>
      <c r="K3" s="107"/>
    </row>
    <row r="4" spans="1:11">
      <c r="A4" s="103" t="s">
        <v>2911</v>
      </c>
      <c r="B4" s="103" t="s">
        <v>2920</v>
      </c>
      <c r="C4" s="103" t="s">
        <v>2913</v>
      </c>
      <c r="D4" s="103" t="s">
        <v>2921</v>
      </c>
      <c r="E4" s="103" t="s">
        <v>2915</v>
      </c>
      <c r="F4" s="7" t="s">
        <v>338</v>
      </c>
      <c r="G4" s="104"/>
      <c r="H4" s="105"/>
      <c r="I4" s="106">
        <v>0</v>
      </c>
      <c r="J4" s="103" t="s">
        <v>2919</v>
      </c>
      <c r="K4" s="107"/>
    </row>
    <row r="5" spans="1:11">
      <c r="A5" s="103" t="s">
        <v>2911</v>
      </c>
      <c r="B5" s="103" t="s">
        <v>2922</v>
      </c>
      <c r="C5" s="103" t="s">
        <v>2913</v>
      </c>
      <c r="D5" s="103" t="s">
        <v>2923</v>
      </c>
      <c r="E5" s="103" t="s">
        <v>2915</v>
      </c>
      <c r="F5" s="7" t="s">
        <v>338</v>
      </c>
      <c r="G5" s="104"/>
      <c r="H5" s="105"/>
      <c r="I5" s="106">
        <v>0</v>
      </c>
      <c r="J5" s="103" t="s">
        <v>2916</v>
      </c>
      <c r="K5" s="107"/>
    </row>
    <row r="6" spans="1:11">
      <c r="A6" s="103" t="s">
        <v>2911</v>
      </c>
      <c r="B6" s="103" t="s">
        <v>2924</v>
      </c>
      <c r="C6" s="103" t="s">
        <v>2913</v>
      </c>
      <c r="D6" s="103" t="s">
        <v>2925</v>
      </c>
      <c r="E6" s="103" t="s">
        <v>2915</v>
      </c>
      <c r="F6" s="7" t="s">
        <v>335</v>
      </c>
      <c r="G6" s="104"/>
      <c r="H6" s="105"/>
      <c r="I6" s="106">
        <v>0</v>
      </c>
      <c r="J6" s="103" t="s">
        <v>2926</v>
      </c>
      <c r="K6" s="107"/>
    </row>
    <row r="7" spans="1:11">
      <c r="A7" s="103" t="s">
        <v>2911</v>
      </c>
      <c r="B7" s="103" t="s">
        <v>2927</v>
      </c>
      <c r="C7" s="103" t="s">
        <v>2928</v>
      </c>
      <c r="D7" s="103" t="s">
        <v>2929</v>
      </c>
      <c r="E7" s="103" t="s">
        <v>2930</v>
      </c>
      <c r="F7" s="7" t="s">
        <v>335</v>
      </c>
      <c r="G7" s="104">
        <v>45838</v>
      </c>
      <c r="H7" s="105">
        <v>572</v>
      </c>
      <c r="I7" s="106">
        <v>1144</v>
      </c>
      <c r="J7" s="103" t="s">
        <v>2931</v>
      </c>
      <c r="K7" s="107">
        <v>-98</v>
      </c>
    </row>
    <row r="8" spans="1:11">
      <c r="A8" s="103" t="s">
        <v>2911</v>
      </c>
      <c r="B8" s="103" t="s">
        <v>2932</v>
      </c>
      <c r="C8" s="103" t="s">
        <v>2928</v>
      </c>
      <c r="D8" s="103" t="s">
        <v>2933</v>
      </c>
      <c r="E8" s="103" t="s">
        <v>2930</v>
      </c>
      <c r="F8" s="7" t="s">
        <v>335</v>
      </c>
      <c r="G8" s="104">
        <v>46030</v>
      </c>
      <c r="H8" s="105">
        <v>150</v>
      </c>
      <c r="I8" s="106">
        <v>300</v>
      </c>
      <c r="J8" s="103" t="s">
        <v>2931</v>
      </c>
      <c r="K8" s="107">
        <v>94</v>
      </c>
    </row>
    <row r="9" spans="1:11">
      <c r="A9" s="103" t="s">
        <v>2911</v>
      </c>
      <c r="B9" s="103" t="s">
        <v>2934</v>
      </c>
      <c r="C9" s="103" t="s">
        <v>2935</v>
      </c>
      <c r="D9" s="103" t="s">
        <v>2936</v>
      </c>
      <c r="E9" s="103" t="s">
        <v>2937</v>
      </c>
      <c r="F9" s="7" t="s">
        <v>335</v>
      </c>
      <c r="G9" s="104">
        <v>45897</v>
      </c>
      <c r="H9" s="105">
        <v>372</v>
      </c>
      <c r="I9" s="106">
        <v>744</v>
      </c>
      <c r="J9" s="103" t="s">
        <v>2926</v>
      </c>
      <c r="K9" s="107">
        <v>-39</v>
      </c>
    </row>
    <row r="10" spans="1:11">
      <c r="A10" s="103" t="s">
        <v>2911</v>
      </c>
      <c r="B10" s="103" t="s">
        <v>2938</v>
      </c>
      <c r="C10" s="103" t="s">
        <v>2935</v>
      </c>
      <c r="D10" s="103" t="s">
        <v>2939</v>
      </c>
      <c r="E10" s="103" t="s">
        <v>2937</v>
      </c>
      <c r="F10" s="7" t="s">
        <v>335</v>
      </c>
      <c r="G10" s="104">
        <v>45838</v>
      </c>
      <c r="H10" s="105">
        <v>700</v>
      </c>
      <c r="I10" s="106">
        <v>1400</v>
      </c>
      <c r="J10" s="103" t="s">
        <v>2926</v>
      </c>
      <c r="K10" s="107">
        <v>-98</v>
      </c>
    </row>
    <row r="11" spans="1:11">
      <c r="A11" s="103" t="s">
        <v>2911</v>
      </c>
      <c r="B11" s="103" t="s">
        <v>2940</v>
      </c>
      <c r="C11" s="103" t="s">
        <v>2935</v>
      </c>
      <c r="D11" s="103" t="s">
        <v>2941</v>
      </c>
      <c r="E11" s="103" t="s">
        <v>2937</v>
      </c>
      <c r="F11" s="7" t="s">
        <v>335</v>
      </c>
      <c r="G11" s="104">
        <v>45838</v>
      </c>
      <c r="H11" s="105">
        <v>414</v>
      </c>
      <c r="I11" s="106">
        <v>828</v>
      </c>
      <c r="J11" s="103" t="s">
        <v>2926</v>
      </c>
      <c r="K11" s="107">
        <v>-98</v>
      </c>
    </row>
    <row r="12" spans="1:11">
      <c r="A12" s="103" t="s">
        <v>2911</v>
      </c>
      <c r="B12" s="103" t="s">
        <v>2942</v>
      </c>
      <c r="C12" s="103" t="s">
        <v>2935</v>
      </c>
      <c r="D12" s="103" t="s">
        <v>2943</v>
      </c>
      <c r="E12" s="103" t="s">
        <v>2937</v>
      </c>
      <c r="F12" s="7" t="s">
        <v>335</v>
      </c>
      <c r="G12" s="104">
        <v>45838</v>
      </c>
      <c r="H12" s="105">
        <v>790</v>
      </c>
      <c r="I12" s="106">
        <v>1580</v>
      </c>
      <c r="J12" s="103" t="s">
        <v>2926</v>
      </c>
      <c r="K12" s="107">
        <v>-98</v>
      </c>
    </row>
    <row r="13" spans="1:11">
      <c r="A13" s="103" t="s">
        <v>2911</v>
      </c>
      <c r="B13" s="103" t="s">
        <v>2944</v>
      </c>
      <c r="C13" s="103" t="s">
        <v>2935</v>
      </c>
      <c r="D13" s="103" t="s">
        <v>2945</v>
      </c>
      <c r="E13" s="103" t="s">
        <v>2937</v>
      </c>
      <c r="F13" s="7" t="s">
        <v>335</v>
      </c>
      <c r="G13" s="104">
        <v>45838</v>
      </c>
      <c r="H13" s="105">
        <v>732.5</v>
      </c>
      <c r="I13" s="106">
        <v>1465</v>
      </c>
      <c r="J13" s="103" t="s">
        <v>2926</v>
      </c>
      <c r="K13" s="107">
        <v>-98</v>
      </c>
    </row>
    <row r="14" spans="1:11">
      <c r="A14" s="103" t="s">
        <v>2911</v>
      </c>
      <c r="B14" s="103" t="s">
        <v>2946</v>
      </c>
      <c r="C14" s="103" t="s">
        <v>2947</v>
      </c>
      <c r="D14" s="103"/>
      <c r="E14" s="103" t="s">
        <v>2930</v>
      </c>
      <c r="F14" s="7" t="s">
        <v>335</v>
      </c>
      <c r="G14" s="104">
        <v>45858</v>
      </c>
      <c r="H14" s="105">
        <v>2934</v>
      </c>
      <c r="I14" s="106">
        <v>5868</v>
      </c>
      <c r="J14" s="103" t="s">
        <v>2948</v>
      </c>
      <c r="K14" s="107">
        <v>-78</v>
      </c>
    </row>
    <row r="15" spans="1:11">
      <c r="A15" s="103" t="s">
        <v>2936</v>
      </c>
      <c r="B15" s="103" t="s">
        <v>2949</v>
      </c>
      <c r="C15" s="103" t="s">
        <v>2950</v>
      </c>
      <c r="D15" s="103" t="s">
        <v>2951</v>
      </c>
      <c r="E15" s="103" t="s">
        <v>2930</v>
      </c>
      <c r="F15" s="7" t="s">
        <v>338</v>
      </c>
      <c r="G15" s="104">
        <v>45756</v>
      </c>
      <c r="H15" s="105">
        <v>251</v>
      </c>
      <c r="I15" s="106">
        <v>251</v>
      </c>
      <c r="J15" s="103" t="s">
        <v>2952</v>
      </c>
      <c r="K15" s="107">
        <v>-180</v>
      </c>
    </row>
    <row r="16" spans="1:11">
      <c r="A16" s="103" t="s">
        <v>2911</v>
      </c>
      <c r="B16" s="108" t="s">
        <v>2953</v>
      </c>
      <c r="C16" s="108" t="s">
        <v>2954</v>
      </c>
      <c r="D16" s="108" t="s">
        <v>2955</v>
      </c>
      <c r="E16" s="108" t="s">
        <v>2930</v>
      </c>
      <c r="F16" s="7" t="s">
        <v>338</v>
      </c>
      <c r="G16" s="104">
        <v>45831</v>
      </c>
      <c r="H16" s="105">
        <v>684.5</v>
      </c>
      <c r="I16" s="106">
        <v>684.5</v>
      </c>
      <c r="J16" s="108" t="s">
        <v>2956</v>
      </c>
      <c r="K16" s="107">
        <v>-105</v>
      </c>
    </row>
    <row r="17" spans="1:11">
      <c r="A17" s="103" t="s">
        <v>2911</v>
      </c>
      <c r="B17" s="108" t="s">
        <v>2957</v>
      </c>
      <c r="C17" s="108" t="s">
        <v>2958</v>
      </c>
      <c r="D17" s="108" t="s">
        <v>2959</v>
      </c>
      <c r="E17" s="108" t="s">
        <v>2930</v>
      </c>
      <c r="F17" s="7" t="s">
        <v>338</v>
      </c>
      <c r="G17" s="104">
        <v>45833</v>
      </c>
      <c r="H17" s="105">
        <v>883</v>
      </c>
      <c r="I17" s="106">
        <v>883</v>
      </c>
      <c r="J17" s="108" t="s">
        <v>2960</v>
      </c>
      <c r="K17" s="107">
        <v>-103</v>
      </c>
    </row>
    <row r="18" spans="1:11">
      <c r="A18" s="108"/>
      <c r="B18" s="108"/>
      <c r="C18" s="108"/>
      <c r="D18" s="108"/>
      <c r="E18" s="108"/>
      <c r="F18" s="7"/>
      <c r="G18" s="104"/>
      <c r="H18" s="105"/>
      <c r="I18" s="106"/>
      <c r="J18" s="108"/>
      <c r="K18" s="107"/>
    </row>
    <row r="19" spans="1:11">
      <c r="F19" s="348" t="s">
        <v>2961</v>
      </c>
      <c r="G19" s="341"/>
      <c r="H19" s="346">
        <v>22373</v>
      </c>
      <c r="I19" s="347"/>
    </row>
    <row r="22" spans="1:11">
      <c r="H22" s="57"/>
    </row>
  </sheetData>
  <mergeCells count="2">
    <mergeCell ref="H19:I19"/>
    <mergeCell ref="F19:G19"/>
  </mergeCells>
  <conditionalFormatting sqref="K1:K1048567">
    <cfRule type="cellIs" dxfId="37" priority="2" operator="greaterThan">
      <formula>360</formula>
    </cfRule>
    <cfRule type="cellIs" dxfId="36" priority="3" operator="lessThan">
      <formula>1</formula>
    </cfRule>
  </conditionalFormatting>
  <conditionalFormatting sqref="K2:K18">
    <cfRule type="expression" dxfId="35" priority="1">
      <formula>AND(G2&gt;=TODAY(), G2&lt;=TODAY()+30)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15"/>
  <dimension ref="A1:S43"/>
  <sheetViews>
    <sheetView workbookViewId="0">
      <pane ySplit="1" topLeftCell="A2" activePane="bottomLeft" state="frozen"/>
      <selection pane="bottomLeft" activeCell="J23" sqref="J23:J25"/>
    </sheetView>
  </sheetViews>
  <sheetFormatPr defaultRowHeight="18.75"/>
  <cols>
    <col min="1" max="1" width="37.28515625" customWidth="1"/>
    <col min="2" max="3" width="9.42578125" bestFit="1" customWidth="1"/>
    <col min="4" max="4" width="11" bestFit="1" customWidth="1"/>
    <col min="5" max="5" width="9.42578125" bestFit="1" customWidth="1"/>
    <col min="6" max="6" width="11" bestFit="1" customWidth="1"/>
    <col min="7" max="7" width="11.140625" bestFit="1" customWidth="1"/>
    <col min="8" max="8" width="9.42578125" bestFit="1" customWidth="1"/>
    <col min="9" max="9" width="11.28515625" bestFit="1" customWidth="1"/>
    <col min="10" max="11" width="11.28515625" customWidth="1"/>
    <col min="12" max="12" width="9.7109375" bestFit="1" customWidth="1"/>
    <col min="13" max="13" width="9.42578125" bestFit="1" customWidth="1"/>
    <col min="14" max="14" width="31.7109375" style="63" customWidth="1"/>
    <col min="15" max="15" width="15.5703125" style="71" customWidth="1"/>
  </cols>
  <sheetData>
    <row r="1" spans="1:19" s="9" customFormat="1">
      <c r="A1" s="61" t="s">
        <v>2962</v>
      </c>
      <c r="B1" s="9" t="s">
        <v>2963</v>
      </c>
      <c r="C1" s="9" t="s">
        <v>2964</v>
      </c>
      <c r="D1" s="9" t="s">
        <v>2965</v>
      </c>
      <c r="E1" s="9" t="s">
        <v>2966</v>
      </c>
      <c r="F1" s="9" t="s">
        <v>2967</v>
      </c>
      <c r="G1" s="9" t="s">
        <v>2700</v>
      </c>
      <c r="H1" s="9" t="s">
        <v>2968</v>
      </c>
      <c r="I1" s="9" t="s">
        <v>2969</v>
      </c>
      <c r="J1" s="9" t="s">
        <v>2970</v>
      </c>
      <c r="K1" s="9" t="s">
        <v>2971</v>
      </c>
      <c r="L1" s="9" t="s">
        <v>2972</v>
      </c>
      <c r="M1" s="9" t="s">
        <v>2973</v>
      </c>
      <c r="N1" s="62" t="s">
        <v>2974</v>
      </c>
      <c r="O1" s="71"/>
      <c r="P1" s="352" t="s">
        <v>2975</v>
      </c>
      <c r="Q1" s="347"/>
      <c r="R1" s="347"/>
      <c r="S1" s="347"/>
    </row>
    <row r="2" spans="1:19">
      <c r="A2" t="s">
        <v>2976</v>
      </c>
    </row>
    <row r="3" spans="1:19">
      <c r="A3" t="s">
        <v>2977</v>
      </c>
    </row>
    <row r="4" spans="1:19">
      <c r="A4" t="s">
        <v>2978</v>
      </c>
      <c r="B4">
        <v>270.43</v>
      </c>
      <c r="C4">
        <v>419.22</v>
      </c>
      <c r="D4">
        <v>466.82</v>
      </c>
      <c r="E4">
        <v>318.02999999999997</v>
      </c>
      <c r="F4">
        <v>218.28</v>
      </c>
      <c r="G4">
        <v>0</v>
      </c>
      <c r="H4">
        <v>0</v>
      </c>
      <c r="N4" s="63">
        <f>AVERAGE(B4:M4)</f>
        <v>241.82571428571427</v>
      </c>
      <c r="O4" s="71" t="s">
        <v>2979</v>
      </c>
      <c r="P4" s="351">
        <f>SUM(N4:N21)</f>
        <v>4894.8679761904759</v>
      </c>
      <c r="Q4" s="341"/>
      <c r="R4" s="341"/>
      <c r="S4" s="341"/>
    </row>
    <row r="5" spans="1:19">
      <c r="A5" t="s">
        <v>2980</v>
      </c>
      <c r="B5">
        <v>314.69</v>
      </c>
      <c r="C5">
        <v>448.8</v>
      </c>
      <c r="D5">
        <v>1223.53</v>
      </c>
      <c r="E5">
        <v>1932.95</v>
      </c>
      <c r="F5">
        <v>1985.65</v>
      </c>
      <c r="G5">
        <v>1541.2</v>
      </c>
      <c r="H5">
        <v>604.53</v>
      </c>
      <c r="N5" s="63">
        <f>AVERAGE(B5:M5)</f>
        <v>1150.1928571428573</v>
      </c>
      <c r="O5" s="71" t="s">
        <v>2979</v>
      </c>
      <c r="P5" s="341"/>
      <c r="Q5" s="341"/>
      <c r="R5" s="341"/>
      <c r="S5" s="341"/>
    </row>
    <row r="6" spans="1:19">
      <c r="A6" t="s">
        <v>2981</v>
      </c>
      <c r="P6" s="341"/>
      <c r="Q6" s="341"/>
      <c r="R6" s="341"/>
      <c r="S6" s="341"/>
    </row>
    <row r="7" spans="1:19">
      <c r="A7" t="s">
        <v>2982</v>
      </c>
      <c r="B7">
        <v>290</v>
      </c>
      <c r="C7">
        <v>290</v>
      </c>
      <c r="D7">
        <v>290</v>
      </c>
      <c r="E7">
        <v>290</v>
      </c>
      <c r="F7">
        <v>290</v>
      </c>
      <c r="G7">
        <v>290</v>
      </c>
      <c r="N7" s="63">
        <f>AVERAGE(B7:M7)</f>
        <v>290</v>
      </c>
      <c r="O7" s="71" t="s">
        <v>66</v>
      </c>
      <c r="P7" s="341"/>
      <c r="Q7" s="341"/>
      <c r="R7" s="341"/>
      <c r="S7" s="341"/>
    </row>
    <row r="8" spans="1:19">
      <c r="A8" t="s">
        <v>2983</v>
      </c>
      <c r="B8">
        <v>250.05</v>
      </c>
      <c r="C8">
        <v>250.05</v>
      </c>
      <c r="D8">
        <v>250.05</v>
      </c>
      <c r="E8">
        <v>250.05</v>
      </c>
      <c r="F8">
        <f>66.86+70.6+51.3+62.79</f>
        <v>251.54999999999998</v>
      </c>
      <c r="G8">
        <v>250.55</v>
      </c>
      <c r="H8">
        <v>259.05</v>
      </c>
      <c r="I8">
        <v>196.26</v>
      </c>
      <c r="N8" s="63">
        <f>AVERAGE(B8:M8)</f>
        <v>244.70124999999999</v>
      </c>
      <c r="O8" s="71" t="s">
        <v>2984</v>
      </c>
      <c r="P8" s="341"/>
      <c r="Q8" s="341"/>
      <c r="R8" s="341"/>
      <c r="S8" s="341"/>
    </row>
    <row r="9" spans="1:19">
      <c r="A9" t="s">
        <v>2985</v>
      </c>
      <c r="B9">
        <f>225.75+37.86</f>
        <v>263.61</v>
      </c>
      <c r="C9">
        <v>265.18</v>
      </c>
      <c r="D9">
        <v>37.49</v>
      </c>
      <c r="E9">
        <v>38.19</v>
      </c>
      <c r="F9">
        <v>145.81</v>
      </c>
      <c r="G9">
        <v>10.84</v>
      </c>
      <c r="H9">
        <v>442.48</v>
      </c>
      <c r="I9">
        <v>238.44</v>
      </c>
      <c r="L9">
        <v>450.51</v>
      </c>
      <c r="M9">
        <v>1215.3</v>
      </c>
      <c r="N9" s="63">
        <f>AVERAGE(B9:M9)</f>
        <v>310.78499999999997</v>
      </c>
      <c r="O9" s="71" t="s">
        <v>66</v>
      </c>
      <c r="P9" s="341"/>
      <c r="Q9" s="341"/>
      <c r="R9" s="341"/>
      <c r="S9" s="341"/>
    </row>
    <row r="10" spans="1:19">
      <c r="A10" t="s">
        <v>2986</v>
      </c>
      <c r="B10">
        <v>0</v>
      </c>
      <c r="C10">
        <v>0</v>
      </c>
      <c r="D10">
        <v>0</v>
      </c>
      <c r="E10">
        <v>36.659999999999997</v>
      </c>
      <c r="F10">
        <v>0</v>
      </c>
      <c r="G10">
        <v>57.71</v>
      </c>
      <c r="H10">
        <v>36.659999999999997</v>
      </c>
      <c r="I10">
        <v>0</v>
      </c>
      <c r="J10">
        <v>0</v>
      </c>
      <c r="K10">
        <v>101.63</v>
      </c>
      <c r="L10">
        <v>0</v>
      </c>
      <c r="M10">
        <v>0</v>
      </c>
      <c r="N10" s="63">
        <f>AVERAGE(B10:M10)</f>
        <v>19.388333333333332</v>
      </c>
      <c r="O10" s="71" t="s">
        <v>66</v>
      </c>
      <c r="P10" s="341"/>
      <c r="Q10" s="341"/>
      <c r="R10" s="341"/>
      <c r="S10" s="341"/>
    </row>
    <row r="11" spans="1:19">
      <c r="A11" t="s">
        <v>2987</v>
      </c>
      <c r="P11" s="341"/>
      <c r="Q11" s="341"/>
      <c r="R11" s="341"/>
      <c r="S11" s="341"/>
    </row>
    <row r="12" spans="1:19">
      <c r="A12" t="s">
        <v>2988</v>
      </c>
      <c r="P12" s="341"/>
      <c r="Q12" s="341"/>
      <c r="R12" s="341"/>
      <c r="S12" s="341"/>
    </row>
    <row r="13" spans="1:19">
      <c r="A13" t="s">
        <v>2989</v>
      </c>
      <c r="B13">
        <v>77</v>
      </c>
      <c r="F13">
        <v>77</v>
      </c>
      <c r="G13">
        <v>92</v>
      </c>
      <c r="J13">
        <v>75</v>
      </c>
      <c r="N13" s="63">
        <f>AVERAGE(B13:M13)</f>
        <v>80.25</v>
      </c>
      <c r="O13" s="71" t="s">
        <v>2990</v>
      </c>
      <c r="P13" s="341"/>
      <c r="Q13" s="341"/>
      <c r="R13" s="341"/>
      <c r="S13" s="341"/>
    </row>
    <row r="14" spans="1:19">
      <c r="A14" t="s">
        <v>2991</v>
      </c>
      <c r="P14" s="341"/>
      <c r="Q14" s="341"/>
      <c r="R14" s="341"/>
      <c r="S14" s="341"/>
    </row>
    <row r="15" spans="1:19">
      <c r="A15" t="s">
        <v>2390</v>
      </c>
      <c r="P15" s="341"/>
      <c r="Q15" s="341"/>
      <c r="R15" s="341"/>
      <c r="S15" s="341"/>
    </row>
    <row r="16" spans="1:19">
      <c r="A16" t="s">
        <v>2650</v>
      </c>
      <c r="B16">
        <v>523.5</v>
      </c>
      <c r="C16">
        <v>523.5</v>
      </c>
      <c r="D16">
        <v>523.5</v>
      </c>
      <c r="E16">
        <v>523.5</v>
      </c>
      <c r="F16">
        <v>523.5</v>
      </c>
      <c r="G16" s="144">
        <v>523.5</v>
      </c>
      <c r="H16">
        <v>523.5</v>
      </c>
      <c r="I16">
        <v>523.5</v>
      </c>
      <c r="J16">
        <v>523.5</v>
      </c>
      <c r="K16">
        <v>523.5</v>
      </c>
      <c r="L16">
        <v>523.5</v>
      </c>
      <c r="M16">
        <v>523.5</v>
      </c>
      <c r="N16" s="63">
        <f>AVERAGE(B16:M16)</f>
        <v>523.5</v>
      </c>
      <c r="O16" s="71" t="s">
        <v>2992</v>
      </c>
      <c r="P16" s="341"/>
      <c r="Q16" s="341"/>
      <c r="R16" s="341"/>
      <c r="S16" s="341"/>
    </row>
    <row r="17" spans="1:19">
      <c r="A17" t="s">
        <v>2993</v>
      </c>
      <c r="B17">
        <v>62.38</v>
      </c>
      <c r="C17">
        <v>345.94</v>
      </c>
      <c r="D17">
        <v>202.38</v>
      </c>
      <c r="E17">
        <v>257.5</v>
      </c>
      <c r="F17">
        <v>220.16</v>
      </c>
      <c r="G17">
        <v>210.49</v>
      </c>
      <c r="I17">
        <v>850</v>
      </c>
      <c r="N17" s="63">
        <f>AVERAGE(B17:M17)</f>
        <v>306.97857142857146</v>
      </c>
      <c r="O17" s="71" t="s">
        <v>2984</v>
      </c>
      <c r="P17" s="341"/>
      <c r="Q17" s="341"/>
      <c r="R17" s="341"/>
      <c r="S17" s="341"/>
    </row>
    <row r="18" spans="1:19">
      <c r="A18" t="s">
        <v>2994</v>
      </c>
      <c r="J18">
        <v>263.7</v>
      </c>
      <c r="K18">
        <v>1176.4100000000001</v>
      </c>
      <c r="N18" s="63">
        <f>AVERAGE(B18:M18)</f>
        <v>720.05500000000006</v>
      </c>
      <c r="O18" s="71" t="s">
        <v>66</v>
      </c>
      <c r="P18" s="341"/>
      <c r="Q18" s="341"/>
      <c r="R18" s="341"/>
      <c r="S18" s="341"/>
    </row>
    <row r="19" spans="1:19">
      <c r="A19" t="s">
        <v>2995</v>
      </c>
      <c r="P19" s="341"/>
      <c r="Q19" s="341"/>
      <c r="R19" s="341"/>
      <c r="S19" s="341"/>
    </row>
    <row r="20" spans="1:19">
      <c r="A20" t="s">
        <v>2996</v>
      </c>
      <c r="B20" s="11">
        <v>579.76</v>
      </c>
      <c r="C20" s="11">
        <v>738.19</v>
      </c>
      <c r="D20" s="11">
        <v>1247.81</v>
      </c>
      <c r="E20" s="11">
        <v>986.36</v>
      </c>
      <c r="F20" s="11">
        <v>1157.67</v>
      </c>
      <c r="G20">
        <v>748.7</v>
      </c>
      <c r="H20">
        <f>662.09+620</f>
        <v>1282.0900000000001</v>
      </c>
      <c r="I20" s="11">
        <f>328.43+764.62</f>
        <v>1093.05</v>
      </c>
      <c r="J20" s="11"/>
      <c r="N20" s="63">
        <f>AVERAGE(B20:M20)</f>
        <v>979.20375000000013</v>
      </c>
      <c r="O20" s="71" t="s">
        <v>2997</v>
      </c>
      <c r="P20" s="341"/>
      <c r="Q20" s="341"/>
      <c r="R20" s="341"/>
      <c r="S20" s="341"/>
    </row>
    <row r="21" spans="1:19">
      <c r="A21" t="s">
        <v>2998</v>
      </c>
      <c r="B21">
        <v>27.94</v>
      </c>
      <c r="C21">
        <v>27.94</v>
      </c>
      <c r="D21">
        <v>27.94</v>
      </c>
      <c r="E21">
        <v>27.94</v>
      </c>
      <c r="F21">
        <v>27.94</v>
      </c>
      <c r="G21" s="144">
        <v>28.51</v>
      </c>
      <c r="H21">
        <v>27.94</v>
      </c>
      <c r="I21">
        <v>27.94</v>
      </c>
      <c r="J21">
        <v>27.94</v>
      </c>
      <c r="K21">
        <v>27.94</v>
      </c>
      <c r="L21">
        <v>27.94</v>
      </c>
      <c r="M21">
        <v>27.94</v>
      </c>
      <c r="N21" s="63">
        <f>AVERAGE(B21:M21)</f>
        <v>27.987500000000001</v>
      </c>
      <c r="O21" s="71" t="s">
        <v>2999</v>
      </c>
      <c r="P21" s="341"/>
      <c r="Q21" s="341"/>
      <c r="R21" s="341"/>
      <c r="S21" s="341"/>
    </row>
    <row r="22" spans="1:19">
      <c r="A22" t="s">
        <v>3000</v>
      </c>
      <c r="P22" s="341"/>
      <c r="Q22" s="341"/>
      <c r="R22" s="341"/>
      <c r="S22" s="341"/>
    </row>
    <row r="23" spans="1:19" ht="18.75" customHeight="1">
      <c r="A23" t="s">
        <v>3001</v>
      </c>
      <c r="B23" s="11">
        <v>247.8</v>
      </c>
      <c r="C23" s="11">
        <v>400.85</v>
      </c>
      <c r="D23" s="11">
        <v>211.2</v>
      </c>
      <c r="E23" s="11">
        <v>390.35</v>
      </c>
      <c r="F23" s="11">
        <v>267.16000000000003</v>
      </c>
      <c r="G23" s="11">
        <v>229.8</v>
      </c>
      <c r="H23" s="11">
        <v>116.4</v>
      </c>
      <c r="I23" s="11">
        <v>111.9</v>
      </c>
      <c r="J23" s="11">
        <v>181.1</v>
      </c>
      <c r="K23" s="11">
        <v>333.48</v>
      </c>
      <c r="L23" s="11">
        <v>244.6</v>
      </c>
      <c r="M23" s="11">
        <v>180.66</v>
      </c>
      <c r="N23" s="63">
        <f>AVERAGE(B23:M23)</f>
        <v>242.94166666666669</v>
      </c>
      <c r="O23" s="349" t="s">
        <v>3002</v>
      </c>
      <c r="P23" s="351">
        <f>SUM(N23:N25)</f>
        <v>319.10916666666668</v>
      </c>
      <c r="Q23" s="341"/>
      <c r="R23" s="341"/>
      <c r="S23" s="341"/>
    </row>
    <row r="24" spans="1:19" ht="18.75" customHeight="1">
      <c r="A24" t="s">
        <v>3003</v>
      </c>
      <c r="B24">
        <v>21.35</v>
      </c>
      <c r="C24">
        <v>21.35</v>
      </c>
      <c r="D24">
        <v>21.35</v>
      </c>
      <c r="E24">
        <v>33.32</v>
      </c>
      <c r="F24" s="11">
        <f>1.8+33.32</f>
        <v>35.119999999999997</v>
      </c>
      <c r="G24" s="11">
        <v>33.32</v>
      </c>
      <c r="H24">
        <v>35.82</v>
      </c>
      <c r="I24">
        <v>38.32</v>
      </c>
      <c r="J24">
        <v>33.32</v>
      </c>
      <c r="K24">
        <f>21.35+6</f>
        <v>27.35</v>
      </c>
      <c r="L24">
        <v>52.34</v>
      </c>
      <c r="M24">
        <f>21.35+12.5</f>
        <v>33.85</v>
      </c>
      <c r="N24" s="63">
        <f>AVERAGE(B24:M24)</f>
        <v>32.234166666666674</v>
      </c>
      <c r="O24" s="349"/>
      <c r="P24" s="341"/>
      <c r="Q24" s="341"/>
      <c r="R24" s="341"/>
      <c r="S24" s="341"/>
    </row>
    <row r="25" spans="1:19" ht="18.75" customHeight="1">
      <c r="A25" t="s">
        <v>4090</v>
      </c>
      <c r="B25">
        <v>60.4</v>
      </c>
      <c r="C25">
        <v>90.8</v>
      </c>
      <c r="D25">
        <f>37.6+2.2</f>
        <v>39.800000000000004</v>
      </c>
      <c r="E25" s="11">
        <v>18.600000000000001</v>
      </c>
      <c r="F25" s="11">
        <v>37</v>
      </c>
      <c r="G25">
        <v>15.4</v>
      </c>
      <c r="H25">
        <v>24.2</v>
      </c>
      <c r="I25">
        <v>25</v>
      </c>
      <c r="J25">
        <v>22.8</v>
      </c>
      <c r="K25">
        <f>17.6+10.5+2.2+3.3</f>
        <v>33.6</v>
      </c>
      <c r="L25">
        <v>47.6</v>
      </c>
      <c r="M25">
        <f>103.2+2.2+6.6</f>
        <v>112</v>
      </c>
      <c r="N25" s="63">
        <f>AVERAGE(B25:M25)</f>
        <v>43.933333333333337</v>
      </c>
      <c r="O25" s="349"/>
      <c r="P25" s="341"/>
      <c r="Q25" s="341"/>
      <c r="R25" s="341"/>
      <c r="S25" s="341"/>
    </row>
    <row r="26" spans="1:19" ht="21" customHeight="1">
      <c r="O26" s="128" t="s">
        <v>3004</v>
      </c>
      <c r="P26" s="350">
        <f>SUM(P4:S25)</f>
        <v>5213.977142857143</v>
      </c>
      <c r="Q26" s="341"/>
      <c r="R26" s="341"/>
      <c r="S26" s="341"/>
    </row>
    <row r="27" spans="1:19">
      <c r="D27" s="55"/>
      <c r="E27" s="56"/>
      <c r="F27" s="55"/>
      <c r="G27" s="56"/>
      <c r="H27" s="11"/>
    </row>
    <row r="28" spans="1:19">
      <c r="D28" s="55"/>
      <c r="E28" s="56"/>
      <c r="F28" s="55"/>
      <c r="G28" s="56"/>
      <c r="H28" s="11"/>
    </row>
    <row r="29" spans="1:19">
      <c r="D29" s="55"/>
      <c r="E29" s="56"/>
      <c r="F29" s="55"/>
      <c r="G29" s="56"/>
      <c r="H29" s="11"/>
    </row>
    <row r="30" spans="1:19">
      <c r="D30" s="55"/>
      <c r="E30" s="56"/>
      <c r="F30" s="55"/>
      <c r="G30" s="56"/>
      <c r="H30" s="11"/>
    </row>
    <row r="31" spans="1:19">
      <c r="D31" s="55"/>
      <c r="E31" s="56"/>
      <c r="F31" s="55"/>
      <c r="G31" s="56"/>
      <c r="H31" s="11"/>
    </row>
    <row r="32" spans="1:19">
      <c r="D32" s="55"/>
      <c r="E32" s="56"/>
      <c r="F32" s="55"/>
      <c r="G32" s="56"/>
      <c r="H32" s="11"/>
    </row>
    <row r="33" spans="4:8">
      <c r="D33" s="55"/>
      <c r="E33" s="56"/>
      <c r="F33" s="55"/>
      <c r="G33" s="56"/>
      <c r="H33" s="11"/>
    </row>
    <row r="34" spans="4:8">
      <c r="D34" s="55"/>
      <c r="E34" s="56"/>
      <c r="F34" s="55"/>
      <c r="G34" s="56"/>
      <c r="H34" s="11"/>
    </row>
    <row r="35" spans="4:8">
      <c r="D35" s="55"/>
      <c r="E35" s="56"/>
      <c r="F35" s="55"/>
      <c r="G35" s="56"/>
      <c r="H35" s="11"/>
    </row>
    <row r="36" spans="4:8">
      <c r="D36" s="55"/>
      <c r="E36" s="56"/>
      <c r="F36" s="55"/>
      <c r="G36" s="56"/>
      <c r="H36" s="11"/>
    </row>
    <row r="37" spans="4:8">
      <c r="D37" s="55"/>
      <c r="E37" s="56"/>
      <c r="F37" s="55"/>
      <c r="G37" s="56"/>
      <c r="H37" s="11"/>
    </row>
    <row r="38" spans="4:8">
      <c r="D38" s="55"/>
      <c r="E38" s="56"/>
      <c r="F38" s="55"/>
      <c r="G38" s="56"/>
      <c r="H38" s="11"/>
    </row>
    <row r="39" spans="4:8">
      <c r="D39" s="55"/>
      <c r="E39" s="56"/>
      <c r="F39" s="55"/>
      <c r="G39" s="56"/>
      <c r="H39" s="11"/>
    </row>
    <row r="40" spans="4:8">
      <c r="D40" s="55"/>
      <c r="E40" s="56"/>
      <c r="F40" s="55"/>
      <c r="G40" s="56"/>
    </row>
    <row r="41" spans="4:8">
      <c r="D41" s="55"/>
      <c r="E41" s="56"/>
      <c r="F41" s="55"/>
      <c r="G41" s="56"/>
    </row>
    <row r="42" spans="4:8">
      <c r="D42" s="55"/>
    </row>
    <row r="43" spans="4:8">
      <c r="D43" s="55"/>
      <c r="E43" s="56"/>
      <c r="F43" s="55"/>
      <c r="G43" s="56"/>
    </row>
  </sheetData>
  <mergeCells count="5">
    <mergeCell ref="O23:O25"/>
    <mergeCell ref="P26:S26"/>
    <mergeCell ref="P4:S22"/>
    <mergeCell ref="P1:S1"/>
    <mergeCell ref="P23:S25"/>
  </mergeCells>
  <conditionalFormatting sqref="B20">
    <cfRule type="expression" dxfId="34" priority="201">
      <formula>$F26="x"</formula>
    </cfRule>
  </conditionalFormatting>
  <conditionalFormatting sqref="C20:F20 I20:J20 B23:M23 F24:G24 F25 D27:H39 D31:F41 D40:G41 D42 D43:G43">
    <cfRule type="expression" dxfId="33" priority="2">
      <formula>#REF!="x"</formula>
    </cfRule>
  </conditionalFormatting>
  <conditionalFormatting sqref="E25">
    <cfRule type="expression" dxfId="32" priority="4">
      <formula>$F25="x"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16"/>
  <dimension ref="A1:G40"/>
  <sheetViews>
    <sheetView workbookViewId="0">
      <selection activeCell="F42" sqref="F42"/>
    </sheetView>
  </sheetViews>
  <sheetFormatPr defaultRowHeight="15"/>
  <cols>
    <col min="1" max="1" width="34.42578125" bestFit="1" customWidth="1"/>
    <col min="2" max="2" width="18.28515625" style="44" bestFit="1" customWidth="1"/>
    <col min="3" max="3" width="68.42578125" bestFit="1" customWidth="1"/>
    <col min="4" max="4" width="15.28515625" customWidth="1"/>
    <col min="5" max="5" width="7" customWidth="1"/>
    <col min="6" max="6" width="76.28515625" bestFit="1" customWidth="1"/>
    <col min="7" max="7" width="44.140625" bestFit="1" customWidth="1"/>
  </cols>
  <sheetData>
    <row r="1" spans="1:7" ht="45" customHeight="1">
      <c r="A1" s="109" t="s">
        <v>2814</v>
      </c>
      <c r="B1" s="109" t="s">
        <v>3005</v>
      </c>
      <c r="C1" s="109" t="s">
        <v>3006</v>
      </c>
      <c r="D1" s="110" t="s">
        <v>3007</v>
      </c>
      <c r="E1" s="110" t="s">
        <v>3008</v>
      </c>
      <c r="F1" s="109" t="s">
        <v>3009</v>
      </c>
      <c r="G1" s="109" t="s">
        <v>3010</v>
      </c>
    </row>
    <row r="2" spans="1:7">
      <c r="A2" s="111" t="s">
        <v>2631</v>
      </c>
      <c r="B2" s="44">
        <v>45838</v>
      </c>
      <c r="C2" s="112" t="s">
        <v>3011</v>
      </c>
      <c r="D2" s="113">
        <v>2192.41</v>
      </c>
      <c r="E2" s="97" t="s">
        <v>3012</v>
      </c>
      <c r="F2" t="s">
        <v>3013</v>
      </c>
      <c r="G2" s="112" t="s">
        <v>2566</v>
      </c>
    </row>
    <row r="3" spans="1:7">
      <c r="A3" s="114" t="s">
        <v>2055</v>
      </c>
      <c r="B3" s="44">
        <v>45854</v>
      </c>
      <c r="C3" s="112" t="s">
        <v>3014</v>
      </c>
      <c r="D3" s="113">
        <v>2072.13</v>
      </c>
      <c r="E3" s="97" t="s">
        <v>3015</v>
      </c>
      <c r="F3" t="s">
        <v>3016</v>
      </c>
      <c r="G3" s="112" t="s">
        <v>3017</v>
      </c>
    </row>
    <row r="4" spans="1:7">
      <c r="A4" s="114" t="s">
        <v>2084</v>
      </c>
      <c r="B4" s="44" t="s">
        <v>3018</v>
      </c>
      <c r="C4" s="112" t="s">
        <v>3019</v>
      </c>
      <c r="D4" s="113">
        <v>2024.41</v>
      </c>
      <c r="E4" s="113"/>
      <c r="F4" s="112" t="s">
        <v>3020</v>
      </c>
      <c r="G4" s="112" t="s">
        <v>3021</v>
      </c>
    </row>
    <row r="5" spans="1:7">
      <c r="A5" s="114" t="s">
        <v>3022</v>
      </c>
      <c r="C5" s="112" t="s">
        <v>3023</v>
      </c>
      <c r="D5" s="113">
        <v>2934</v>
      </c>
      <c r="F5" s="112" t="s">
        <v>3024</v>
      </c>
      <c r="G5" s="112" t="s">
        <v>3017</v>
      </c>
    </row>
    <row r="6" spans="1:7">
      <c r="A6" s="111" t="s">
        <v>3025</v>
      </c>
      <c r="C6" s="112" t="s">
        <v>3026</v>
      </c>
      <c r="D6">
        <v>221.22</v>
      </c>
      <c r="F6" s="115" t="s">
        <v>3027</v>
      </c>
    </row>
    <row r="7" spans="1:7">
      <c r="A7" s="116" t="s">
        <v>2554</v>
      </c>
      <c r="B7" s="44">
        <v>45846</v>
      </c>
      <c r="C7" s="112" t="s">
        <v>3028</v>
      </c>
      <c r="D7" s="117">
        <v>1450</v>
      </c>
      <c r="F7" t="s">
        <v>3029</v>
      </c>
    </row>
    <row r="8" spans="1:7">
      <c r="A8" s="114" t="s">
        <v>3030</v>
      </c>
      <c r="B8" s="44">
        <v>45859</v>
      </c>
      <c r="C8" s="112" t="s">
        <v>3031</v>
      </c>
      <c r="D8" s="113">
        <v>1100</v>
      </c>
      <c r="F8" s="118" t="s">
        <v>3032</v>
      </c>
      <c r="G8" s="112" t="s">
        <v>3033</v>
      </c>
    </row>
    <row r="9" spans="1:7">
      <c r="A9" s="116" t="s">
        <v>3034</v>
      </c>
      <c r="B9" s="44">
        <v>45838</v>
      </c>
      <c r="C9" s="112" t="s">
        <v>3011</v>
      </c>
      <c r="D9" s="117">
        <v>7000</v>
      </c>
      <c r="E9" s="97" t="s">
        <v>3035</v>
      </c>
      <c r="F9" s="112" t="s">
        <v>3029</v>
      </c>
      <c r="G9" s="112" t="s">
        <v>3017</v>
      </c>
    </row>
    <row r="10" spans="1:7">
      <c r="A10" s="114" t="s">
        <v>2612</v>
      </c>
      <c r="C10" s="112" t="s">
        <v>3036</v>
      </c>
      <c r="D10" s="113">
        <v>634.4</v>
      </c>
      <c r="E10" s="97" t="s">
        <v>3037</v>
      </c>
      <c r="F10" t="s">
        <v>3038</v>
      </c>
      <c r="G10" s="112" t="s">
        <v>3017</v>
      </c>
    </row>
    <row r="11" spans="1:7">
      <c r="A11" s="116" t="s">
        <v>3039</v>
      </c>
      <c r="B11" s="44">
        <v>45721</v>
      </c>
      <c r="C11" s="112" t="s">
        <v>3040</v>
      </c>
      <c r="D11" s="117">
        <v>1345.64</v>
      </c>
      <c r="E11" s="119" t="s">
        <v>3041</v>
      </c>
      <c r="F11" s="112" t="s">
        <v>3042</v>
      </c>
      <c r="G11" s="112" t="s">
        <v>3043</v>
      </c>
    </row>
    <row r="12" spans="1:7">
      <c r="A12" s="114" t="s">
        <v>2164</v>
      </c>
      <c r="B12" s="44">
        <v>45575</v>
      </c>
      <c r="C12" s="112" t="s">
        <v>3044</v>
      </c>
      <c r="D12" s="113">
        <v>47000</v>
      </c>
      <c r="E12" s="119" t="s">
        <v>3045</v>
      </c>
      <c r="F12" s="112" t="s">
        <v>3046</v>
      </c>
      <c r="G12" s="112" t="s">
        <v>3017</v>
      </c>
    </row>
    <row r="13" spans="1:7">
      <c r="A13" s="120" t="s">
        <v>2559</v>
      </c>
      <c r="B13" s="44">
        <v>45839</v>
      </c>
      <c r="C13" s="42" t="s">
        <v>3047</v>
      </c>
      <c r="D13" s="60">
        <v>1162.73</v>
      </c>
      <c r="E13" s="121" t="s">
        <v>3048</v>
      </c>
      <c r="F13" s="42" t="s">
        <v>3049</v>
      </c>
      <c r="G13" s="42" t="s">
        <v>3017</v>
      </c>
    </row>
    <row r="14" spans="1:7">
      <c r="A14" s="114" t="s">
        <v>2215</v>
      </c>
      <c r="B14" s="44">
        <v>45292</v>
      </c>
      <c r="C14" s="112" t="s">
        <v>3050</v>
      </c>
      <c r="D14" s="113">
        <f>75000+5492</f>
        <v>80492</v>
      </c>
      <c r="E14" s="119" t="s">
        <v>3051</v>
      </c>
      <c r="F14" s="112" t="s">
        <v>3052</v>
      </c>
      <c r="G14" s="112" t="s">
        <v>3017</v>
      </c>
    </row>
    <row r="15" spans="1:7">
      <c r="A15" s="114" t="s">
        <v>3053</v>
      </c>
      <c r="B15" s="44">
        <v>45630</v>
      </c>
      <c r="C15" s="112" t="s">
        <v>3054</v>
      </c>
      <c r="D15" s="113">
        <v>5908.83</v>
      </c>
      <c r="E15" s="113"/>
      <c r="F15" s="112" t="s">
        <v>3055</v>
      </c>
      <c r="G15" s="112" t="s">
        <v>3017</v>
      </c>
    </row>
    <row r="16" spans="1:7">
      <c r="A16" s="112" t="s">
        <v>3056</v>
      </c>
      <c r="B16" s="44">
        <v>45443</v>
      </c>
      <c r="C16" s="112" t="s">
        <v>3054</v>
      </c>
      <c r="D16" s="113">
        <v>139</v>
      </c>
      <c r="E16" s="113"/>
      <c r="F16" s="112" t="s">
        <v>3057</v>
      </c>
      <c r="G16" s="112" t="s">
        <v>3017</v>
      </c>
    </row>
    <row r="17" spans="1:7">
      <c r="A17" s="116" t="s">
        <v>3058</v>
      </c>
      <c r="B17" s="44">
        <v>45845</v>
      </c>
      <c r="C17" s="112" t="s">
        <v>3059</v>
      </c>
      <c r="D17" s="117">
        <v>150</v>
      </c>
      <c r="E17" s="97" t="s">
        <v>3060</v>
      </c>
      <c r="F17" s="112" t="s">
        <v>3061</v>
      </c>
      <c r="G17" s="112" t="s">
        <v>3017</v>
      </c>
    </row>
    <row r="18" spans="1:7">
      <c r="A18" s="116" t="s">
        <v>3062</v>
      </c>
      <c r="B18" s="44">
        <v>45829</v>
      </c>
      <c r="C18" s="112" t="s">
        <v>3063</v>
      </c>
      <c r="D18" s="117">
        <v>2300.0889999999999</v>
      </c>
      <c r="F18" s="112" t="s">
        <v>3029</v>
      </c>
      <c r="G18" s="112" t="s">
        <v>3017</v>
      </c>
    </row>
    <row r="19" spans="1:7" ht="30" customHeight="1">
      <c r="A19" s="116" t="s">
        <v>3064</v>
      </c>
      <c r="B19" s="44">
        <v>45823</v>
      </c>
      <c r="C19" s="112" t="s">
        <v>3065</v>
      </c>
      <c r="D19" s="117">
        <v>12667.41</v>
      </c>
      <c r="F19" s="112" t="s">
        <v>3066</v>
      </c>
      <c r="G19" s="122" t="s">
        <v>3067</v>
      </c>
    </row>
    <row r="20" spans="1:7">
      <c r="A20" s="114" t="s">
        <v>2270</v>
      </c>
      <c r="B20" s="44">
        <v>45731</v>
      </c>
      <c r="C20" s="112" t="s">
        <v>3068</v>
      </c>
      <c r="D20" s="113">
        <v>118017.2</v>
      </c>
      <c r="E20" s="119" t="s">
        <v>3069</v>
      </c>
      <c r="F20" s="112" t="s">
        <v>3070</v>
      </c>
      <c r="G20" s="112" t="s">
        <v>3071</v>
      </c>
    </row>
    <row r="21" spans="1:7">
      <c r="A21" s="114" t="s">
        <v>2399</v>
      </c>
      <c r="B21" s="44" t="s">
        <v>3018</v>
      </c>
      <c r="C21" s="112" t="s">
        <v>3072</v>
      </c>
      <c r="D21" s="113">
        <v>29000</v>
      </c>
      <c r="E21" s="119" t="s">
        <v>3073</v>
      </c>
      <c r="F21" s="112" t="s">
        <v>3074</v>
      </c>
      <c r="G21" s="112" t="s">
        <v>3017</v>
      </c>
    </row>
    <row r="22" spans="1:7">
      <c r="A22" s="116" t="s">
        <v>3075</v>
      </c>
      <c r="B22" s="44">
        <v>45839</v>
      </c>
      <c r="C22" s="112" t="s">
        <v>3076</v>
      </c>
      <c r="D22" s="117">
        <v>2216.04</v>
      </c>
      <c r="E22" s="97" t="s">
        <v>3077</v>
      </c>
      <c r="F22" s="112" t="s">
        <v>3029</v>
      </c>
      <c r="G22" s="112" t="s">
        <v>3078</v>
      </c>
    </row>
    <row r="23" spans="1:7">
      <c r="A23" s="116" t="s">
        <v>3079</v>
      </c>
      <c r="B23" s="44">
        <v>45839</v>
      </c>
      <c r="C23" s="112" t="s">
        <v>3080</v>
      </c>
      <c r="D23" s="117">
        <v>1378.6</v>
      </c>
      <c r="E23" s="97" t="s">
        <v>3081</v>
      </c>
      <c r="F23" s="112" t="s">
        <v>3029</v>
      </c>
      <c r="G23" s="112" t="s">
        <v>3017</v>
      </c>
    </row>
    <row r="24" spans="1:7">
      <c r="A24" s="114" t="s">
        <v>2289</v>
      </c>
      <c r="B24" s="44" t="s">
        <v>3018</v>
      </c>
      <c r="C24" s="112" t="s">
        <v>3082</v>
      </c>
      <c r="D24" s="113">
        <v>12600</v>
      </c>
      <c r="E24" s="119" t="s">
        <v>3083</v>
      </c>
      <c r="F24" s="112" t="s">
        <v>3084</v>
      </c>
      <c r="G24" s="112" t="s">
        <v>3017</v>
      </c>
    </row>
    <row r="25" spans="1:7">
      <c r="A25" s="111" t="s">
        <v>2293</v>
      </c>
      <c r="B25" s="44">
        <v>45629</v>
      </c>
      <c r="C25" s="112" t="s">
        <v>3085</v>
      </c>
      <c r="D25" s="113">
        <v>12200</v>
      </c>
      <c r="E25" s="119" t="s">
        <v>3086</v>
      </c>
      <c r="F25" s="112" t="s">
        <v>3087</v>
      </c>
      <c r="G25" s="112" t="s">
        <v>3017</v>
      </c>
    </row>
    <row r="26" spans="1:7" ht="30" customHeight="1">
      <c r="A26" s="111" t="s">
        <v>2298</v>
      </c>
      <c r="B26" s="44">
        <v>45817</v>
      </c>
      <c r="C26" s="112" t="s">
        <v>3088</v>
      </c>
      <c r="D26" s="113">
        <v>1611.8</v>
      </c>
      <c r="E26" s="97" t="s">
        <v>3089</v>
      </c>
      <c r="F26" s="122" t="s">
        <v>3090</v>
      </c>
      <c r="G26" s="112" t="s">
        <v>3091</v>
      </c>
    </row>
    <row r="27" spans="1:7">
      <c r="A27" s="116" t="s">
        <v>2300</v>
      </c>
      <c r="B27" s="44">
        <v>45734</v>
      </c>
      <c r="C27" s="112" t="s">
        <v>3092</v>
      </c>
      <c r="D27" s="117">
        <v>1300</v>
      </c>
      <c r="E27" s="119" t="s">
        <v>3093</v>
      </c>
      <c r="F27" s="112" t="s">
        <v>3094</v>
      </c>
      <c r="G27" s="112" t="s">
        <v>3017</v>
      </c>
    </row>
    <row r="28" spans="1:7">
      <c r="A28" s="111" t="s">
        <v>2871</v>
      </c>
      <c r="B28" s="44">
        <v>45787</v>
      </c>
      <c r="C28" s="112" t="s">
        <v>3044</v>
      </c>
      <c r="D28" s="113">
        <v>100000</v>
      </c>
      <c r="E28" s="97" t="s">
        <v>3095</v>
      </c>
      <c r="F28" s="112" t="s">
        <v>3096</v>
      </c>
      <c r="G28" s="112" t="s">
        <v>3017</v>
      </c>
    </row>
    <row r="29" spans="1:7">
      <c r="A29" s="116" t="s">
        <v>3097</v>
      </c>
      <c r="B29" s="44" t="s">
        <v>3018</v>
      </c>
      <c r="C29" s="112" t="s">
        <v>3098</v>
      </c>
      <c r="D29" s="117">
        <v>500</v>
      </c>
      <c r="E29" s="119" t="s">
        <v>3099</v>
      </c>
      <c r="F29" s="112" t="s">
        <v>3100</v>
      </c>
      <c r="G29" s="112" t="s">
        <v>3101</v>
      </c>
    </row>
    <row r="30" spans="1:7">
      <c r="A30" s="123" t="s">
        <v>2312</v>
      </c>
      <c r="B30" s="44">
        <v>45761</v>
      </c>
      <c r="C30" s="112" t="s">
        <v>3102</v>
      </c>
      <c r="D30" s="117">
        <v>3850</v>
      </c>
      <c r="E30" s="119" t="s">
        <v>3103</v>
      </c>
      <c r="F30" s="112" t="s">
        <v>3104</v>
      </c>
      <c r="G30" s="112" t="s">
        <v>3101</v>
      </c>
    </row>
    <row r="31" spans="1:7">
      <c r="A31" s="124" t="s">
        <v>2314</v>
      </c>
      <c r="B31" s="58">
        <v>45821</v>
      </c>
      <c r="C31" s="112" t="s">
        <v>2563</v>
      </c>
      <c r="D31" s="59">
        <v>1447.7</v>
      </c>
      <c r="F31" s="114" t="s">
        <v>3105</v>
      </c>
    </row>
    <row r="32" spans="1:7">
      <c r="A32" s="114" t="s">
        <v>2327</v>
      </c>
      <c r="D32" s="113">
        <v>2215.7600000000002</v>
      </c>
      <c r="F32" s="112" t="s">
        <v>3106</v>
      </c>
    </row>
    <row r="33" spans="1:7">
      <c r="A33" s="114" t="s">
        <v>2331</v>
      </c>
      <c r="B33" s="44">
        <v>45728</v>
      </c>
      <c r="C33" s="112" t="s">
        <v>3044</v>
      </c>
      <c r="D33" s="113">
        <v>43375</v>
      </c>
      <c r="E33" s="119" t="s">
        <v>3107</v>
      </c>
      <c r="F33" s="112" t="s">
        <v>3108</v>
      </c>
      <c r="G33" s="112" t="s">
        <v>3017</v>
      </c>
    </row>
    <row r="34" spans="1:7">
      <c r="A34" s="111" t="s">
        <v>3109</v>
      </c>
      <c r="D34" s="113">
        <v>345.34</v>
      </c>
      <c r="F34" s="112" t="s">
        <v>3110</v>
      </c>
    </row>
    <row r="35" spans="1:7" ht="30" customHeight="1">
      <c r="A35" s="111" t="s">
        <v>2360</v>
      </c>
      <c r="B35" s="44">
        <v>45582</v>
      </c>
      <c r="C35" s="112" t="s">
        <v>3111</v>
      </c>
      <c r="D35" s="113">
        <v>1236.82</v>
      </c>
      <c r="E35" s="119" t="s">
        <v>2881</v>
      </c>
      <c r="F35" s="122" t="s">
        <v>3112</v>
      </c>
      <c r="G35" s="112" t="s">
        <v>3113</v>
      </c>
    </row>
    <row r="36" spans="1:7">
      <c r="A36" t="s">
        <v>3114</v>
      </c>
      <c r="B36" s="44">
        <v>45856</v>
      </c>
      <c r="C36" t="s">
        <v>3115</v>
      </c>
      <c r="D36" s="113">
        <v>6900</v>
      </c>
      <c r="F36" s="112" t="s">
        <v>3116</v>
      </c>
      <c r="G36" t="s">
        <v>3017</v>
      </c>
    </row>
    <row r="37" spans="1:7">
      <c r="A37" t="s">
        <v>2553</v>
      </c>
      <c r="B37" s="44">
        <v>45884</v>
      </c>
      <c r="D37" s="113">
        <v>1944.42</v>
      </c>
      <c r="E37" s="97" t="s">
        <v>3117</v>
      </c>
      <c r="F37" s="112" t="s">
        <v>3118</v>
      </c>
      <c r="G37" s="112" t="s">
        <v>3017</v>
      </c>
    </row>
    <row r="38" spans="1:7">
      <c r="A38" t="s">
        <v>2554</v>
      </c>
      <c r="B38" s="44">
        <v>45908</v>
      </c>
      <c r="D38" s="113">
        <v>870</v>
      </c>
      <c r="G38" t="s">
        <v>3017</v>
      </c>
    </row>
    <row r="39" spans="1:7">
      <c r="A39" t="s">
        <v>2831</v>
      </c>
      <c r="B39" s="44">
        <v>45926</v>
      </c>
      <c r="C39" t="s">
        <v>3119</v>
      </c>
      <c r="D39" s="113">
        <v>3575</v>
      </c>
      <c r="F39" s="112" t="s">
        <v>3120</v>
      </c>
      <c r="G39" s="112" t="s">
        <v>3017</v>
      </c>
    </row>
    <row r="40" spans="1:7">
      <c r="A40" t="s">
        <v>3121</v>
      </c>
      <c r="B40" s="44">
        <v>45980</v>
      </c>
      <c r="C40" t="s">
        <v>3122</v>
      </c>
      <c r="D40" t="e">
        <f>#REF!</f>
        <v>#REF!</v>
      </c>
      <c r="F40" s="112" t="s">
        <v>3123</v>
      </c>
      <c r="G40" t="s">
        <v>3017</v>
      </c>
    </row>
  </sheetData>
  <hyperlinks>
    <hyperlink ref="E2" r:id="rId1" xr:uid="{00000000-0004-0000-0D00-000000000000}"/>
    <hyperlink ref="E3" r:id="rId2" xr:uid="{00000000-0004-0000-0D00-000001000000}"/>
    <hyperlink ref="E9" r:id="rId3" xr:uid="{00000000-0004-0000-0D00-000002000000}"/>
    <hyperlink ref="E10" r:id="rId4" xr:uid="{00000000-0004-0000-0D00-000003000000}"/>
    <hyperlink ref="E11" r:id="rId5" xr:uid="{00000000-0004-0000-0D00-000004000000}"/>
    <hyperlink ref="E12" r:id="rId6" xr:uid="{00000000-0004-0000-0D00-000005000000}"/>
    <hyperlink ref="E13" r:id="rId7" xr:uid="{00000000-0004-0000-0D00-000006000000}"/>
    <hyperlink ref="E14" r:id="rId8" xr:uid="{00000000-0004-0000-0D00-000007000000}"/>
    <hyperlink ref="E17" r:id="rId9" xr:uid="{00000000-0004-0000-0D00-000008000000}"/>
    <hyperlink ref="E20" r:id="rId10" xr:uid="{00000000-0004-0000-0D00-000009000000}"/>
    <hyperlink ref="E21" r:id="rId11" xr:uid="{00000000-0004-0000-0D00-00000A000000}"/>
    <hyperlink ref="E22" r:id="rId12" xr:uid="{00000000-0004-0000-0D00-00000B000000}"/>
    <hyperlink ref="E23" r:id="rId13" xr:uid="{00000000-0004-0000-0D00-00000C000000}"/>
    <hyperlink ref="E24" r:id="rId14" xr:uid="{00000000-0004-0000-0D00-00000D000000}"/>
    <hyperlink ref="E25" r:id="rId15" xr:uid="{00000000-0004-0000-0D00-00000E000000}"/>
    <hyperlink ref="E26" r:id="rId16" xr:uid="{00000000-0004-0000-0D00-00000F000000}"/>
    <hyperlink ref="E27" r:id="rId17" xr:uid="{00000000-0004-0000-0D00-000010000000}"/>
    <hyperlink ref="E28" r:id="rId18" xr:uid="{00000000-0004-0000-0D00-000011000000}"/>
    <hyperlink ref="E29" r:id="rId19" xr:uid="{00000000-0004-0000-0D00-000012000000}"/>
    <hyperlink ref="E30" r:id="rId20" xr:uid="{00000000-0004-0000-0D00-000013000000}"/>
    <hyperlink ref="E33" r:id="rId21" xr:uid="{00000000-0004-0000-0D00-000014000000}"/>
    <hyperlink ref="E35" r:id="rId22" xr:uid="{00000000-0004-0000-0D00-000015000000}"/>
    <hyperlink ref="E37" r:id="rId23" xr:uid="{00000000-0004-0000-0D00-000016000000}"/>
  </hyperlinks>
  <pageMargins left="0.7" right="0.7" top="0.75" bottom="0.75" header="0.3" footer="0.3"/>
  <pageSetup paperSize="9" orientation="portrait" r:id="rId2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17" filterMode="1">
    <pageSetUpPr fitToPage="1"/>
  </sheetPr>
  <dimension ref="A1:N191"/>
  <sheetViews>
    <sheetView zoomScaleNormal="100" workbookViewId="0">
      <pane ySplit="1" topLeftCell="A136" activePane="bottomLeft" state="frozen"/>
      <selection activeCell="E188" sqref="E188"/>
      <selection pane="bottomLeft" activeCell="J1" sqref="J1:N1048576"/>
    </sheetView>
  </sheetViews>
  <sheetFormatPr defaultRowHeight="15.75"/>
  <cols>
    <col min="1" max="1" width="29.5703125" style="67" customWidth="1"/>
    <col min="2" max="2" width="28.140625" bestFit="1" customWidth="1"/>
    <col min="3" max="3" width="15.28515625" style="4" bestFit="1" customWidth="1"/>
    <col min="4" max="4" width="13.85546875" style="65" bestFit="1" customWidth="1"/>
    <col min="10" max="10" width="31.140625" style="67" customWidth="1"/>
    <col min="11" max="11" width="28.140625" bestFit="1" customWidth="1"/>
    <col min="12" max="12" width="14.7109375" style="4" bestFit="1" customWidth="1"/>
    <col min="13" max="13" width="9.140625" style="65" customWidth="1"/>
    <col min="14" max="14" width="46" bestFit="1" customWidth="1"/>
    <col min="18" max="18" width="1.85546875" customWidth="1"/>
  </cols>
  <sheetData>
    <row r="1" spans="1:14" ht="20.100000000000001" customHeight="1">
      <c r="A1" s="50" t="s">
        <v>2428</v>
      </c>
      <c r="B1" s="1" t="s">
        <v>2497</v>
      </c>
      <c r="C1" s="1" t="s">
        <v>2498</v>
      </c>
      <c r="D1" s="8" t="s">
        <v>2426</v>
      </c>
      <c r="J1" s="132" t="s">
        <v>2428</v>
      </c>
      <c r="K1" s="133" t="s">
        <v>2497</v>
      </c>
      <c r="L1" s="133" t="s">
        <v>2498</v>
      </c>
      <c r="M1" s="133" t="s">
        <v>2426</v>
      </c>
      <c r="N1" s="134"/>
    </row>
    <row r="2" spans="1:14" ht="20.100000000000001" customHeight="1">
      <c r="A2" s="67">
        <v>45960</v>
      </c>
      <c r="B2" t="s">
        <v>3124</v>
      </c>
      <c r="C2" s="4">
        <f>8200/2</f>
        <v>4100</v>
      </c>
      <c r="D2" s="65" t="s">
        <v>2427</v>
      </c>
      <c r="J2" s="135">
        <v>45960</v>
      </c>
      <c r="K2" s="134" t="s">
        <v>3124</v>
      </c>
      <c r="L2" s="136">
        <f>8200/2</f>
        <v>4100</v>
      </c>
      <c r="M2" s="137" t="s">
        <v>2427</v>
      </c>
      <c r="N2" s="134" t="s">
        <v>3125</v>
      </c>
    </row>
    <row r="3" spans="1:14" ht="20.100000000000001" customHeight="1">
      <c r="A3" s="67">
        <v>46021</v>
      </c>
      <c r="B3" t="s">
        <v>3124</v>
      </c>
      <c r="C3" s="4">
        <f>8200/2</f>
        <v>4100</v>
      </c>
      <c r="D3" s="65" t="s">
        <v>2427</v>
      </c>
      <c r="J3" s="135">
        <v>46021</v>
      </c>
      <c r="K3" s="134" t="s">
        <v>3124</v>
      </c>
      <c r="L3" s="136">
        <f>8200/2</f>
        <v>4100</v>
      </c>
      <c r="M3" s="137" t="s">
        <v>2427</v>
      </c>
      <c r="N3" s="134" t="s">
        <v>3125</v>
      </c>
    </row>
    <row r="4" spans="1:14" ht="20.100000000000001" customHeight="1">
      <c r="A4" s="67">
        <v>46233</v>
      </c>
      <c r="B4" t="s">
        <v>3126</v>
      </c>
      <c r="C4" s="4">
        <v>1390</v>
      </c>
      <c r="D4" s="65" t="s">
        <v>2427</v>
      </c>
      <c r="J4" s="135">
        <v>46233</v>
      </c>
      <c r="K4" s="134" t="s">
        <v>3126</v>
      </c>
      <c r="L4" s="136">
        <v>1390</v>
      </c>
      <c r="M4" s="137" t="s">
        <v>2427</v>
      </c>
      <c r="N4" s="134"/>
    </row>
    <row r="5" spans="1:14" ht="20.100000000000001" customHeight="1">
      <c r="A5" s="67">
        <v>46233</v>
      </c>
      <c r="B5" t="s">
        <v>2631</v>
      </c>
      <c r="C5" s="4">
        <v>2192</v>
      </c>
      <c r="D5" s="65" t="s">
        <v>2427</v>
      </c>
      <c r="J5" s="135">
        <v>46233</v>
      </c>
      <c r="K5" s="134" t="s">
        <v>2631</v>
      </c>
      <c r="L5" s="136">
        <v>2192</v>
      </c>
      <c r="M5" s="137" t="s">
        <v>2427</v>
      </c>
      <c r="N5" s="134"/>
    </row>
    <row r="6" spans="1:14" ht="20.100000000000001" customHeight="1">
      <c r="A6" s="67">
        <v>45938</v>
      </c>
      <c r="B6" t="s">
        <v>2536</v>
      </c>
      <c r="C6" s="4">
        <v>49920</v>
      </c>
      <c r="D6" s="65" t="s">
        <v>2427</v>
      </c>
      <c r="J6" s="135">
        <v>45938</v>
      </c>
      <c r="K6" s="134" t="s">
        <v>2536</v>
      </c>
      <c r="L6" s="136">
        <v>49920</v>
      </c>
      <c r="M6" s="137" t="s">
        <v>2427</v>
      </c>
      <c r="N6" s="134"/>
    </row>
    <row r="7" spans="1:14" ht="20.100000000000001" customHeight="1">
      <c r="A7" s="67">
        <v>45936</v>
      </c>
      <c r="B7" t="s">
        <v>2535</v>
      </c>
      <c r="C7" s="4">
        <v>18720</v>
      </c>
      <c r="D7" s="65" t="s">
        <v>2427</v>
      </c>
      <c r="J7" s="67">
        <v>45936</v>
      </c>
      <c r="K7" t="s">
        <v>2535</v>
      </c>
      <c r="L7" s="4">
        <v>18720</v>
      </c>
      <c r="M7" s="140" t="s">
        <v>49</v>
      </c>
    </row>
    <row r="8" spans="1:14" ht="20.100000000000001" hidden="1" customHeight="1">
      <c r="A8" s="67">
        <v>45951</v>
      </c>
      <c r="B8" t="s">
        <v>2581</v>
      </c>
      <c r="C8" s="4">
        <v>95000</v>
      </c>
      <c r="D8" s="65" t="s">
        <v>2527</v>
      </c>
      <c r="J8" s="67">
        <v>45951</v>
      </c>
      <c r="K8" t="s">
        <v>2581</v>
      </c>
      <c r="L8" s="4">
        <v>95000</v>
      </c>
      <c r="M8" s="65" t="s">
        <v>2527</v>
      </c>
    </row>
    <row r="9" spans="1:14" ht="20.100000000000001" customHeight="1">
      <c r="A9" s="67">
        <v>46233</v>
      </c>
      <c r="B9" t="s">
        <v>2721</v>
      </c>
      <c r="C9" s="4">
        <v>602</v>
      </c>
      <c r="D9" s="65" t="s">
        <v>2427</v>
      </c>
      <c r="J9" s="135">
        <v>46233</v>
      </c>
      <c r="K9" s="134" t="s">
        <v>2721</v>
      </c>
      <c r="L9" s="136">
        <v>602</v>
      </c>
      <c r="M9" s="137" t="s">
        <v>2427</v>
      </c>
      <c r="N9" s="134"/>
    </row>
    <row r="10" spans="1:14" ht="20.100000000000001" customHeight="1">
      <c r="A10" s="67">
        <v>46233</v>
      </c>
      <c r="B10" t="s">
        <v>3127</v>
      </c>
      <c r="C10" s="4">
        <v>2104.35</v>
      </c>
      <c r="D10" s="65" t="s">
        <v>2427</v>
      </c>
      <c r="J10" s="135">
        <v>46233</v>
      </c>
      <c r="K10" s="134" t="s">
        <v>3127</v>
      </c>
      <c r="L10" s="136">
        <v>2104.35</v>
      </c>
      <c r="M10" s="137" t="s">
        <v>2427</v>
      </c>
      <c r="N10" s="134"/>
    </row>
    <row r="11" spans="1:14" ht="20.100000000000001" customHeight="1">
      <c r="A11" s="67">
        <v>45940</v>
      </c>
      <c r="B11" t="s">
        <v>3128</v>
      </c>
      <c r="C11" s="4">
        <v>1923.2</v>
      </c>
      <c r="D11" s="65" t="s">
        <v>2427</v>
      </c>
      <c r="J11" s="135">
        <v>45940</v>
      </c>
      <c r="K11" s="134" t="s">
        <v>3128</v>
      </c>
      <c r="L11" s="136">
        <v>1923.2</v>
      </c>
      <c r="M11" s="137" t="s">
        <v>2427</v>
      </c>
      <c r="N11" s="134"/>
    </row>
    <row r="12" spans="1:14" ht="20.100000000000001" customHeight="1">
      <c r="A12" s="67">
        <v>45971</v>
      </c>
      <c r="B12" t="s">
        <v>3128</v>
      </c>
      <c r="C12" s="4">
        <v>1812.04</v>
      </c>
      <c r="D12" s="65" t="s">
        <v>2427</v>
      </c>
      <c r="J12" s="135">
        <v>45971</v>
      </c>
      <c r="K12" s="134" t="s">
        <v>3128</v>
      </c>
      <c r="L12" s="136">
        <v>1812.04</v>
      </c>
      <c r="M12" s="137" t="s">
        <v>2427</v>
      </c>
      <c r="N12" s="134"/>
    </row>
    <row r="13" spans="1:14" ht="20.100000000000001" customHeight="1">
      <c r="A13" s="67">
        <v>45960</v>
      </c>
      <c r="B13" t="s">
        <v>3114</v>
      </c>
      <c r="C13" s="4">
        <v>6899.9</v>
      </c>
      <c r="D13" s="65" t="s">
        <v>2427</v>
      </c>
      <c r="J13" s="135">
        <v>45960</v>
      </c>
      <c r="K13" s="134" t="s">
        <v>3114</v>
      </c>
      <c r="L13" s="136">
        <v>6899.9</v>
      </c>
      <c r="M13" s="137" t="s">
        <v>2427</v>
      </c>
      <c r="N13" s="134" t="s">
        <v>3129</v>
      </c>
    </row>
    <row r="14" spans="1:14" ht="20.100000000000001" customHeight="1">
      <c r="A14" s="67">
        <v>46233</v>
      </c>
      <c r="B14" s="7" t="s">
        <v>3130</v>
      </c>
      <c r="C14" s="4">
        <v>1282.19</v>
      </c>
      <c r="D14" s="65" t="s">
        <v>2427</v>
      </c>
      <c r="J14" s="135">
        <v>46233</v>
      </c>
      <c r="K14" s="138" t="s">
        <v>3130</v>
      </c>
      <c r="L14" s="136">
        <v>1282.19</v>
      </c>
      <c r="M14" s="137" t="s">
        <v>2427</v>
      </c>
      <c r="N14" s="134"/>
    </row>
    <row r="15" spans="1:14" ht="20.100000000000001" customHeight="1">
      <c r="A15" s="67">
        <v>46233</v>
      </c>
      <c r="B15" t="s">
        <v>3131</v>
      </c>
      <c r="C15" s="4">
        <v>2024</v>
      </c>
      <c r="D15" s="65" t="s">
        <v>2427</v>
      </c>
      <c r="J15" s="135">
        <v>46233</v>
      </c>
      <c r="K15" s="134" t="s">
        <v>3131</v>
      </c>
      <c r="L15" s="136">
        <v>2024</v>
      </c>
      <c r="M15" s="137" t="s">
        <v>2427</v>
      </c>
      <c r="N15" s="134"/>
    </row>
    <row r="16" spans="1:14" ht="20.100000000000001" customHeight="1">
      <c r="A16" s="67">
        <v>46233</v>
      </c>
      <c r="B16" t="s">
        <v>3132</v>
      </c>
      <c r="C16" s="4">
        <f>3826/3</f>
        <v>1275.3333333333333</v>
      </c>
      <c r="D16" s="65" t="s">
        <v>2427</v>
      </c>
      <c r="J16" s="135">
        <v>46233</v>
      </c>
      <c r="K16" s="134" t="s">
        <v>3132</v>
      </c>
      <c r="L16" s="136">
        <f>3826/3</f>
        <v>1275.3333333333333</v>
      </c>
      <c r="M16" s="137" t="s">
        <v>2427</v>
      </c>
      <c r="N16" s="134" t="s">
        <v>3133</v>
      </c>
    </row>
    <row r="17" spans="1:14" ht="20.100000000000001" customHeight="1">
      <c r="A17" s="67">
        <v>46233</v>
      </c>
      <c r="B17" t="s">
        <v>3132</v>
      </c>
      <c r="C17" s="4">
        <f>3826/3</f>
        <v>1275.3333333333333</v>
      </c>
      <c r="D17" s="65" t="s">
        <v>2427</v>
      </c>
      <c r="J17" s="135">
        <v>46233</v>
      </c>
      <c r="K17" s="134" t="s">
        <v>3132</v>
      </c>
      <c r="L17" s="136">
        <f>3826/3</f>
        <v>1275.3333333333333</v>
      </c>
      <c r="M17" s="137" t="s">
        <v>2427</v>
      </c>
      <c r="N17" s="134" t="s">
        <v>3133</v>
      </c>
    </row>
    <row r="18" spans="1:14" ht="20.100000000000001" customHeight="1">
      <c r="A18" s="67">
        <v>46233</v>
      </c>
      <c r="B18" t="s">
        <v>3132</v>
      </c>
      <c r="C18" s="4">
        <f>3826/3</f>
        <v>1275.3333333333333</v>
      </c>
      <c r="D18" s="65" t="s">
        <v>2427</v>
      </c>
      <c r="J18" s="135">
        <v>46233</v>
      </c>
      <c r="K18" s="134" t="s">
        <v>3132</v>
      </c>
      <c r="L18" s="136">
        <f>3826/3</f>
        <v>1275.3333333333333</v>
      </c>
      <c r="M18" s="137" t="s">
        <v>2427</v>
      </c>
      <c r="N18" s="134" t="s">
        <v>3133</v>
      </c>
    </row>
    <row r="19" spans="1:14" ht="20.100000000000001" customHeight="1">
      <c r="A19" s="67">
        <v>45940</v>
      </c>
      <c r="B19" t="s">
        <v>3134</v>
      </c>
      <c r="C19" s="4">
        <v>684.39</v>
      </c>
      <c r="D19" s="65" t="s">
        <v>2427</v>
      </c>
      <c r="J19" s="135">
        <v>45940</v>
      </c>
      <c r="K19" s="134" t="s">
        <v>3134</v>
      </c>
      <c r="L19" s="136">
        <v>684.39</v>
      </c>
      <c r="M19" s="137" t="s">
        <v>2427</v>
      </c>
      <c r="N19" s="134"/>
    </row>
    <row r="20" spans="1:14" ht="20.100000000000001" customHeight="1">
      <c r="A20" s="67">
        <v>46233</v>
      </c>
      <c r="B20" t="s">
        <v>3135</v>
      </c>
      <c r="C20" s="4">
        <v>20000</v>
      </c>
      <c r="D20" s="65" t="s">
        <v>2427</v>
      </c>
      <c r="J20" s="135">
        <v>46233</v>
      </c>
      <c r="K20" s="134" t="s">
        <v>3135</v>
      </c>
      <c r="L20" s="136">
        <v>20000</v>
      </c>
      <c r="M20" s="137" t="s">
        <v>2427</v>
      </c>
      <c r="N20" s="134" t="s">
        <v>3136</v>
      </c>
    </row>
    <row r="21" spans="1:14" ht="20.100000000000001" customHeight="1">
      <c r="A21" s="67">
        <v>45945</v>
      </c>
      <c r="B21" t="s">
        <v>3137</v>
      </c>
      <c r="C21" s="4">
        <v>1560</v>
      </c>
      <c r="D21" s="65" t="s">
        <v>2427</v>
      </c>
      <c r="J21" s="135">
        <v>45945</v>
      </c>
      <c r="K21" s="134" t="s">
        <v>3137</v>
      </c>
      <c r="L21" s="136">
        <v>1560</v>
      </c>
      <c r="M21" s="137" t="s">
        <v>2427</v>
      </c>
      <c r="N21" s="134" t="s">
        <v>3138</v>
      </c>
    </row>
    <row r="22" spans="1:14" ht="20.100000000000001" customHeight="1">
      <c r="A22" s="67">
        <v>45991</v>
      </c>
      <c r="B22" t="s">
        <v>3137</v>
      </c>
      <c r="C22" s="4">
        <v>1560</v>
      </c>
      <c r="D22" s="65" t="s">
        <v>2427</v>
      </c>
      <c r="J22" s="135">
        <v>45991</v>
      </c>
      <c r="K22" s="134" t="s">
        <v>3137</v>
      </c>
      <c r="L22" s="136">
        <v>1560</v>
      </c>
      <c r="M22" s="137" t="s">
        <v>2427</v>
      </c>
      <c r="N22" s="134" t="s">
        <v>3138</v>
      </c>
    </row>
    <row r="23" spans="1:14" ht="20.100000000000001" customHeight="1">
      <c r="A23" s="67">
        <v>46021</v>
      </c>
      <c r="B23" t="s">
        <v>3137</v>
      </c>
      <c r="C23" s="4">
        <v>880</v>
      </c>
      <c r="D23" s="65" t="s">
        <v>2427</v>
      </c>
      <c r="J23" s="135">
        <v>46021</v>
      </c>
      <c r="K23" s="134" t="s">
        <v>3137</v>
      </c>
      <c r="L23" s="136">
        <v>880</v>
      </c>
      <c r="M23" s="137" t="s">
        <v>2427</v>
      </c>
      <c r="N23" s="134" t="s">
        <v>3138</v>
      </c>
    </row>
    <row r="24" spans="1:14" ht="20.100000000000001" hidden="1" customHeight="1">
      <c r="A24" s="67">
        <v>45961</v>
      </c>
      <c r="B24" t="s">
        <v>1818</v>
      </c>
      <c r="C24" s="4">
        <v>40000</v>
      </c>
      <c r="D24" s="65" t="s">
        <v>2527</v>
      </c>
      <c r="J24" s="67">
        <v>45961</v>
      </c>
      <c r="K24" t="s">
        <v>1818</v>
      </c>
      <c r="L24" s="4">
        <v>40000</v>
      </c>
      <c r="M24" s="65" t="s">
        <v>2527</v>
      </c>
    </row>
    <row r="25" spans="1:14" ht="20.100000000000001" customHeight="1">
      <c r="A25" s="67">
        <v>46233</v>
      </c>
      <c r="B25" t="s">
        <v>2719</v>
      </c>
      <c r="C25" s="4">
        <v>3981</v>
      </c>
      <c r="D25" s="65" t="s">
        <v>2427</v>
      </c>
      <c r="J25" s="67">
        <v>46233</v>
      </c>
      <c r="K25" t="s">
        <v>2719</v>
      </c>
      <c r="L25" s="4">
        <v>3981</v>
      </c>
      <c r="M25" s="140" t="s">
        <v>49</v>
      </c>
      <c r="N25" t="s">
        <v>3139</v>
      </c>
    </row>
    <row r="26" spans="1:14" ht="20.100000000000001" customHeight="1">
      <c r="A26" s="67">
        <v>46233</v>
      </c>
      <c r="B26" t="s">
        <v>2718</v>
      </c>
      <c r="C26" s="4">
        <v>4669.18</v>
      </c>
      <c r="D26" s="65" t="s">
        <v>2427</v>
      </c>
      <c r="J26" s="67">
        <v>46233</v>
      </c>
      <c r="K26" t="s">
        <v>2718</v>
      </c>
      <c r="L26" s="4">
        <v>4669.18</v>
      </c>
      <c r="M26" s="140" t="s">
        <v>49</v>
      </c>
      <c r="N26" t="s">
        <v>3140</v>
      </c>
    </row>
    <row r="27" spans="1:14" ht="20.100000000000001" customHeight="1">
      <c r="A27" s="67">
        <v>45940</v>
      </c>
      <c r="B27" t="s">
        <v>2554</v>
      </c>
      <c r="C27" s="4">
        <v>870</v>
      </c>
      <c r="D27" s="65" t="s">
        <v>2427</v>
      </c>
      <c r="J27" s="135">
        <v>45940</v>
      </c>
      <c r="K27" s="134" t="s">
        <v>2554</v>
      </c>
      <c r="L27" s="136">
        <v>870</v>
      </c>
      <c r="M27" s="137" t="s">
        <v>2427</v>
      </c>
      <c r="N27" s="134"/>
    </row>
    <row r="28" spans="1:14" ht="20.100000000000001" customHeight="1">
      <c r="A28" s="67">
        <v>46233</v>
      </c>
      <c r="B28" t="s">
        <v>2720</v>
      </c>
      <c r="C28" s="4">
        <v>1651</v>
      </c>
      <c r="D28" s="65" t="s">
        <v>2427</v>
      </c>
      <c r="J28" s="135">
        <v>46233</v>
      </c>
      <c r="K28" s="134" t="s">
        <v>2720</v>
      </c>
      <c r="L28" s="136">
        <v>1651</v>
      </c>
      <c r="M28" s="137" t="s">
        <v>2427</v>
      </c>
      <c r="N28" s="134" t="s">
        <v>3141</v>
      </c>
    </row>
    <row r="29" spans="1:14" ht="20.100000000000001" customHeight="1">
      <c r="A29" s="67">
        <v>46233</v>
      </c>
      <c r="B29" t="s">
        <v>3142</v>
      </c>
      <c r="C29" s="4">
        <v>36.6</v>
      </c>
      <c r="D29" s="65" t="s">
        <v>2427</v>
      </c>
      <c r="J29" s="135">
        <v>46233</v>
      </c>
      <c r="K29" s="134" t="s">
        <v>3142</v>
      </c>
      <c r="L29" s="136">
        <v>36.6</v>
      </c>
      <c r="M29" s="137" t="s">
        <v>2427</v>
      </c>
      <c r="N29" s="134"/>
    </row>
    <row r="30" spans="1:14" ht="20.100000000000001" customHeight="1">
      <c r="A30" s="67">
        <v>46233</v>
      </c>
      <c r="B30" t="s">
        <v>3034</v>
      </c>
      <c r="C30" s="4">
        <f>17109.85/3</f>
        <v>5703.2833333333328</v>
      </c>
      <c r="D30" s="65" t="s">
        <v>2427</v>
      </c>
      <c r="J30" s="135">
        <v>46233</v>
      </c>
      <c r="K30" s="134" t="s">
        <v>3034</v>
      </c>
      <c r="L30" s="136">
        <f>17109.85/3</f>
        <v>5703.2833333333328</v>
      </c>
      <c r="M30" s="137" t="s">
        <v>2427</v>
      </c>
      <c r="N30" s="134" t="s">
        <v>3143</v>
      </c>
    </row>
    <row r="31" spans="1:14" ht="20.100000000000001" customHeight="1">
      <c r="A31" s="67">
        <v>46233</v>
      </c>
      <c r="B31" t="s">
        <v>3034</v>
      </c>
      <c r="C31" s="4">
        <f>17109.85/3</f>
        <v>5703.2833333333328</v>
      </c>
      <c r="D31" s="65" t="s">
        <v>2427</v>
      </c>
      <c r="J31" s="135">
        <v>46233</v>
      </c>
      <c r="K31" s="134" t="s">
        <v>3034</v>
      </c>
      <c r="L31" s="136">
        <f>17109.85/3</f>
        <v>5703.2833333333328</v>
      </c>
      <c r="M31" s="137" t="s">
        <v>2427</v>
      </c>
      <c r="N31" s="134" t="s">
        <v>3143</v>
      </c>
    </row>
    <row r="32" spans="1:14" ht="20.100000000000001" customHeight="1">
      <c r="A32" s="67">
        <v>46233</v>
      </c>
      <c r="B32" t="s">
        <v>3034</v>
      </c>
      <c r="C32" s="4">
        <f>17109.85/3</f>
        <v>5703.2833333333328</v>
      </c>
      <c r="D32" s="65" t="s">
        <v>2427</v>
      </c>
      <c r="J32" s="135">
        <v>46233</v>
      </c>
      <c r="K32" s="134" t="s">
        <v>3034</v>
      </c>
      <c r="L32" s="136">
        <f>17109.85/3</f>
        <v>5703.2833333333328</v>
      </c>
      <c r="M32" s="137" t="s">
        <v>2427</v>
      </c>
      <c r="N32" s="134" t="s">
        <v>3143</v>
      </c>
    </row>
    <row r="33" spans="1:14" ht="20.100000000000001" customHeight="1">
      <c r="A33" s="67">
        <v>45940</v>
      </c>
      <c r="B33" t="s">
        <v>2590</v>
      </c>
      <c r="C33" s="4">
        <v>400</v>
      </c>
      <c r="D33" s="65" t="s">
        <v>2427</v>
      </c>
      <c r="J33" s="135">
        <v>45940</v>
      </c>
      <c r="K33" s="134" t="s">
        <v>2590</v>
      </c>
      <c r="L33" s="136">
        <v>400</v>
      </c>
      <c r="M33" s="137" t="s">
        <v>2427</v>
      </c>
      <c r="N33" s="134"/>
    </row>
    <row r="34" spans="1:14" ht="20.100000000000001" customHeight="1">
      <c r="A34" s="67">
        <v>45945</v>
      </c>
      <c r="B34" t="s">
        <v>3144</v>
      </c>
      <c r="C34" s="4">
        <v>2639.48</v>
      </c>
      <c r="D34" s="65" t="s">
        <v>2427</v>
      </c>
      <c r="J34" s="135">
        <v>45945</v>
      </c>
      <c r="K34" s="134" t="s">
        <v>3144</v>
      </c>
      <c r="L34" s="136">
        <v>2639.48</v>
      </c>
      <c r="M34" s="137" t="s">
        <v>2427</v>
      </c>
      <c r="N34" s="134"/>
    </row>
    <row r="35" spans="1:14" ht="20.100000000000001" customHeight="1">
      <c r="A35" s="67">
        <v>46233</v>
      </c>
      <c r="B35" t="s">
        <v>2612</v>
      </c>
      <c r="C35" s="4">
        <v>634.4</v>
      </c>
      <c r="D35" s="65" t="s">
        <v>2427</v>
      </c>
      <c r="J35" s="135">
        <v>46233</v>
      </c>
      <c r="K35" s="134" t="s">
        <v>2612</v>
      </c>
      <c r="L35" s="136">
        <v>634.4</v>
      </c>
      <c r="M35" s="137" t="s">
        <v>2427</v>
      </c>
      <c r="N35" s="134"/>
    </row>
    <row r="36" spans="1:14" ht="20.100000000000001" customHeight="1">
      <c r="A36" s="67">
        <v>45960</v>
      </c>
      <c r="B36" t="s">
        <v>2144</v>
      </c>
      <c r="C36" s="4">
        <v>1358.333333333333</v>
      </c>
      <c r="D36" s="65" t="s">
        <v>2427</v>
      </c>
      <c r="J36" s="135">
        <v>45960</v>
      </c>
      <c r="K36" s="134" t="s">
        <v>2144</v>
      </c>
      <c r="L36" s="136">
        <v>1358.333333333333</v>
      </c>
      <c r="M36" s="137" t="s">
        <v>2427</v>
      </c>
      <c r="N36" s="134" t="s">
        <v>3145</v>
      </c>
    </row>
    <row r="37" spans="1:14" ht="20.100000000000001" customHeight="1">
      <c r="A37" s="67">
        <v>45991</v>
      </c>
      <c r="B37" t="s">
        <v>2144</v>
      </c>
      <c r="C37" s="4">
        <v>1358.333333333333</v>
      </c>
      <c r="D37" s="65" t="s">
        <v>2427</v>
      </c>
      <c r="J37" s="135">
        <v>45991</v>
      </c>
      <c r="K37" s="134" t="s">
        <v>2144</v>
      </c>
      <c r="L37" s="136">
        <v>1358.333333333333</v>
      </c>
      <c r="M37" s="137" t="s">
        <v>2427</v>
      </c>
      <c r="N37" s="134" t="s">
        <v>3145</v>
      </c>
    </row>
    <row r="38" spans="1:14" ht="20.100000000000001" customHeight="1">
      <c r="A38" s="67">
        <v>46022</v>
      </c>
      <c r="B38" t="s">
        <v>2144</v>
      </c>
      <c r="C38" s="4">
        <v>1358.333333333333</v>
      </c>
      <c r="D38" s="65" t="s">
        <v>2427</v>
      </c>
      <c r="J38" s="135">
        <v>46022</v>
      </c>
      <c r="K38" s="134" t="s">
        <v>2144</v>
      </c>
      <c r="L38" s="136">
        <v>1358.333333333333</v>
      </c>
      <c r="M38" s="137" t="s">
        <v>2427</v>
      </c>
      <c r="N38" s="134" t="s">
        <v>3145</v>
      </c>
    </row>
    <row r="39" spans="1:14" ht="20.100000000000001" customHeight="1">
      <c r="A39" s="67">
        <v>46052</v>
      </c>
      <c r="B39" t="s">
        <v>2144</v>
      </c>
      <c r="C39" s="4">
        <v>1358.333333333333</v>
      </c>
      <c r="D39" s="65" t="s">
        <v>2427</v>
      </c>
      <c r="J39" s="135">
        <v>46052</v>
      </c>
      <c r="K39" s="134" t="s">
        <v>2144</v>
      </c>
      <c r="L39" s="136">
        <v>1358.333333333333</v>
      </c>
      <c r="M39" s="137" t="s">
        <v>2427</v>
      </c>
      <c r="N39" s="134" t="s">
        <v>3145</v>
      </c>
    </row>
    <row r="40" spans="1:14" ht="20.100000000000001" customHeight="1">
      <c r="A40" s="67">
        <v>46081</v>
      </c>
      <c r="B40" t="s">
        <v>2144</v>
      </c>
      <c r="C40" s="4">
        <v>1358.333333333333</v>
      </c>
      <c r="D40" s="65" t="s">
        <v>2427</v>
      </c>
      <c r="J40" s="135">
        <v>46081</v>
      </c>
      <c r="K40" s="134" t="s">
        <v>2144</v>
      </c>
      <c r="L40" s="136">
        <v>1358.333333333333</v>
      </c>
      <c r="M40" s="137" t="s">
        <v>2427</v>
      </c>
      <c r="N40" s="134" t="s">
        <v>3145</v>
      </c>
    </row>
    <row r="41" spans="1:14" ht="20.100000000000001" customHeight="1">
      <c r="A41" s="67">
        <v>46111</v>
      </c>
      <c r="B41" t="s">
        <v>2144</v>
      </c>
      <c r="C41" s="4">
        <v>1358.333333333333</v>
      </c>
      <c r="D41" s="65" t="s">
        <v>2427</v>
      </c>
      <c r="J41" s="135">
        <v>46111</v>
      </c>
      <c r="K41" s="134" t="s">
        <v>2144</v>
      </c>
      <c r="L41" s="136">
        <v>1358.333333333333</v>
      </c>
      <c r="M41" s="137" t="s">
        <v>2427</v>
      </c>
      <c r="N41" s="134" t="s">
        <v>3145</v>
      </c>
    </row>
    <row r="42" spans="1:14" ht="20.100000000000001" customHeight="1">
      <c r="A42" s="67">
        <v>46233</v>
      </c>
      <c r="B42" t="s">
        <v>2823</v>
      </c>
      <c r="C42" s="4">
        <v>137.69999999999999</v>
      </c>
      <c r="D42" s="65" t="s">
        <v>2427</v>
      </c>
      <c r="J42" s="135">
        <v>46233</v>
      </c>
      <c r="K42" s="134" t="s">
        <v>2823</v>
      </c>
      <c r="L42" s="136">
        <v>137.69999999999999</v>
      </c>
      <c r="M42" s="137" t="s">
        <v>2427</v>
      </c>
      <c r="N42" s="134"/>
    </row>
    <row r="43" spans="1:14" ht="20.100000000000001" customHeight="1">
      <c r="A43" s="67">
        <v>45940</v>
      </c>
      <c r="B43" t="s">
        <v>3146</v>
      </c>
      <c r="C43" s="4">
        <v>2522</v>
      </c>
      <c r="D43" s="65" t="s">
        <v>2427</v>
      </c>
      <c r="J43" s="135">
        <v>45940</v>
      </c>
      <c r="K43" s="134" t="s">
        <v>3146</v>
      </c>
      <c r="L43" s="136">
        <v>2522</v>
      </c>
      <c r="M43" s="137" t="s">
        <v>2427</v>
      </c>
      <c r="N43" s="134" t="s">
        <v>2545</v>
      </c>
    </row>
    <row r="44" spans="1:14" ht="20.100000000000001" customHeight="1">
      <c r="A44" s="67">
        <v>45971</v>
      </c>
      <c r="B44" t="s">
        <v>3146</v>
      </c>
      <c r="C44" s="4">
        <v>10536.59</v>
      </c>
      <c r="D44" s="65" t="s">
        <v>2427</v>
      </c>
      <c r="J44" s="135">
        <v>45971</v>
      </c>
      <c r="K44" s="134" t="s">
        <v>3146</v>
      </c>
      <c r="L44" s="136">
        <v>10536.59</v>
      </c>
      <c r="M44" s="137" t="s">
        <v>2427</v>
      </c>
      <c r="N44" s="134" t="s">
        <v>2545</v>
      </c>
    </row>
    <row r="45" spans="1:14" ht="20.100000000000001" customHeight="1">
      <c r="A45" s="67">
        <v>46001</v>
      </c>
      <c r="B45" t="s">
        <v>3147</v>
      </c>
      <c r="C45" s="4">
        <v>702.31</v>
      </c>
      <c r="D45" s="65" t="s">
        <v>2427</v>
      </c>
      <c r="J45" s="135">
        <v>46001</v>
      </c>
      <c r="K45" s="134" t="s">
        <v>3147</v>
      </c>
      <c r="L45" s="136">
        <v>702.31</v>
      </c>
      <c r="M45" s="137" t="s">
        <v>2427</v>
      </c>
      <c r="N45" s="134" t="s">
        <v>2545</v>
      </c>
    </row>
    <row r="46" spans="1:14" ht="20.100000000000001" customHeight="1">
      <c r="A46" s="67">
        <v>46233</v>
      </c>
      <c r="B46" t="s">
        <v>3148</v>
      </c>
      <c r="C46" s="4">
        <v>392.84</v>
      </c>
      <c r="D46" s="65" t="s">
        <v>2427</v>
      </c>
      <c r="J46" s="135">
        <v>46233</v>
      </c>
      <c r="K46" s="134" t="s">
        <v>3148</v>
      </c>
      <c r="L46" s="136">
        <v>392.84</v>
      </c>
      <c r="M46" s="137" t="s">
        <v>2427</v>
      </c>
      <c r="N46" s="134"/>
    </row>
    <row r="47" spans="1:14" ht="20.100000000000001" customHeight="1">
      <c r="A47" s="67">
        <v>46233</v>
      </c>
      <c r="B47" t="s">
        <v>2549</v>
      </c>
      <c r="C47" s="4">
        <f t="shared" ref="C47:C52" si="0">23487/6</f>
        <v>3914.5</v>
      </c>
      <c r="D47" s="65" t="s">
        <v>2427</v>
      </c>
      <c r="J47" s="67">
        <v>46233</v>
      </c>
      <c r="K47" t="s">
        <v>2549</v>
      </c>
      <c r="L47" s="4">
        <f t="shared" ref="L47:L52" si="1">23487/6</f>
        <v>3914.5</v>
      </c>
      <c r="M47" s="140" t="s">
        <v>49</v>
      </c>
      <c r="N47" t="s">
        <v>3149</v>
      </c>
    </row>
    <row r="48" spans="1:14" ht="20.100000000000001" customHeight="1">
      <c r="A48" s="67">
        <v>46233</v>
      </c>
      <c r="B48" t="s">
        <v>2549</v>
      </c>
      <c r="C48" s="4">
        <f t="shared" si="0"/>
        <v>3914.5</v>
      </c>
      <c r="D48" s="65" t="s">
        <v>2427</v>
      </c>
      <c r="J48" s="67">
        <v>46233</v>
      </c>
      <c r="K48" t="s">
        <v>2549</v>
      </c>
      <c r="L48" s="4">
        <f t="shared" si="1"/>
        <v>3914.5</v>
      </c>
      <c r="M48" s="140" t="s">
        <v>49</v>
      </c>
      <c r="N48" t="s">
        <v>3149</v>
      </c>
    </row>
    <row r="49" spans="1:14" ht="20.100000000000001" customHeight="1">
      <c r="A49" s="67">
        <v>46233</v>
      </c>
      <c r="B49" t="s">
        <v>2549</v>
      </c>
      <c r="C49" s="4">
        <f t="shared" si="0"/>
        <v>3914.5</v>
      </c>
      <c r="D49" s="65" t="s">
        <v>2427</v>
      </c>
      <c r="J49" s="67">
        <v>46233</v>
      </c>
      <c r="K49" t="s">
        <v>2549</v>
      </c>
      <c r="L49" s="4">
        <f t="shared" si="1"/>
        <v>3914.5</v>
      </c>
      <c r="M49" s="140" t="s">
        <v>49</v>
      </c>
      <c r="N49" t="s">
        <v>3149</v>
      </c>
    </row>
    <row r="50" spans="1:14" ht="20.100000000000001" customHeight="1">
      <c r="A50" s="67">
        <v>46233</v>
      </c>
      <c r="B50" t="s">
        <v>2549</v>
      </c>
      <c r="C50" s="4">
        <f t="shared" si="0"/>
        <v>3914.5</v>
      </c>
      <c r="D50" s="65" t="s">
        <v>2427</v>
      </c>
      <c r="J50" s="67">
        <v>46233</v>
      </c>
      <c r="K50" t="s">
        <v>2549</v>
      </c>
      <c r="L50" s="4">
        <f t="shared" si="1"/>
        <v>3914.5</v>
      </c>
      <c r="M50" s="140" t="s">
        <v>49</v>
      </c>
      <c r="N50" t="s">
        <v>3149</v>
      </c>
    </row>
    <row r="51" spans="1:14" ht="20.100000000000001" customHeight="1">
      <c r="A51" s="67">
        <v>46233</v>
      </c>
      <c r="B51" t="s">
        <v>2549</v>
      </c>
      <c r="C51" s="4">
        <f t="shared" si="0"/>
        <v>3914.5</v>
      </c>
      <c r="D51" s="65" t="s">
        <v>2427</v>
      </c>
      <c r="J51" s="67">
        <v>46233</v>
      </c>
      <c r="K51" t="s">
        <v>2549</v>
      </c>
      <c r="L51" s="4">
        <f t="shared" si="1"/>
        <v>3914.5</v>
      </c>
      <c r="M51" s="140" t="s">
        <v>49</v>
      </c>
      <c r="N51" t="s">
        <v>3149</v>
      </c>
    </row>
    <row r="52" spans="1:14" ht="20.100000000000001" customHeight="1">
      <c r="A52" s="67">
        <v>46233</v>
      </c>
      <c r="B52" t="s">
        <v>2549</v>
      </c>
      <c r="C52" s="4">
        <f t="shared" si="0"/>
        <v>3914.5</v>
      </c>
      <c r="D52" s="65" t="s">
        <v>2427</v>
      </c>
      <c r="J52" s="67">
        <v>46233</v>
      </c>
      <c r="K52" t="s">
        <v>2549</v>
      </c>
      <c r="L52" s="4">
        <f t="shared" si="1"/>
        <v>3914.5</v>
      </c>
      <c r="M52" s="140" t="s">
        <v>49</v>
      </c>
      <c r="N52" t="s">
        <v>3149</v>
      </c>
    </row>
    <row r="53" spans="1:14" ht="20.100000000000001" customHeight="1">
      <c r="A53" s="67">
        <v>45940</v>
      </c>
      <c r="B53" t="s">
        <v>2716</v>
      </c>
      <c r="C53" s="4">
        <v>3349.19</v>
      </c>
      <c r="D53" s="65" t="s">
        <v>2427</v>
      </c>
      <c r="J53" s="135">
        <v>45940</v>
      </c>
      <c r="K53" s="134" t="s">
        <v>2716</v>
      </c>
      <c r="L53" s="136">
        <v>3349.19</v>
      </c>
      <c r="M53" s="137" t="s">
        <v>2427</v>
      </c>
      <c r="N53" s="134"/>
    </row>
    <row r="54" spans="1:14" ht="20.100000000000001" customHeight="1">
      <c r="A54" s="67">
        <v>45945</v>
      </c>
      <c r="B54" t="s">
        <v>2565</v>
      </c>
      <c r="C54" s="4">
        <v>700</v>
      </c>
      <c r="D54" s="65" t="s">
        <v>2427</v>
      </c>
      <c r="J54" s="135">
        <v>45945</v>
      </c>
      <c r="K54" s="134" t="s">
        <v>2565</v>
      </c>
      <c r="L54" s="136">
        <v>700</v>
      </c>
      <c r="M54" s="137" t="s">
        <v>2427</v>
      </c>
      <c r="N54" s="134" t="s">
        <v>316</v>
      </c>
    </row>
    <row r="55" spans="1:14" ht="20.100000000000001" hidden="1" customHeight="1">
      <c r="A55" s="67">
        <v>45940</v>
      </c>
      <c r="B55" t="s">
        <v>2539</v>
      </c>
      <c r="C55" s="4">
        <v>150000</v>
      </c>
      <c r="D55" s="65" t="s">
        <v>2527</v>
      </c>
      <c r="J55" s="67">
        <v>45940</v>
      </c>
      <c r="K55" t="s">
        <v>2539</v>
      </c>
      <c r="L55" s="4">
        <v>150000</v>
      </c>
      <c r="M55" s="65" t="s">
        <v>2527</v>
      </c>
    </row>
    <row r="56" spans="1:14" ht="20.100000000000001" hidden="1" customHeight="1">
      <c r="A56" s="67">
        <v>45940</v>
      </c>
      <c r="B56" t="s">
        <v>2550</v>
      </c>
      <c r="C56" s="4">
        <v>240000</v>
      </c>
      <c r="D56" s="65" t="s">
        <v>2527</v>
      </c>
      <c r="J56" s="67">
        <v>45940</v>
      </c>
      <c r="K56" t="s">
        <v>2550</v>
      </c>
      <c r="L56" s="4">
        <v>240000</v>
      </c>
      <c r="M56" s="65" t="s">
        <v>2527</v>
      </c>
    </row>
    <row r="57" spans="1:14" ht="20.100000000000001" customHeight="1">
      <c r="A57" s="67">
        <v>45960</v>
      </c>
      <c r="B57" t="s">
        <v>2553</v>
      </c>
      <c r="C57" s="4">
        <v>2276.38</v>
      </c>
      <c r="D57" s="65" t="s">
        <v>2427</v>
      </c>
      <c r="J57" s="135">
        <v>45960</v>
      </c>
      <c r="K57" s="134" t="s">
        <v>2553</v>
      </c>
      <c r="L57" s="136">
        <v>2276.38</v>
      </c>
      <c r="M57" s="137" t="s">
        <v>2427</v>
      </c>
      <c r="N57" s="134" t="s">
        <v>316</v>
      </c>
    </row>
    <row r="58" spans="1:14" ht="20.100000000000001" customHeight="1">
      <c r="A58" s="67">
        <v>45940</v>
      </c>
      <c r="B58" t="s">
        <v>2600</v>
      </c>
      <c r="C58" s="4">
        <v>16000</v>
      </c>
      <c r="D58" s="65" t="s">
        <v>2427</v>
      </c>
      <c r="J58" s="135">
        <v>45940</v>
      </c>
      <c r="K58" s="134" t="s">
        <v>2600</v>
      </c>
      <c r="L58" s="136">
        <v>16000</v>
      </c>
      <c r="M58" s="137" t="s">
        <v>2427</v>
      </c>
      <c r="N58" s="134" t="s">
        <v>3150</v>
      </c>
    </row>
    <row r="59" spans="1:14" ht="20.100000000000001" customHeight="1">
      <c r="A59" s="67">
        <v>45960</v>
      </c>
      <c r="B59" t="s">
        <v>2600</v>
      </c>
      <c r="C59" s="4">
        <v>16000</v>
      </c>
      <c r="D59" s="65" t="s">
        <v>2427</v>
      </c>
      <c r="J59" s="135">
        <v>45960</v>
      </c>
      <c r="K59" s="134" t="s">
        <v>2600</v>
      </c>
      <c r="L59" s="136">
        <v>16000</v>
      </c>
      <c r="M59" s="137" t="s">
        <v>2427</v>
      </c>
      <c r="N59" s="134" t="s">
        <v>3150</v>
      </c>
    </row>
    <row r="60" spans="1:14" ht="20.100000000000001" customHeight="1">
      <c r="A60" s="67">
        <v>45991</v>
      </c>
      <c r="B60" t="s">
        <v>2600</v>
      </c>
      <c r="C60" s="4">
        <v>16000</v>
      </c>
      <c r="D60" s="65" t="s">
        <v>2427</v>
      </c>
      <c r="J60" s="135">
        <v>45991</v>
      </c>
      <c r="K60" s="134" t="s">
        <v>2600</v>
      </c>
      <c r="L60" s="136">
        <v>16000</v>
      </c>
      <c r="M60" s="137" t="s">
        <v>2427</v>
      </c>
      <c r="N60" s="134" t="s">
        <v>3150</v>
      </c>
    </row>
    <row r="61" spans="1:14" ht="20.100000000000001" customHeight="1">
      <c r="A61" s="67">
        <v>45940</v>
      </c>
      <c r="B61" t="s">
        <v>2200</v>
      </c>
      <c r="C61" s="4">
        <f t="shared" ref="C61:C66" si="2">20000/6</f>
        <v>3333.3333333333335</v>
      </c>
      <c r="D61" s="65" t="s">
        <v>2427</v>
      </c>
      <c r="J61" s="135">
        <v>45940</v>
      </c>
      <c r="K61" s="134" t="s">
        <v>2200</v>
      </c>
      <c r="L61" s="136">
        <f t="shared" ref="L61:L66" si="3">20000/6</f>
        <v>3333.3333333333335</v>
      </c>
      <c r="M61" s="137" t="s">
        <v>2427</v>
      </c>
      <c r="N61" s="134" t="s">
        <v>3151</v>
      </c>
    </row>
    <row r="62" spans="1:14" ht="20.100000000000001" customHeight="1">
      <c r="A62" s="67">
        <v>45991</v>
      </c>
      <c r="B62" t="s">
        <v>2200</v>
      </c>
      <c r="C62" s="4">
        <f t="shared" si="2"/>
        <v>3333.3333333333335</v>
      </c>
      <c r="D62" s="65" t="s">
        <v>2427</v>
      </c>
      <c r="J62" s="135">
        <v>45991</v>
      </c>
      <c r="K62" s="134" t="s">
        <v>2200</v>
      </c>
      <c r="L62" s="136">
        <f t="shared" si="3"/>
        <v>3333.3333333333335</v>
      </c>
      <c r="M62" s="137" t="s">
        <v>2427</v>
      </c>
      <c r="N62" s="134" t="s">
        <v>3151</v>
      </c>
    </row>
    <row r="63" spans="1:14" ht="20.100000000000001" customHeight="1">
      <c r="A63" s="67">
        <v>46021</v>
      </c>
      <c r="B63" t="s">
        <v>2200</v>
      </c>
      <c r="C63" s="4">
        <f t="shared" si="2"/>
        <v>3333.3333333333335</v>
      </c>
      <c r="D63" s="65" t="s">
        <v>2427</v>
      </c>
      <c r="J63" s="135">
        <v>46021</v>
      </c>
      <c r="K63" s="134" t="s">
        <v>2200</v>
      </c>
      <c r="L63" s="136">
        <f t="shared" si="3"/>
        <v>3333.3333333333335</v>
      </c>
      <c r="M63" s="137" t="s">
        <v>2427</v>
      </c>
      <c r="N63" s="134" t="s">
        <v>3151</v>
      </c>
    </row>
    <row r="64" spans="1:14" ht="20.100000000000001" customHeight="1">
      <c r="A64" s="67">
        <v>46081</v>
      </c>
      <c r="B64" t="s">
        <v>2200</v>
      </c>
      <c r="C64" s="4">
        <f t="shared" si="2"/>
        <v>3333.3333333333335</v>
      </c>
      <c r="D64" s="65" t="s">
        <v>2427</v>
      </c>
      <c r="J64" s="135">
        <v>46081</v>
      </c>
      <c r="K64" s="134" t="s">
        <v>2200</v>
      </c>
      <c r="L64" s="136">
        <f t="shared" si="3"/>
        <v>3333.3333333333335</v>
      </c>
      <c r="M64" s="137" t="s">
        <v>2427</v>
      </c>
      <c r="N64" s="134" t="s">
        <v>3151</v>
      </c>
    </row>
    <row r="65" spans="1:14" ht="20.100000000000001" customHeight="1">
      <c r="A65" s="67">
        <v>46111</v>
      </c>
      <c r="B65" t="s">
        <v>2200</v>
      </c>
      <c r="C65" s="4">
        <f t="shared" si="2"/>
        <v>3333.3333333333335</v>
      </c>
      <c r="D65" s="65" t="s">
        <v>2427</v>
      </c>
      <c r="J65" s="135">
        <v>46111</v>
      </c>
      <c r="K65" s="134" t="s">
        <v>2200</v>
      </c>
      <c r="L65" s="136">
        <f t="shared" si="3"/>
        <v>3333.3333333333335</v>
      </c>
      <c r="M65" s="137" t="s">
        <v>2427</v>
      </c>
      <c r="N65" s="134" t="s">
        <v>3151</v>
      </c>
    </row>
    <row r="66" spans="1:14" ht="20.100000000000001" customHeight="1">
      <c r="A66" s="67">
        <v>46127</v>
      </c>
      <c r="B66" t="s">
        <v>2200</v>
      </c>
      <c r="C66" s="4">
        <f t="shared" si="2"/>
        <v>3333.3333333333335</v>
      </c>
      <c r="D66" s="65" t="s">
        <v>2427</v>
      </c>
      <c r="J66" s="135">
        <v>46127</v>
      </c>
      <c r="K66" s="134" t="s">
        <v>2200</v>
      </c>
      <c r="L66" s="136">
        <f t="shared" si="3"/>
        <v>3333.3333333333335</v>
      </c>
      <c r="M66" s="137" t="s">
        <v>2427</v>
      </c>
      <c r="N66" s="134" t="s">
        <v>3151</v>
      </c>
    </row>
    <row r="67" spans="1:14" ht="20.100000000000001" customHeight="1">
      <c r="A67" s="67">
        <v>45945</v>
      </c>
      <c r="B67" t="s">
        <v>2831</v>
      </c>
      <c r="C67" s="4">
        <v>3575</v>
      </c>
      <c r="D67" s="65" t="s">
        <v>2427</v>
      </c>
      <c r="J67" s="135">
        <v>45945</v>
      </c>
      <c r="K67" s="134" t="s">
        <v>2831</v>
      </c>
      <c r="L67" s="136">
        <v>3575</v>
      </c>
      <c r="M67" s="137" t="s">
        <v>2427</v>
      </c>
      <c r="N67" s="134" t="s">
        <v>3152</v>
      </c>
    </row>
    <row r="68" spans="1:14" ht="20.100000000000001" customHeight="1">
      <c r="A68" s="67">
        <v>46052</v>
      </c>
      <c r="B68" t="s">
        <v>3153</v>
      </c>
      <c r="C68" s="4">
        <f t="shared" ref="C68:C77" si="4">60000/6</f>
        <v>10000</v>
      </c>
      <c r="D68" s="65" t="s">
        <v>2427</v>
      </c>
      <c r="J68" s="135">
        <v>46052</v>
      </c>
      <c r="K68" s="134" t="s">
        <v>3153</v>
      </c>
      <c r="L68" s="136">
        <f t="shared" ref="L68:L77" si="5">60000/6</f>
        <v>10000</v>
      </c>
      <c r="M68" s="137" t="s">
        <v>2427</v>
      </c>
      <c r="N68" s="134" t="s">
        <v>3152</v>
      </c>
    </row>
    <row r="69" spans="1:14" ht="20.100000000000001" customHeight="1">
      <c r="A69" s="67">
        <v>46081</v>
      </c>
      <c r="B69" t="s">
        <v>3153</v>
      </c>
      <c r="C69" s="4">
        <f t="shared" si="4"/>
        <v>10000</v>
      </c>
      <c r="D69" s="65" t="s">
        <v>2427</v>
      </c>
      <c r="J69" s="135">
        <v>46081</v>
      </c>
      <c r="K69" s="134" t="s">
        <v>3153</v>
      </c>
      <c r="L69" s="136">
        <f t="shared" si="5"/>
        <v>10000</v>
      </c>
      <c r="M69" s="137" t="s">
        <v>2427</v>
      </c>
      <c r="N69" s="134" t="s">
        <v>3152</v>
      </c>
    </row>
    <row r="70" spans="1:14" ht="20.100000000000001" customHeight="1">
      <c r="A70" s="67">
        <v>46111</v>
      </c>
      <c r="B70" t="s">
        <v>3153</v>
      </c>
      <c r="C70" s="4">
        <f t="shared" si="4"/>
        <v>10000</v>
      </c>
      <c r="D70" s="65" t="s">
        <v>2427</v>
      </c>
      <c r="J70" s="135">
        <v>46111</v>
      </c>
      <c r="K70" s="134" t="s">
        <v>3153</v>
      </c>
      <c r="L70" s="136">
        <f t="shared" si="5"/>
        <v>10000</v>
      </c>
      <c r="M70" s="137" t="s">
        <v>2427</v>
      </c>
      <c r="N70" s="134" t="s">
        <v>3152</v>
      </c>
    </row>
    <row r="71" spans="1:14" s="9" customFormat="1">
      <c r="A71" s="67">
        <v>46127</v>
      </c>
      <c r="B71" t="s">
        <v>3153</v>
      </c>
      <c r="C71" s="4">
        <f t="shared" si="4"/>
        <v>10000</v>
      </c>
      <c r="D71" s="65" t="s">
        <v>2427</v>
      </c>
      <c r="J71" s="135">
        <v>46127</v>
      </c>
      <c r="K71" s="134" t="s">
        <v>3153</v>
      </c>
      <c r="L71" s="136">
        <f t="shared" si="5"/>
        <v>10000</v>
      </c>
      <c r="M71" s="137" t="s">
        <v>2427</v>
      </c>
      <c r="N71" s="134" t="s">
        <v>3152</v>
      </c>
    </row>
    <row r="72" spans="1:14" ht="20.100000000000001" customHeight="1">
      <c r="A72" s="67">
        <v>46157</v>
      </c>
      <c r="B72" t="s">
        <v>3153</v>
      </c>
      <c r="C72" s="4">
        <f t="shared" si="4"/>
        <v>10000</v>
      </c>
      <c r="D72" s="65" t="s">
        <v>2427</v>
      </c>
      <c r="J72" s="135">
        <v>46157</v>
      </c>
      <c r="K72" s="134" t="s">
        <v>3153</v>
      </c>
      <c r="L72" s="136">
        <f t="shared" si="5"/>
        <v>10000</v>
      </c>
      <c r="M72" s="137" t="s">
        <v>2427</v>
      </c>
      <c r="N72" s="134" t="s">
        <v>3152</v>
      </c>
    </row>
    <row r="73" spans="1:14" ht="20.100000000000001" customHeight="1">
      <c r="A73" s="67">
        <v>46174</v>
      </c>
      <c r="B73" t="s">
        <v>3153</v>
      </c>
      <c r="C73" s="4">
        <f t="shared" si="4"/>
        <v>10000</v>
      </c>
      <c r="D73" s="65" t="s">
        <v>2427</v>
      </c>
      <c r="J73" s="135">
        <v>46174</v>
      </c>
      <c r="K73" s="134" t="s">
        <v>3153</v>
      </c>
      <c r="L73" s="136">
        <f t="shared" si="5"/>
        <v>10000</v>
      </c>
      <c r="M73" s="137" t="s">
        <v>2427</v>
      </c>
      <c r="N73" s="134" t="s">
        <v>3152</v>
      </c>
    </row>
    <row r="74" spans="1:14" ht="20.100000000000001" customHeight="1">
      <c r="A74" s="67">
        <v>45960</v>
      </c>
      <c r="B74" t="s">
        <v>3153</v>
      </c>
      <c r="C74" s="4">
        <f t="shared" si="4"/>
        <v>10000</v>
      </c>
      <c r="D74" s="65" t="s">
        <v>2427</v>
      </c>
      <c r="J74" s="135">
        <v>46174</v>
      </c>
      <c r="K74" s="134" t="s">
        <v>3153</v>
      </c>
      <c r="L74" s="136">
        <f t="shared" si="5"/>
        <v>10000</v>
      </c>
      <c r="M74" s="137" t="s">
        <v>2427</v>
      </c>
      <c r="N74" s="134" t="s">
        <v>3152</v>
      </c>
    </row>
    <row r="75" spans="1:14" ht="20.100000000000001" customHeight="1">
      <c r="A75" s="67">
        <v>45991</v>
      </c>
      <c r="B75" t="s">
        <v>3153</v>
      </c>
      <c r="C75" s="4">
        <f t="shared" si="4"/>
        <v>10000</v>
      </c>
      <c r="D75" s="65" t="s">
        <v>2427</v>
      </c>
      <c r="J75" s="135">
        <v>46174</v>
      </c>
      <c r="K75" s="134" t="s">
        <v>3153</v>
      </c>
      <c r="L75" s="136">
        <f t="shared" si="5"/>
        <v>10000</v>
      </c>
      <c r="M75" s="137" t="s">
        <v>2427</v>
      </c>
      <c r="N75" s="134" t="s">
        <v>3152</v>
      </c>
    </row>
    <row r="76" spans="1:14" ht="20.100000000000001" customHeight="1">
      <c r="A76" s="67">
        <v>46021</v>
      </c>
      <c r="B76" t="s">
        <v>3153</v>
      </c>
      <c r="C76" s="4">
        <f t="shared" si="4"/>
        <v>10000</v>
      </c>
      <c r="D76" s="65" t="s">
        <v>2427</v>
      </c>
      <c r="J76" s="135">
        <v>46174</v>
      </c>
      <c r="K76" s="134" t="s">
        <v>3153</v>
      </c>
      <c r="L76" s="136">
        <f t="shared" si="5"/>
        <v>10000</v>
      </c>
      <c r="M76" s="137" t="s">
        <v>2427</v>
      </c>
      <c r="N76" s="134" t="s">
        <v>3152</v>
      </c>
    </row>
    <row r="77" spans="1:14" ht="20.100000000000001" customHeight="1">
      <c r="A77" s="67">
        <v>46264</v>
      </c>
      <c r="B77" t="s">
        <v>3153</v>
      </c>
      <c r="C77" s="4">
        <f t="shared" si="4"/>
        <v>10000</v>
      </c>
      <c r="D77" s="65" t="s">
        <v>2427</v>
      </c>
      <c r="J77" s="135">
        <v>46174</v>
      </c>
      <c r="K77" s="134" t="s">
        <v>3153</v>
      </c>
      <c r="L77" s="136">
        <f t="shared" si="5"/>
        <v>10000</v>
      </c>
      <c r="M77" s="137" t="s">
        <v>2427</v>
      </c>
      <c r="N77" s="134" t="s">
        <v>3152</v>
      </c>
    </row>
    <row r="78" spans="1:14" ht="20.100000000000001" customHeight="1">
      <c r="A78" s="67">
        <v>46233</v>
      </c>
      <c r="B78" t="s">
        <v>2559</v>
      </c>
      <c r="C78" s="4">
        <v>1162</v>
      </c>
      <c r="D78" s="65" t="s">
        <v>2427</v>
      </c>
      <c r="J78" s="135">
        <v>46233</v>
      </c>
      <c r="K78" s="134" t="s">
        <v>2559</v>
      </c>
      <c r="L78" s="136">
        <v>1162</v>
      </c>
      <c r="M78" s="137" t="s">
        <v>2427</v>
      </c>
      <c r="N78" s="134"/>
    </row>
    <row r="79" spans="1:14" ht="20.100000000000001" customHeight="1">
      <c r="A79" s="67">
        <v>45932</v>
      </c>
      <c r="B79" t="s">
        <v>2524</v>
      </c>
      <c r="C79" s="4">
        <v>1041.2</v>
      </c>
      <c r="D79" s="65" t="s">
        <v>2427</v>
      </c>
      <c r="J79" s="135">
        <v>45932</v>
      </c>
      <c r="K79" s="134" t="s">
        <v>2524</v>
      </c>
      <c r="L79" s="136">
        <v>1041.2</v>
      </c>
      <c r="M79" s="137" t="s">
        <v>2427</v>
      </c>
      <c r="N79" s="134"/>
    </row>
    <row r="80" spans="1:14" ht="20.100000000000001" customHeight="1">
      <c r="A80" s="67">
        <v>46233</v>
      </c>
      <c r="B80" t="s">
        <v>2205</v>
      </c>
      <c r="C80" s="4">
        <v>7000</v>
      </c>
      <c r="D80" s="65" t="s">
        <v>2427</v>
      </c>
      <c r="J80" s="135">
        <v>46233</v>
      </c>
      <c r="K80" s="134" t="s">
        <v>2205</v>
      </c>
      <c r="L80" s="136">
        <v>7000</v>
      </c>
      <c r="M80" s="137" t="s">
        <v>2427</v>
      </c>
      <c r="N80" s="134" t="s">
        <v>3139</v>
      </c>
    </row>
    <row r="81" spans="1:14" ht="20.100000000000001" customHeight="1">
      <c r="A81" s="67">
        <v>45940</v>
      </c>
      <c r="B81" t="s">
        <v>3154</v>
      </c>
      <c r="C81" s="4">
        <v>662.09</v>
      </c>
      <c r="D81" s="65" t="s">
        <v>2427</v>
      </c>
      <c r="J81" s="135">
        <v>45940</v>
      </c>
      <c r="K81" s="134" t="s">
        <v>3154</v>
      </c>
      <c r="L81" s="136">
        <v>662.09</v>
      </c>
      <c r="M81" s="137" t="s">
        <v>2427</v>
      </c>
      <c r="N81" s="134" t="s">
        <v>316</v>
      </c>
    </row>
    <row r="82" spans="1:14" ht="20.100000000000001" customHeight="1">
      <c r="A82" s="67">
        <v>46233</v>
      </c>
      <c r="B82" t="s">
        <v>2722</v>
      </c>
      <c r="C82" s="4">
        <v>2731.58</v>
      </c>
      <c r="D82" s="65" t="s">
        <v>2086</v>
      </c>
      <c r="J82" s="67">
        <v>46233</v>
      </c>
      <c r="K82" t="s">
        <v>2722</v>
      </c>
      <c r="L82" s="4">
        <v>2731.58</v>
      </c>
      <c r="M82" s="140" t="s">
        <v>49</v>
      </c>
      <c r="N82" t="s">
        <v>3139</v>
      </c>
    </row>
    <row r="83" spans="1:14" ht="20.100000000000001" customHeight="1">
      <c r="A83" s="67">
        <v>45960</v>
      </c>
      <c r="B83" t="s">
        <v>3155</v>
      </c>
      <c r="C83" s="4">
        <v>6000</v>
      </c>
      <c r="D83" s="65" t="s">
        <v>2427</v>
      </c>
      <c r="J83" s="135">
        <v>45960</v>
      </c>
      <c r="K83" s="134" t="s">
        <v>3155</v>
      </c>
      <c r="L83" s="136">
        <v>6000</v>
      </c>
      <c r="M83" s="137" t="s">
        <v>2427</v>
      </c>
      <c r="N83" s="134" t="s">
        <v>3156</v>
      </c>
    </row>
    <row r="84" spans="1:14" ht="20.100000000000001" customHeight="1">
      <c r="A84" s="67">
        <v>46021</v>
      </c>
      <c r="B84" t="s">
        <v>3155</v>
      </c>
      <c r="C84" s="4">
        <v>6000</v>
      </c>
      <c r="D84" s="65" t="s">
        <v>2427</v>
      </c>
      <c r="J84" s="135">
        <v>46021</v>
      </c>
      <c r="K84" s="134" t="s">
        <v>3155</v>
      </c>
      <c r="L84" s="136">
        <v>6000</v>
      </c>
      <c r="M84" s="137" t="s">
        <v>2427</v>
      </c>
      <c r="N84" s="134" t="s">
        <v>3156</v>
      </c>
    </row>
    <row r="85" spans="1:14" ht="20.100000000000001" customHeight="1">
      <c r="A85" s="67">
        <v>46081</v>
      </c>
      <c r="B85" t="s">
        <v>3155</v>
      </c>
      <c r="C85" s="4">
        <v>6000</v>
      </c>
      <c r="D85" s="65" t="s">
        <v>2427</v>
      </c>
      <c r="J85" s="135">
        <v>46081</v>
      </c>
      <c r="K85" s="134" t="s">
        <v>3155</v>
      </c>
      <c r="L85" s="136">
        <v>6000</v>
      </c>
      <c r="M85" s="137" t="s">
        <v>2427</v>
      </c>
      <c r="N85" s="134" t="s">
        <v>3156</v>
      </c>
    </row>
    <row r="86" spans="1:14" ht="20.100000000000001" customHeight="1">
      <c r="A86" s="67">
        <v>45960</v>
      </c>
      <c r="B86" t="s">
        <v>3157</v>
      </c>
      <c r="C86" s="4">
        <v>2024</v>
      </c>
      <c r="D86" s="65" t="s">
        <v>2427</v>
      </c>
      <c r="J86" s="135">
        <v>45960</v>
      </c>
      <c r="K86" s="134" t="s">
        <v>3157</v>
      </c>
      <c r="L86" s="136">
        <v>2024</v>
      </c>
      <c r="M86" s="137" t="s">
        <v>2427</v>
      </c>
      <c r="N86" s="134" t="s">
        <v>3158</v>
      </c>
    </row>
    <row r="87" spans="1:14" ht="20.100000000000001" customHeight="1">
      <c r="A87" s="67">
        <v>46021</v>
      </c>
      <c r="B87" t="s">
        <v>3157</v>
      </c>
      <c r="C87" s="4">
        <v>2024</v>
      </c>
      <c r="D87" s="65" t="s">
        <v>2427</v>
      </c>
      <c r="J87" s="135">
        <v>46021</v>
      </c>
      <c r="K87" s="134" t="s">
        <v>3157</v>
      </c>
      <c r="L87" s="136">
        <v>2024</v>
      </c>
      <c r="M87" s="137" t="s">
        <v>2427</v>
      </c>
      <c r="N87" s="134" t="s">
        <v>3158</v>
      </c>
    </row>
    <row r="88" spans="1:14" ht="20.100000000000001" customHeight="1">
      <c r="A88" s="67">
        <v>45991</v>
      </c>
      <c r="B88" t="s">
        <v>2564</v>
      </c>
      <c r="C88" s="4">
        <v>2409.5500000000002</v>
      </c>
      <c r="D88" s="65" t="s">
        <v>2427</v>
      </c>
      <c r="J88" s="135">
        <v>45991</v>
      </c>
      <c r="K88" s="134" t="s">
        <v>2564</v>
      </c>
      <c r="L88" s="136">
        <v>2409.5500000000002</v>
      </c>
      <c r="M88" s="137" t="s">
        <v>2427</v>
      </c>
      <c r="N88" s="134"/>
    </row>
    <row r="89" spans="1:14" ht="20.100000000000001" customHeight="1">
      <c r="A89" s="67">
        <v>46233</v>
      </c>
      <c r="B89" t="s">
        <v>3159</v>
      </c>
      <c r="C89" s="4">
        <v>1163.22</v>
      </c>
      <c r="D89" s="65" t="s">
        <v>2427</v>
      </c>
      <c r="J89" s="135">
        <v>46233</v>
      </c>
      <c r="K89" s="134" t="s">
        <v>3159</v>
      </c>
      <c r="L89" s="136">
        <v>1163.22</v>
      </c>
      <c r="M89" s="137" t="s">
        <v>2427</v>
      </c>
      <c r="N89" s="134" t="s">
        <v>316</v>
      </c>
    </row>
    <row r="90" spans="1:14" ht="20.100000000000001" customHeight="1">
      <c r="A90" s="67">
        <v>45991</v>
      </c>
      <c r="B90" t="s">
        <v>2440</v>
      </c>
      <c r="C90" s="4">
        <v>5000</v>
      </c>
      <c r="D90" s="65" t="s">
        <v>2427</v>
      </c>
      <c r="J90" s="67">
        <v>45991</v>
      </c>
      <c r="K90" t="s">
        <v>2440</v>
      </c>
      <c r="L90" s="4">
        <v>5000</v>
      </c>
      <c r="M90" s="140" t="s">
        <v>49</v>
      </c>
    </row>
    <row r="91" spans="1:14" ht="20.100000000000001" customHeight="1">
      <c r="A91" s="67">
        <v>46021</v>
      </c>
      <c r="B91" t="s">
        <v>2440</v>
      </c>
      <c r="C91" s="4">
        <v>5000</v>
      </c>
      <c r="D91" s="65" t="s">
        <v>2427</v>
      </c>
      <c r="J91" s="67">
        <v>46021</v>
      </c>
      <c r="K91" t="s">
        <v>2440</v>
      </c>
      <c r="L91" s="4">
        <v>5000</v>
      </c>
      <c r="M91" s="140" t="s">
        <v>49</v>
      </c>
    </row>
    <row r="92" spans="1:14" s="9" customFormat="1" ht="33" customHeight="1">
      <c r="A92" s="67">
        <v>46052</v>
      </c>
      <c r="B92" t="s">
        <v>2440</v>
      </c>
      <c r="C92" s="4">
        <v>5000</v>
      </c>
      <c r="D92" s="65" t="s">
        <v>2427</v>
      </c>
      <c r="J92" s="67">
        <v>46052</v>
      </c>
      <c r="K92" t="s">
        <v>2440</v>
      </c>
      <c r="L92" s="4">
        <v>5000</v>
      </c>
      <c r="M92" s="140" t="s">
        <v>49</v>
      </c>
    </row>
    <row r="93" spans="1:14" ht="20.100000000000001" customHeight="1">
      <c r="A93" s="67">
        <v>46081</v>
      </c>
      <c r="B93" t="s">
        <v>2440</v>
      </c>
      <c r="C93" s="4">
        <v>5000</v>
      </c>
      <c r="D93" s="65" t="s">
        <v>2427</v>
      </c>
      <c r="J93" s="67">
        <v>46081</v>
      </c>
      <c r="K93" t="s">
        <v>2440</v>
      </c>
      <c r="L93" s="4">
        <v>5000</v>
      </c>
      <c r="M93" s="140" t="s">
        <v>49</v>
      </c>
    </row>
    <row r="94" spans="1:14" ht="20.100000000000001" customHeight="1">
      <c r="A94" s="67">
        <v>46111</v>
      </c>
      <c r="B94" t="s">
        <v>2440</v>
      </c>
      <c r="C94" s="4">
        <v>5000</v>
      </c>
      <c r="D94" s="65" t="s">
        <v>2427</v>
      </c>
      <c r="J94" s="67">
        <v>46111</v>
      </c>
      <c r="K94" t="s">
        <v>2440</v>
      </c>
      <c r="L94" s="4">
        <v>5000</v>
      </c>
      <c r="M94" s="140" t="s">
        <v>49</v>
      </c>
    </row>
    <row r="95" spans="1:14" ht="20.100000000000001" customHeight="1">
      <c r="A95" s="67">
        <v>46127</v>
      </c>
      <c r="B95" t="s">
        <v>2440</v>
      </c>
      <c r="C95" s="4">
        <v>5000</v>
      </c>
      <c r="D95" s="65" t="s">
        <v>2427</v>
      </c>
      <c r="J95" s="67">
        <v>46127</v>
      </c>
      <c r="K95" t="s">
        <v>2440</v>
      </c>
      <c r="L95" s="4">
        <v>5000</v>
      </c>
      <c r="M95" s="140" t="s">
        <v>49</v>
      </c>
    </row>
    <row r="96" spans="1:14" ht="20.100000000000001" customHeight="1">
      <c r="A96" s="67">
        <v>46143</v>
      </c>
      <c r="B96" t="s">
        <v>2440</v>
      </c>
      <c r="C96" s="4">
        <v>5000</v>
      </c>
      <c r="D96" s="65" t="s">
        <v>2427</v>
      </c>
      <c r="J96" s="67">
        <v>46143</v>
      </c>
      <c r="K96" t="s">
        <v>2440</v>
      </c>
      <c r="L96" s="4">
        <v>5000</v>
      </c>
      <c r="M96" s="140" t="s">
        <v>49</v>
      </c>
    </row>
    <row r="97" spans="1:13" ht="20.100000000000001" customHeight="1">
      <c r="A97" s="67">
        <v>46203</v>
      </c>
      <c r="B97" t="s">
        <v>2440</v>
      </c>
      <c r="C97" s="4">
        <v>5000</v>
      </c>
      <c r="D97" s="65" t="s">
        <v>2427</v>
      </c>
      <c r="J97" s="67">
        <v>46203</v>
      </c>
      <c r="K97" t="s">
        <v>2440</v>
      </c>
      <c r="L97" s="4">
        <v>5000</v>
      </c>
      <c r="M97" s="140" t="s">
        <v>49</v>
      </c>
    </row>
    <row r="98" spans="1:13" ht="20.100000000000001" customHeight="1">
      <c r="A98" s="67">
        <v>45930</v>
      </c>
      <c r="B98" t="s">
        <v>2512</v>
      </c>
      <c r="C98" s="4">
        <v>3200</v>
      </c>
      <c r="D98" s="65" t="s">
        <v>2427</v>
      </c>
      <c r="J98" s="67">
        <v>45930</v>
      </c>
      <c r="K98" t="s">
        <v>2512</v>
      </c>
      <c r="L98" s="4">
        <v>3200</v>
      </c>
      <c r="M98" s="140" t="s">
        <v>49</v>
      </c>
    </row>
    <row r="99" spans="1:13" ht="20.100000000000001" customHeight="1">
      <c r="A99" s="67">
        <v>46021</v>
      </c>
      <c r="B99" t="s">
        <v>2512</v>
      </c>
      <c r="C99" s="4">
        <v>3200</v>
      </c>
      <c r="D99" s="65" t="s">
        <v>2427</v>
      </c>
      <c r="J99" s="67">
        <v>46021</v>
      </c>
      <c r="K99" t="s">
        <v>2512</v>
      </c>
      <c r="L99" s="4">
        <v>3200</v>
      </c>
      <c r="M99" s="140" t="s">
        <v>49</v>
      </c>
    </row>
    <row r="100" spans="1:13" ht="20.100000000000001" customHeight="1">
      <c r="A100" s="67">
        <v>45931</v>
      </c>
      <c r="B100" t="s">
        <v>2441</v>
      </c>
      <c r="C100" s="4">
        <v>8730</v>
      </c>
      <c r="D100" s="65" t="s">
        <v>2427</v>
      </c>
      <c r="J100" s="67">
        <v>45931</v>
      </c>
      <c r="K100" t="s">
        <v>2441</v>
      </c>
      <c r="L100" s="4">
        <v>8730</v>
      </c>
      <c r="M100" s="140" t="s">
        <v>49</v>
      </c>
    </row>
    <row r="101" spans="1:13" ht="20.100000000000001" customHeight="1">
      <c r="A101" s="67">
        <v>45962</v>
      </c>
      <c r="B101" t="s">
        <v>2441</v>
      </c>
      <c r="C101" s="4">
        <v>8900</v>
      </c>
      <c r="D101" s="65" t="s">
        <v>2427</v>
      </c>
      <c r="J101" s="67">
        <v>45962</v>
      </c>
      <c r="K101" t="s">
        <v>2441</v>
      </c>
      <c r="L101" s="4">
        <v>8900</v>
      </c>
      <c r="M101" s="140" t="s">
        <v>49</v>
      </c>
    </row>
    <row r="102" spans="1:13" ht="20.100000000000001" customHeight="1">
      <c r="A102" s="67">
        <v>45991</v>
      </c>
      <c r="B102" t="s">
        <v>2656</v>
      </c>
      <c r="C102" s="4">
        <v>8500</v>
      </c>
      <c r="D102" s="65" t="s">
        <v>2427</v>
      </c>
      <c r="J102" s="67">
        <v>45991</v>
      </c>
      <c r="K102" t="s">
        <v>2656</v>
      </c>
      <c r="L102" s="4">
        <v>8500</v>
      </c>
      <c r="M102" s="140" t="s">
        <v>49</v>
      </c>
    </row>
    <row r="103" spans="1:13" s="9" customFormat="1" ht="18.75" customHeight="1">
      <c r="A103" s="67">
        <v>45992</v>
      </c>
      <c r="B103" t="s">
        <v>2441</v>
      </c>
      <c r="C103" s="4">
        <v>8900</v>
      </c>
      <c r="D103" s="65" t="s">
        <v>2427</v>
      </c>
      <c r="J103" s="67">
        <v>45992</v>
      </c>
      <c r="K103" t="s">
        <v>2441</v>
      </c>
      <c r="L103" s="4">
        <v>8900</v>
      </c>
      <c r="M103" s="140" t="s">
        <v>49</v>
      </c>
    </row>
    <row r="104" spans="1:13" ht="20.100000000000001" customHeight="1">
      <c r="A104" s="67">
        <v>46021</v>
      </c>
      <c r="B104" t="s">
        <v>2656</v>
      </c>
      <c r="C104" s="4">
        <v>8500</v>
      </c>
      <c r="D104" s="65" t="s">
        <v>2427</v>
      </c>
      <c r="J104" s="67">
        <v>46021</v>
      </c>
      <c r="K104" t="s">
        <v>2656</v>
      </c>
      <c r="L104" s="4">
        <v>8500</v>
      </c>
      <c r="M104" s="140" t="s">
        <v>49</v>
      </c>
    </row>
    <row r="105" spans="1:13" ht="20.100000000000001" customHeight="1">
      <c r="A105" s="67">
        <v>46023</v>
      </c>
      <c r="B105" t="s">
        <v>2441</v>
      </c>
      <c r="C105" s="4">
        <v>8900</v>
      </c>
      <c r="D105" s="65" t="s">
        <v>2427</v>
      </c>
      <c r="J105" s="67">
        <v>46023</v>
      </c>
      <c r="K105" t="s">
        <v>2441</v>
      </c>
      <c r="L105" s="4">
        <v>8900</v>
      </c>
      <c r="M105" s="140" t="s">
        <v>49</v>
      </c>
    </row>
    <row r="106" spans="1:13" ht="20.100000000000001" customHeight="1">
      <c r="A106" s="67">
        <v>46052</v>
      </c>
      <c r="B106" t="s">
        <v>2656</v>
      </c>
      <c r="C106" s="4">
        <v>8500</v>
      </c>
      <c r="D106" s="65" t="s">
        <v>2427</v>
      </c>
      <c r="J106" s="67">
        <v>46052</v>
      </c>
      <c r="K106" t="s">
        <v>2656</v>
      </c>
      <c r="L106" s="4">
        <v>8500</v>
      </c>
      <c r="M106" s="140" t="s">
        <v>49</v>
      </c>
    </row>
    <row r="107" spans="1:13" ht="20.100000000000001" customHeight="1">
      <c r="A107" s="67">
        <v>46054</v>
      </c>
      <c r="B107" t="s">
        <v>2441</v>
      </c>
      <c r="C107" s="4">
        <v>8900</v>
      </c>
      <c r="D107" s="65" t="s">
        <v>2427</v>
      </c>
      <c r="J107" s="67">
        <v>46054</v>
      </c>
      <c r="K107" t="s">
        <v>2441</v>
      </c>
      <c r="L107" s="4">
        <v>8900</v>
      </c>
      <c r="M107" s="140" t="s">
        <v>49</v>
      </c>
    </row>
    <row r="108" spans="1:13" ht="20.100000000000001" customHeight="1">
      <c r="A108" s="67">
        <v>46081</v>
      </c>
      <c r="B108" t="s">
        <v>2656</v>
      </c>
      <c r="C108" s="4">
        <v>8500</v>
      </c>
      <c r="D108" s="65" t="s">
        <v>2427</v>
      </c>
      <c r="J108" s="67">
        <v>46081</v>
      </c>
      <c r="K108" t="s">
        <v>2656</v>
      </c>
      <c r="L108" s="4">
        <v>8500</v>
      </c>
      <c r="M108" s="140" t="s">
        <v>49</v>
      </c>
    </row>
    <row r="109" spans="1:13" ht="20.100000000000001" customHeight="1">
      <c r="A109" s="67">
        <v>46082</v>
      </c>
      <c r="B109" t="s">
        <v>2441</v>
      </c>
      <c r="C109" s="4">
        <v>8900</v>
      </c>
      <c r="D109" s="65" t="s">
        <v>2427</v>
      </c>
      <c r="J109" s="67">
        <v>46082</v>
      </c>
      <c r="K109" t="s">
        <v>2441</v>
      </c>
      <c r="L109" s="4">
        <v>8900</v>
      </c>
      <c r="M109" s="140" t="s">
        <v>49</v>
      </c>
    </row>
    <row r="110" spans="1:13" ht="20.100000000000001" customHeight="1">
      <c r="A110" s="67">
        <v>46111</v>
      </c>
      <c r="B110" t="s">
        <v>2656</v>
      </c>
      <c r="C110" s="4">
        <v>8500</v>
      </c>
      <c r="D110" s="65" t="s">
        <v>2427</v>
      </c>
      <c r="J110" s="67">
        <v>46111</v>
      </c>
      <c r="K110" t="s">
        <v>2656</v>
      </c>
      <c r="L110" s="4">
        <v>8500</v>
      </c>
      <c r="M110" s="140" t="s">
        <v>49</v>
      </c>
    </row>
    <row r="111" spans="1:13" ht="20.100000000000001" customHeight="1">
      <c r="A111" s="67">
        <v>46118</v>
      </c>
      <c r="B111" t="s">
        <v>2441</v>
      </c>
      <c r="C111" s="4">
        <v>8900</v>
      </c>
      <c r="D111" s="65" t="s">
        <v>2427</v>
      </c>
      <c r="J111" s="67">
        <v>46118</v>
      </c>
      <c r="K111" t="s">
        <v>2441</v>
      </c>
      <c r="L111" s="4">
        <v>8900</v>
      </c>
      <c r="M111" s="140" t="s">
        <v>49</v>
      </c>
    </row>
    <row r="112" spans="1:13" ht="20.100000000000001" customHeight="1">
      <c r="A112" s="67">
        <v>46127</v>
      </c>
      <c r="B112" t="s">
        <v>2656</v>
      </c>
      <c r="C112" s="4">
        <v>8500</v>
      </c>
      <c r="D112" s="65" t="s">
        <v>2427</v>
      </c>
      <c r="J112" s="67">
        <v>46127</v>
      </c>
      <c r="K112" t="s">
        <v>2656</v>
      </c>
      <c r="L112" s="4">
        <v>8500</v>
      </c>
      <c r="M112" s="140" t="s">
        <v>49</v>
      </c>
    </row>
    <row r="113" spans="1:14" ht="20.100000000000001" customHeight="1">
      <c r="A113" s="67">
        <v>46157</v>
      </c>
      <c r="B113" t="s">
        <v>2656</v>
      </c>
      <c r="C113" s="4">
        <v>8500</v>
      </c>
      <c r="D113" s="65" t="s">
        <v>2427</v>
      </c>
      <c r="J113" s="67">
        <v>46157</v>
      </c>
      <c r="K113" t="s">
        <v>2656</v>
      </c>
      <c r="L113" s="4">
        <v>8500</v>
      </c>
      <c r="M113" s="140" t="s">
        <v>49</v>
      </c>
    </row>
    <row r="114" spans="1:14" ht="20.100000000000001" customHeight="1">
      <c r="A114" s="67">
        <v>46143</v>
      </c>
      <c r="B114" t="s">
        <v>2656</v>
      </c>
      <c r="C114" s="4">
        <v>8500</v>
      </c>
      <c r="D114" s="65" t="s">
        <v>2427</v>
      </c>
      <c r="J114" s="67">
        <v>46143</v>
      </c>
      <c r="K114" t="s">
        <v>2656</v>
      </c>
      <c r="L114" s="4">
        <v>8500</v>
      </c>
      <c r="M114" s="140" t="s">
        <v>49</v>
      </c>
    </row>
    <row r="115" spans="1:14" ht="20.100000000000001" customHeight="1">
      <c r="A115" s="67">
        <v>46203</v>
      </c>
      <c r="B115" t="s">
        <v>2656</v>
      </c>
      <c r="C115" s="4">
        <v>8500</v>
      </c>
      <c r="D115" s="65" t="s">
        <v>2427</v>
      </c>
      <c r="J115" s="67">
        <v>46203</v>
      </c>
      <c r="K115" t="s">
        <v>2656</v>
      </c>
      <c r="L115" s="4">
        <v>8500</v>
      </c>
      <c r="M115" s="140" t="s">
        <v>49</v>
      </c>
    </row>
    <row r="116" spans="1:14" ht="20.100000000000001" customHeight="1">
      <c r="A116" s="67">
        <v>45940</v>
      </c>
      <c r="B116" t="s">
        <v>2537</v>
      </c>
      <c r="C116" s="4">
        <v>560</v>
      </c>
      <c r="D116" s="65" t="s">
        <v>2427</v>
      </c>
      <c r="J116" s="135">
        <v>45940</v>
      </c>
      <c r="K116" s="134" t="s">
        <v>2537</v>
      </c>
      <c r="L116" s="136">
        <v>560</v>
      </c>
      <c r="M116" s="137" t="s">
        <v>2427</v>
      </c>
      <c r="N116" s="134"/>
    </row>
    <row r="117" spans="1:14" s="9" customFormat="1" ht="33" customHeight="1">
      <c r="A117" s="67">
        <v>45967</v>
      </c>
      <c r="B117" t="s">
        <v>2537</v>
      </c>
      <c r="C117" s="4">
        <v>560</v>
      </c>
      <c r="D117" s="65" t="s">
        <v>2427</v>
      </c>
      <c r="J117" s="135">
        <v>45967</v>
      </c>
      <c r="K117" s="134" t="s">
        <v>2537</v>
      </c>
      <c r="L117" s="136">
        <v>560</v>
      </c>
      <c r="M117" s="137" t="s">
        <v>2427</v>
      </c>
      <c r="N117" s="134"/>
    </row>
    <row r="118" spans="1:14" ht="20.100000000000001" customHeight="1">
      <c r="A118" s="67">
        <v>45997</v>
      </c>
      <c r="B118" t="s">
        <v>2537</v>
      </c>
      <c r="C118" s="4">
        <v>560</v>
      </c>
      <c r="D118" s="65" t="s">
        <v>2427</v>
      </c>
      <c r="J118" s="135">
        <v>45997</v>
      </c>
      <c r="K118" s="134" t="s">
        <v>2537</v>
      </c>
      <c r="L118" s="136">
        <v>560</v>
      </c>
      <c r="M118" s="137" t="s">
        <v>2427</v>
      </c>
      <c r="N118" s="134"/>
    </row>
    <row r="119" spans="1:14" ht="20.100000000000001" customHeight="1">
      <c r="A119" s="67">
        <v>46028</v>
      </c>
      <c r="B119" t="s">
        <v>2537</v>
      </c>
      <c r="C119" s="4">
        <v>560</v>
      </c>
      <c r="D119" s="65" t="s">
        <v>2427</v>
      </c>
      <c r="J119" s="135">
        <v>46028</v>
      </c>
      <c r="K119" s="134" t="s">
        <v>2537</v>
      </c>
      <c r="L119" s="136">
        <v>560</v>
      </c>
      <c r="M119" s="137" t="s">
        <v>2427</v>
      </c>
      <c r="N119" s="134"/>
    </row>
    <row r="120" spans="1:14" ht="20.100000000000001" customHeight="1">
      <c r="A120" s="67">
        <v>46059</v>
      </c>
      <c r="B120" t="s">
        <v>2537</v>
      </c>
      <c r="C120" s="4">
        <v>560</v>
      </c>
      <c r="D120" s="65" t="s">
        <v>2427</v>
      </c>
      <c r="J120" s="135">
        <v>46059</v>
      </c>
      <c r="K120" s="134" t="s">
        <v>2537</v>
      </c>
      <c r="L120" s="136">
        <v>560</v>
      </c>
      <c r="M120" s="137" t="s">
        <v>2427</v>
      </c>
      <c r="N120" s="134"/>
    </row>
    <row r="121" spans="1:14" ht="20.100000000000001" customHeight="1">
      <c r="A121" s="67">
        <v>46087</v>
      </c>
      <c r="B121" t="s">
        <v>2537</v>
      </c>
      <c r="C121" s="4">
        <v>560</v>
      </c>
      <c r="D121" s="65" t="s">
        <v>2427</v>
      </c>
      <c r="J121" s="135">
        <v>46087</v>
      </c>
      <c r="K121" s="134" t="s">
        <v>2537</v>
      </c>
      <c r="L121" s="136">
        <v>560</v>
      </c>
      <c r="M121" s="137" t="s">
        <v>2427</v>
      </c>
      <c r="N121" s="134"/>
    </row>
    <row r="122" spans="1:14" ht="20.100000000000001" customHeight="1">
      <c r="A122" s="67">
        <v>46118</v>
      </c>
      <c r="B122" t="s">
        <v>2537</v>
      </c>
      <c r="C122" s="4">
        <v>560</v>
      </c>
      <c r="D122" s="65" t="s">
        <v>2427</v>
      </c>
      <c r="J122" s="135">
        <v>46118</v>
      </c>
      <c r="K122" s="134" t="s">
        <v>2537</v>
      </c>
      <c r="L122" s="136">
        <v>560</v>
      </c>
      <c r="M122" s="137" t="s">
        <v>2427</v>
      </c>
      <c r="N122" s="134"/>
    </row>
    <row r="123" spans="1:14" ht="20.100000000000001" customHeight="1">
      <c r="A123" s="67">
        <v>46148</v>
      </c>
      <c r="B123" t="s">
        <v>2537</v>
      </c>
      <c r="C123" s="4">
        <v>560</v>
      </c>
      <c r="D123" s="65" t="s">
        <v>2427</v>
      </c>
      <c r="J123" s="135">
        <v>46148</v>
      </c>
      <c r="K123" s="134" t="s">
        <v>2537</v>
      </c>
      <c r="L123" s="136">
        <v>560</v>
      </c>
      <c r="M123" s="137" t="s">
        <v>2427</v>
      </c>
      <c r="N123" s="134"/>
    </row>
    <row r="124" spans="1:14" ht="20.100000000000001" customHeight="1">
      <c r="A124" s="67">
        <v>46174</v>
      </c>
      <c r="B124" t="s">
        <v>2537</v>
      </c>
      <c r="C124" s="4">
        <v>560</v>
      </c>
      <c r="D124" s="65" t="s">
        <v>2427</v>
      </c>
      <c r="J124" s="135">
        <v>46174</v>
      </c>
      <c r="K124" s="134" t="s">
        <v>2537</v>
      </c>
      <c r="L124" s="136">
        <v>560</v>
      </c>
      <c r="M124" s="137" t="s">
        <v>2427</v>
      </c>
      <c r="N124" s="134"/>
    </row>
    <row r="125" spans="1:14" ht="20.100000000000001" customHeight="1">
      <c r="A125" s="67">
        <v>45930</v>
      </c>
      <c r="B125" t="s">
        <v>2444</v>
      </c>
      <c r="C125" s="4">
        <v>502.6</v>
      </c>
      <c r="D125" s="65" t="s">
        <v>2427</v>
      </c>
      <c r="J125" s="135">
        <v>45930</v>
      </c>
      <c r="K125" s="134" t="s">
        <v>2444</v>
      </c>
      <c r="L125" s="136">
        <v>502.6</v>
      </c>
      <c r="M125" s="137" t="s">
        <v>2427</v>
      </c>
      <c r="N125" s="134"/>
    </row>
    <row r="126" spans="1:14" ht="20.100000000000001" customHeight="1">
      <c r="A126" s="67">
        <v>45960</v>
      </c>
      <c r="B126" t="s">
        <v>2444</v>
      </c>
      <c r="C126" s="4">
        <v>502.6</v>
      </c>
      <c r="D126" s="65" t="s">
        <v>2427</v>
      </c>
      <c r="J126" s="135">
        <v>45960</v>
      </c>
      <c r="K126" s="134" t="s">
        <v>2444</v>
      </c>
      <c r="L126" s="136">
        <v>502.6</v>
      </c>
      <c r="M126" s="137" t="s">
        <v>2427</v>
      </c>
      <c r="N126" s="134"/>
    </row>
    <row r="127" spans="1:14" ht="20.100000000000001" customHeight="1">
      <c r="A127" s="67">
        <v>45991</v>
      </c>
      <c r="B127" t="s">
        <v>2444</v>
      </c>
      <c r="C127" s="4">
        <v>502.6</v>
      </c>
      <c r="D127" s="65" t="s">
        <v>2427</v>
      </c>
      <c r="J127" s="135">
        <v>45991</v>
      </c>
      <c r="K127" s="134" t="s">
        <v>2444</v>
      </c>
      <c r="L127" s="136">
        <v>502.6</v>
      </c>
      <c r="M127" s="137" t="s">
        <v>2427</v>
      </c>
      <c r="N127" s="134"/>
    </row>
    <row r="128" spans="1:14" s="9" customFormat="1">
      <c r="A128" s="67">
        <v>46021</v>
      </c>
      <c r="B128" t="s">
        <v>2444</v>
      </c>
      <c r="C128" s="4">
        <v>502.6</v>
      </c>
      <c r="D128" s="65" t="s">
        <v>2427</v>
      </c>
      <c r="J128" s="135">
        <v>46021</v>
      </c>
      <c r="K128" s="134" t="s">
        <v>2444</v>
      </c>
      <c r="L128" s="136">
        <v>502.6</v>
      </c>
      <c r="M128" s="137" t="s">
        <v>2427</v>
      </c>
      <c r="N128" s="134"/>
    </row>
    <row r="129" spans="1:14" ht="20.100000000000001" customHeight="1">
      <c r="A129" s="67">
        <v>46052</v>
      </c>
      <c r="B129" t="s">
        <v>2444</v>
      </c>
      <c r="C129" s="4">
        <v>502.6</v>
      </c>
      <c r="D129" s="65" t="s">
        <v>2427</v>
      </c>
      <c r="J129" s="135">
        <v>46052</v>
      </c>
      <c r="K129" s="134" t="s">
        <v>2444</v>
      </c>
      <c r="L129" s="136">
        <v>502.6</v>
      </c>
      <c r="M129" s="137" t="s">
        <v>2427</v>
      </c>
      <c r="N129" s="134"/>
    </row>
    <row r="130" spans="1:14" ht="20.100000000000001" customHeight="1">
      <c r="A130" s="67">
        <v>46081</v>
      </c>
      <c r="B130" t="s">
        <v>2444</v>
      </c>
      <c r="C130" s="4">
        <v>502.6</v>
      </c>
      <c r="D130" s="65" t="s">
        <v>2427</v>
      </c>
      <c r="J130" s="135">
        <v>46081</v>
      </c>
      <c r="K130" s="134" t="s">
        <v>2444</v>
      </c>
      <c r="L130" s="136">
        <v>502.6</v>
      </c>
      <c r="M130" s="137" t="s">
        <v>2427</v>
      </c>
      <c r="N130" s="134"/>
    </row>
    <row r="131" spans="1:14">
      <c r="A131" s="67">
        <v>46109</v>
      </c>
      <c r="B131" t="s">
        <v>2444</v>
      </c>
      <c r="C131" s="4">
        <v>502.6</v>
      </c>
      <c r="D131" s="65" t="s">
        <v>2427</v>
      </c>
      <c r="J131" s="135">
        <v>46109</v>
      </c>
      <c r="K131" s="134" t="s">
        <v>2444</v>
      </c>
      <c r="L131" s="136">
        <v>502.6</v>
      </c>
      <c r="M131" s="137" t="s">
        <v>2427</v>
      </c>
      <c r="N131" s="134"/>
    </row>
    <row r="132" spans="1:14" ht="20.100000000000001" customHeight="1">
      <c r="A132" s="67">
        <v>46140</v>
      </c>
      <c r="B132" t="s">
        <v>2444</v>
      </c>
      <c r="C132" s="4">
        <v>502.6</v>
      </c>
      <c r="D132" s="65" t="s">
        <v>2427</v>
      </c>
      <c r="J132" s="135">
        <v>46140</v>
      </c>
      <c r="K132" s="134" t="s">
        <v>2444</v>
      </c>
      <c r="L132" s="136">
        <v>502.6</v>
      </c>
      <c r="M132" s="137" t="s">
        <v>2427</v>
      </c>
      <c r="N132" s="134"/>
    </row>
    <row r="133" spans="1:14" ht="20.100000000000001" customHeight="1">
      <c r="A133" s="67">
        <v>46143</v>
      </c>
      <c r="B133" t="s">
        <v>2444</v>
      </c>
      <c r="C133" s="4">
        <v>502.6</v>
      </c>
      <c r="D133" s="65" t="s">
        <v>2427</v>
      </c>
      <c r="J133" s="135">
        <v>46143</v>
      </c>
      <c r="K133" s="134" t="s">
        <v>2444</v>
      </c>
      <c r="L133" s="136">
        <v>502.6</v>
      </c>
      <c r="M133" s="137" t="s">
        <v>2427</v>
      </c>
      <c r="N133" s="134"/>
    </row>
    <row r="134" spans="1:14" s="9" customFormat="1" ht="33" customHeight="1">
      <c r="A134" s="67">
        <v>46174</v>
      </c>
      <c r="B134" t="s">
        <v>2444</v>
      </c>
      <c r="C134" s="4">
        <v>502.6</v>
      </c>
      <c r="D134" s="65" t="s">
        <v>2427</v>
      </c>
      <c r="J134" s="135">
        <v>46174</v>
      </c>
      <c r="K134" s="134" t="s">
        <v>2444</v>
      </c>
      <c r="L134" s="136">
        <v>502.6</v>
      </c>
      <c r="M134" s="137" t="s">
        <v>2427</v>
      </c>
      <c r="N134" s="134"/>
    </row>
    <row r="135" spans="1:14" s="9" customFormat="1" ht="33" hidden="1" customHeight="1">
      <c r="A135" s="67">
        <v>45961</v>
      </c>
      <c r="B135" t="s">
        <v>2582</v>
      </c>
      <c r="C135" s="4">
        <v>50000</v>
      </c>
      <c r="D135" s="65" t="s">
        <v>2527</v>
      </c>
      <c r="J135" s="67">
        <v>45961</v>
      </c>
      <c r="K135" t="s">
        <v>2582</v>
      </c>
      <c r="L135" s="4">
        <v>50000</v>
      </c>
      <c r="M135" s="65" t="s">
        <v>2527</v>
      </c>
    </row>
    <row r="136" spans="1:14" s="9" customFormat="1" ht="33" customHeight="1">
      <c r="A136" s="67">
        <v>46233</v>
      </c>
      <c r="B136" t="s">
        <v>2592</v>
      </c>
      <c r="C136" s="4">
        <v>331.18</v>
      </c>
      <c r="D136" s="65" t="s">
        <v>2427</v>
      </c>
      <c r="J136" s="135">
        <v>46233</v>
      </c>
      <c r="K136" s="134" t="s">
        <v>2592</v>
      </c>
      <c r="L136" s="136">
        <v>331.18</v>
      </c>
      <c r="M136" s="137" t="s">
        <v>2427</v>
      </c>
      <c r="N136" s="134" t="s">
        <v>316</v>
      </c>
    </row>
    <row r="137" spans="1:14" s="9" customFormat="1" ht="33" customHeight="1">
      <c r="A137" s="67">
        <v>46233</v>
      </c>
      <c r="B137" t="s">
        <v>2592</v>
      </c>
      <c r="C137" s="4">
        <v>220.16</v>
      </c>
      <c r="D137" s="65" t="s">
        <v>2427</v>
      </c>
      <c r="J137" s="135">
        <v>46233</v>
      </c>
      <c r="K137" s="134" t="s">
        <v>2592</v>
      </c>
      <c r="L137" s="136">
        <v>220.16</v>
      </c>
      <c r="M137" s="137" t="s">
        <v>2427</v>
      </c>
      <c r="N137" s="134" t="s">
        <v>316</v>
      </c>
    </row>
    <row r="138" spans="1:14" ht="20.100000000000001" customHeight="1">
      <c r="A138" s="67">
        <v>45960</v>
      </c>
      <c r="B138" t="s">
        <v>3160</v>
      </c>
      <c r="C138" s="4">
        <f t="shared" ref="C138:C145" si="6">105000/8</f>
        <v>13125</v>
      </c>
      <c r="D138" s="65" t="s">
        <v>2427</v>
      </c>
      <c r="J138" s="135">
        <v>45960</v>
      </c>
      <c r="K138" s="134" t="s">
        <v>3160</v>
      </c>
      <c r="L138" s="136">
        <f t="shared" ref="L138:L145" si="7">105000/8</f>
        <v>13125</v>
      </c>
      <c r="M138" s="137" t="s">
        <v>2427</v>
      </c>
      <c r="N138" s="134" t="s">
        <v>3161</v>
      </c>
    </row>
    <row r="139" spans="1:14" ht="20.100000000000001" customHeight="1">
      <c r="A139" s="67">
        <v>45991</v>
      </c>
      <c r="B139" t="s">
        <v>3160</v>
      </c>
      <c r="C139" s="4">
        <f t="shared" si="6"/>
        <v>13125</v>
      </c>
      <c r="D139" s="65" t="s">
        <v>2427</v>
      </c>
      <c r="J139" s="135">
        <v>45991</v>
      </c>
      <c r="K139" s="134" t="s">
        <v>3160</v>
      </c>
      <c r="L139" s="136">
        <f t="shared" si="7"/>
        <v>13125</v>
      </c>
      <c r="M139" s="137" t="s">
        <v>2427</v>
      </c>
      <c r="N139" s="134" t="s">
        <v>3161</v>
      </c>
    </row>
    <row r="140" spans="1:14" ht="20.100000000000001" customHeight="1">
      <c r="A140" s="67">
        <v>46021</v>
      </c>
      <c r="B140" t="s">
        <v>3160</v>
      </c>
      <c r="C140" s="4">
        <f t="shared" si="6"/>
        <v>13125</v>
      </c>
      <c r="D140" s="65" t="s">
        <v>2427</v>
      </c>
      <c r="J140" s="135">
        <v>46021</v>
      </c>
      <c r="K140" s="134" t="s">
        <v>3160</v>
      </c>
      <c r="L140" s="136">
        <f t="shared" si="7"/>
        <v>13125</v>
      </c>
      <c r="M140" s="137" t="s">
        <v>2427</v>
      </c>
      <c r="N140" s="134" t="s">
        <v>3161</v>
      </c>
    </row>
    <row r="141" spans="1:14" ht="20.100000000000001" customHeight="1">
      <c r="A141" s="67">
        <v>46052</v>
      </c>
      <c r="B141" t="s">
        <v>3160</v>
      </c>
      <c r="C141" s="4">
        <f t="shared" si="6"/>
        <v>13125</v>
      </c>
      <c r="D141" s="65" t="s">
        <v>2427</v>
      </c>
      <c r="J141" s="135">
        <v>46052</v>
      </c>
      <c r="K141" s="134" t="s">
        <v>3160</v>
      </c>
      <c r="L141" s="136">
        <f t="shared" si="7"/>
        <v>13125</v>
      </c>
      <c r="M141" s="137" t="s">
        <v>2427</v>
      </c>
      <c r="N141" s="134" t="s">
        <v>3161</v>
      </c>
    </row>
    <row r="142" spans="1:14" ht="20.100000000000001" customHeight="1">
      <c r="A142" s="67">
        <v>46081</v>
      </c>
      <c r="B142" t="s">
        <v>3160</v>
      </c>
      <c r="C142" s="4">
        <f t="shared" si="6"/>
        <v>13125</v>
      </c>
      <c r="D142" s="65" t="s">
        <v>2427</v>
      </c>
      <c r="J142" s="135">
        <v>46081</v>
      </c>
      <c r="K142" s="134" t="s">
        <v>3160</v>
      </c>
      <c r="L142" s="136">
        <f t="shared" si="7"/>
        <v>13125</v>
      </c>
      <c r="M142" s="137" t="s">
        <v>2427</v>
      </c>
      <c r="N142" s="134" t="s">
        <v>3161</v>
      </c>
    </row>
    <row r="143" spans="1:14" s="9" customFormat="1" ht="33" customHeight="1">
      <c r="A143" s="67">
        <v>46111</v>
      </c>
      <c r="B143" t="s">
        <v>3160</v>
      </c>
      <c r="C143" s="4">
        <f t="shared" si="6"/>
        <v>13125</v>
      </c>
      <c r="D143" s="65" t="s">
        <v>2427</v>
      </c>
      <c r="J143" s="135">
        <v>46111</v>
      </c>
      <c r="K143" s="134" t="s">
        <v>3160</v>
      </c>
      <c r="L143" s="136">
        <f t="shared" si="7"/>
        <v>13125</v>
      </c>
      <c r="M143" s="137" t="s">
        <v>2427</v>
      </c>
      <c r="N143" s="134" t="s">
        <v>3161</v>
      </c>
    </row>
    <row r="144" spans="1:14" ht="20.100000000000001" customHeight="1">
      <c r="A144" s="67">
        <v>46127</v>
      </c>
      <c r="B144" t="s">
        <v>3160</v>
      </c>
      <c r="C144" s="4">
        <f t="shared" si="6"/>
        <v>13125</v>
      </c>
      <c r="D144" s="65" t="s">
        <v>2427</v>
      </c>
      <c r="J144" s="135">
        <v>46127</v>
      </c>
      <c r="K144" s="134" t="s">
        <v>3160</v>
      </c>
      <c r="L144" s="136">
        <f t="shared" si="7"/>
        <v>13125</v>
      </c>
      <c r="M144" s="137" t="s">
        <v>2427</v>
      </c>
      <c r="N144" s="134" t="s">
        <v>3161</v>
      </c>
    </row>
    <row r="145" spans="1:14" ht="20.100000000000001" customHeight="1">
      <c r="A145" s="67">
        <v>46157</v>
      </c>
      <c r="B145" t="s">
        <v>3160</v>
      </c>
      <c r="C145" s="4">
        <f t="shared" si="6"/>
        <v>13125</v>
      </c>
      <c r="D145" s="65" t="s">
        <v>2427</v>
      </c>
      <c r="J145" s="135">
        <v>46157</v>
      </c>
      <c r="K145" s="134" t="s">
        <v>3160</v>
      </c>
      <c r="L145" s="136">
        <f t="shared" si="7"/>
        <v>13125</v>
      </c>
      <c r="M145" s="137" t="s">
        <v>2427</v>
      </c>
      <c r="N145" s="134" t="s">
        <v>3161</v>
      </c>
    </row>
    <row r="146" spans="1:14" ht="20.100000000000001" customHeight="1">
      <c r="A146" s="67">
        <v>45940</v>
      </c>
      <c r="B146" t="s">
        <v>3162</v>
      </c>
      <c r="C146" s="4">
        <f>28000/4</f>
        <v>7000</v>
      </c>
      <c r="D146" s="65" t="s">
        <v>2427</v>
      </c>
      <c r="J146" s="135">
        <v>45940</v>
      </c>
      <c r="K146" s="134" t="s">
        <v>3162</v>
      </c>
      <c r="L146" s="136">
        <f>28000/4</f>
        <v>7000</v>
      </c>
      <c r="M146" s="137" t="s">
        <v>2427</v>
      </c>
      <c r="N146" s="134" t="s">
        <v>3163</v>
      </c>
    </row>
    <row r="147" spans="1:14" ht="20.100000000000001" customHeight="1">
      <c r="A147" s="67">
        <v>46052</v>
      </c>
      <c r="B147" t="s">
        <v>3162</v>
      </c>
      <c r="C147" s="4">
        <f>28000/4</f>
        <v>7000</v>
      </c>
      <c r="D147" s="65" t="s">
        <v>2427</v>
      </c>
      <c r="J147" s="135">
        <v>46052</v>
      </c>
      <c r="K147" s="134" t="s">
        <v>3162</v>
      </c>
      <c r="L147" s="136">
        <f>28000/4</f>
        <v>7000</v>
      </c>
      <c r="M147" s="137" t="s">
        <v>2427</v>
      </c>
      <c r="N147" s="134" t="s">
        <v>3163</v>
      </c>
    </row>
    <row r="148" spans="1:14" ht="20.100000000000001" customHeight="1">
      <c r="A148" s="67">
        <v>46111</v>
      </c>
      <c r="B148" t="s">
        <v>3162</v>
      </c>
      <c r="C148" s="4">
        <f>28000/4</f>
        <v>7000</v>
      </c>
      <c r="D148" s="65" t="s">
        <v>2427</v>
      </c>
      <c r="J148" s="135">
        <v>46111</v>
      </c>
      <c r="K148" s="134" t="s">
        <v>3162</v>
      </c>
      <c r="L148" s="136">
        <f>28000/4</f>
        <v>7000</v>
      </c>
      <c r="M148" s="137" t="s">
        <v>2427</v>
      </c>
      <c r="N148" s="134" t="s">
        <v>3163</v>
      </c>
    </row>
    <row r="149" spans="1:14" ht="20.100000000000001" customHeight="1">
      <c r="A149" s="67">
        <v>46157</v>
      </c>
      <c r="B149" t="s">
        <v>3162</v>
      </c>
      <c r="C149" s="4">
        <f>28000/4</f>
        <v>7000</v>
      </c>
      <c r="D149" s="65" t="s">
        <v>2427</v>
      </c>
      <c r="J149" s="135">
        <v>46157</v>
      </c>
      <c r="K149" s="134" t="s">
        <v>3162</v>
      </c>
      <c r="L149" s="136">
        <f>28000/4</f>
        <v>7000</v>
      </c>
      <c r="M149" s="137" t="s">
        <v>2427</v>
      </c>
      <c r="N149" s="134" t="s">
        <v>3163</v>
      </c>
    </row>
    <row r="150" spans="1:14" ht="20.100000000000001" customHeight="1">
      <c r="A150" s="67">
        <v>45940</v>
      </c>
      <c r="B150" t="s">
        <v>3164</v>
      </c>
      <c r="C150" s="4">
        <v>3206.4</v>
      </c>
      <c r="D150" s="65" t="s">
        <v>2427</v>
      </c>
      <c r="J150" s="135">
        <v>45940</v>
      </c>
      <c r="K150" s="134" t="s">
        <v>3164</v>
      </c>
      <c r="L150" s="136">
        <v>3206.4</v>
      </c>
      <c r="M150" s="137" t="s">
        <v>2427</v>
      </c>
      <c r="N150" s="134" t="s">
        <v>316</v>
      </c>
    </row>
    <row r="151" spans="1:14" s="9" customFormat="1" ht="33" customHeight="1">
      <c r="A151" s="67">
        <v>45940</v>
      </c>
      <c r="B151" t="s">
        <v>2589</v>
      </c>
      <c r="C151" s="4">
        <v>3528</v>
      </c>
      <c r="D151" s="65" t="s">
        <v>2427</v>
      </c>
      <c r="J151" s="135">
        <v>45940</v>
      </c>
      <c r="K151" s="134" t="s">
        <v>2589</v>
      </c>
      <c r="L151" s="136">
        <v>3528</v>
      </c>
      <c r="M151" s="137" t="s">
        <v>2427</v>
      </c>
      <c r="N151" s="134" t="s">
        <v>316</v>
      </c>
    </row>
    <row r="152" spans="1:14" ht="20.100000000000001" customHeight="1">
      <c r="A152" s="67">
        <v>45940</v>
      </c>
      <c r="B152" t="s">
        <v>2558</v>
      </c>
      <c r="C152" s="4">
        <v>329</v>
      </c>
      <c r="D152" s="65" t="s">
        <v>2427</v>
      </c>
      <c r="J152" s="135">
        <v>45940</v>
      </c>
      <c r="K152" s="134" t="s">
        <v>2558</v>
      </c>
      <c r="L152" s="136">
        <v>329</v>
      </c>
      <c r="M152" s="137" t="s">
        <v>2427</v>
      </c>
      <c r="N152" s="134" t="s">
        <v>316</v>
      </c>
    </row>
    <row r="153" spans="1:14" ht="20.100000000000001" customHeight="1">
      <c r="A153" s="67">
        <v>45960</v>
      </c>
      <c r="B153" t="s">
        <v>3165</v>
      </c>
      <c r="C153" s="4">
        <v>11190</v>
      </c>
      <c r="D153" s="65" t="s">
        <v>2427</v>
      </c>
      <c r="J153" s="135">
        <v>45960</v>
      </c>
      <c r="K153" s="134" t="s">
        <v>3165</v>
      </c>
      <c r="L153" s="136">
        <v>11190</v>
      </c>
      <c r="M153" s="137" t="s">
        <v>2427</v>
      </c>
      <c r="N153" s="134" t="s">
        <v>3166</v>
      </c>
    </row>
    <row r="154" spans="1:14" ht="20.100000000000001" customHeight="1">
      <c r="A154" s="67">
        <v>46021</v>
      </c>
      <c r="B154" t="s">
        <v>3165</v>
      </c>
      <c r="C154" s="4">
        <v>10000</v>
      </c>
      <c r="D154" s="65" t="s">
        <v>2427</v>
      </c>
      <c r="J154" s="135">
        <v>46021</v>
      </c>
      <c r="K154" s="134" t="s">
        <v>3165</v>
      </c>
      <c r="L154" s="136">
        <v>10000</v>
      </c>
      <c r="M154" s="137" t="s">
        <v>2427</v>
      </c>
      <c r="N154" s="134" t="s">
        <v>3166</v>
      </c>
    </row>
    <row r="155" spans="1:14" ht="20.100000000000001" customHeight="1">
      <c r="A155" s="67">
        <v>46081</v>
      </c>
      <c r="B155" t="s">
        <v>3165</v>
      </c>
      <c r="C155" s="4">
        <v>10000</v>
      </c>
      <c r="D155" s="65" t="s">
        <v>2427</v>
      </c>
      <c r="J155" s="135">
        <v>46081</v>
      </c>
      <c r="K155" s="134" t="s">
        <v>3165</v>
      </c>
      <c r="L155" s="136">
        <v>10000</v>
      </c>
      <c r="M155" s="137" t="s">
        <v>2427</v>
      </c>
      <c r="N155" s="134" t="s">
        <v>3166</v>
      </c>
    </row>
    <row r="156" spans="1:14" ht="20.100000000000001" customHeight="1">
      <c r="A156" s="67">
        <v>45940</v>
      </c>
      <c r="B156" t="s">
        <v>3167</v>
      </c>
      <c r="C156" s="4">
        <v>366</v>
      </c>
      <c r="D156" s="65" t="s">
        <v>2427</v>
      </c>
      <c r="J156" s="135">
        <v>45940</v>
      </c>
      <c r="K156" s="134" t="s">
        <v>3167</v>
      </c>
      <c r="L156" s="136">
        <v>366</v>
      </c>
      <c r="M156" s="137" t="s">
        <v>2427</v>
      </c>
      <c r="N156" s="134" t="s">
        <v>3140</v>
      </c>
    </row>
    <row r="157" spans="1:14" ht="20.100000000000001" customHeight="1">
      <c r="A157" s="67">
        <v>45940</v>
      </c>
      <c r="B157" t="s">
        <v>3168</v>
      </c>
      <c r="C157" s="4">
        <v>19000</v>
      </c>
      <c r="D157" s="65" t="s">
        <v>2427</v>
      </c>
      <c r="J157" s="135">
        <v>45940</v>
      </c>
      <c r="K157" s="134" t="s">
        <v>3168</v>
      </c>
      <c r="L157" s="136">
        <v>19000</v>
      </c>
      <c r="M157" s="137" t="s">
        <v>2427</v>
      </c>
      <c r="N157" s="134"/>
    </row>
    <row r="158" spans="1:14" ht="20.100000000000001" customHeight="1">
      <c r="A158" s="67">
        <v>45930</v>
      </c>
      <c r="B158" t="s">
        <v>3169</v>
      </c>
      <c r="C158" s="4">
        <v>25000</v>
      </c>
      <c r="D158" s="65" t="s">
        <v>2427</v>
      </c>
      <c r="J158" s="135">
        <v>45930</v>
      </c>
      <c r="K158" s="134" t="s">
        <v>3169</v>
      </c>
      <c r="L158" s="136">
        <v>25000</v>
      </c>
      <c r="M158" s="137" t="s">
        <v>2427</v>
      </c>
      <c r="N158" s="134" t="s">
        <v>3140</v>
      </c>
    </row>
    <row r="159" spans="1:14" ht="20.100000000000001" customHeight="1">
      <c r="A159" s="67">
        <v>45960</v>
      </c>
      <c r="B159" t="s">
        <v>2871</v>
      </c>
      <c r="C159" s="4">
        <v>15000</v>
      </c>
      <c r="D159" s="65" t="s">
        <v>2427</v>
      </c>
      <c r="J159" s="135">
        <v>45960</v>
      </c>
      <c r="K159" s="134" t="s">
        <v>2871</v>
      </c>
      <c r="L159" s="136">
        <v>15000</v>
      </c>
      <c r="M159" s="137" t="s">
        <v>2427</v>
      </c>
      <c r="N159" s="139" t="s">
        <v>3170</v>
      </c>
    </row>
    <row r="160" spans="1:14" ht="20.100000000000001" customHeight="1">
      <c r="A160" s="67">
        <v>45991</v>
      </c>
      <c r="B160" t="s">
        <v>2871</v>
      </c>
      <c r="C160" s="4">
        <v>15000</v>
      </c>
      <c r="D160" s="65" t="s">
        <v>2427</v>
      </c>
      <c r="J160" s="135">
        <v>45991</v>
      </c>
      <c r="K160" s="134" t="s">
        <v>2871</v>
      </c>
      <c r="L160" s="136">
        <v>15000</v>
      </c>
      <c r="M160" s="137" t="s">
        <v>2427</v>
      </c>
      <c r="N160" s="139" t="s">
        <v>3170</v>
      </c>
    </row>
    <row r="161" spans="1:14" ht="20.100000000000001" customHeight="1">
      <c r="A161" s="67">
        <v>46021</v>
      </c>
      <c r="B161" t="s">
        <v>2871</v>
      </c>
      <c r="C161" s="4">
        <v>10000</v>
      </c>
      <c r="D161" s="65" t="s">
        <v>2427</v>
      </c>
      <c r="J161" s="135">
        <v>46021</v>
      </c>
      <c r="K161" s="134" t="s">
        <v>2871</v>
      </c>
      <c r="L161" s="136">
        <v>10000</v>
      </c>
      <c r="M161" s="137" t="s">
        <v>2427</v>
      </c>
      <c r="N161" s="139" t="s">
        <v>3170</v>
      </c>
    </row>
    <row r="162" spans="1:14" ht="20.100000000000001" customHeight="1">
      <c r="A162" s="67">
        <v>46052</v>
      </c>
      <c r="B162" t="s">
        <v>2871</v>
      </c>
      <c r="C162" s="4">
        <v>15000</v>
      </c>
      <c r="D162" s="65" t="s">
        <v>2427</v>
      </c>
      <c r="J162" s="135">
        <v>46052</v>
      </c>
      <c r="K162" s="134" t="s">
        <v>2871</v>
      </c>
      <c r="L162" s="136">
        <v>15000</v>
      </c>
      <c r="M162" s="137" t="s">
        <v>2427</v>
      </c>
      <c r="N162" s="139" t="s">
        <v>3170</v>
      </c>
    </row>
    <row r="163" spans="1:14" ht="20.100000000000001" customHeight="1">
      <c r="A163" s="67">
        <v>46081</v>
      </c>
      <c r="B163" t="s">
        <v>2871</v>
      </c>
      <c r="C163" s="4">
        <v>10000</v>
      </c>
      <c r="D163" s="65" t="s">
        <v>2427</v>
      </c>
      <c r="J163" s="135">
        <v>46081</v>
      </c>
      <c r="K163" s="134" t="s">
        <v>2871</v>
      </c>
      <c r="L163" s="136">
        <v>10000</v>
      </c>
      <c r="M163" s="137" t="s">
        <v>2427</v>
      </c>
      <c r="N163" s="139" t="s">
        <v>3170</v>
      </c>
    </row>
    <row r="164" spans="1:14" ht="20.100000000000001" customHeight="1">
      <c r="A164" s="67">
        <v>45960</v>
      </c>
      <c r="B164" t="s">
        <v>2567</v>
      </c>
      <c r="C164" s="4">
        <v>5695</v>
      </c>
      <c r="D164" s="65" t="s">
        <v>2427</v>
      </c>
      <c r="J164" s="135">
        <v>45960</v>
      </c>
      <c r="K164" s="134" t="s">
        <v>2567</v>
      </c>
      <c r="L164" s="136">
        <v>5695</v>
      </c>
      <c r="M164" s="137" t="s">
        <v>2427</v>
      </c>
      <c r="N164" s="134"/>
    </row>
    <row r="165" spans="1:14" ht="20.100000000000001" customHeight="1">
      <c r="A165" s="67">
        <v>45940</v>
      </c>
      <c r="B165" t="s">
        <v>3171</v>
      </c>
      <c r="C165" s="4">
        <v>6000</v>
      </c>
      <c r="D165" s="65" t="s">
        <v>2427</v>
      </c>
      <c r="J165" s="135">
        <v>45940</v>
      </c>
      <c r="K165" s="134" t="s">
        <v>3171</v>
      </c>
      <c r="L165" s="136">
        <v>6000</v>
      </c>
      <c r="M165" s="137" t="s">
        <v>2427</v>
      </c>
      <c r="N165" s="134"/>
    </row>
    <row r="166" spans="1:14" ht="20.100000000000001" customHeight="1">
      <c r="A166" s="67">
        <v>45945</v>
      </c>
      <c r="B166" t="s">
        <v>2446</v>
      </c>
      <c r="C166" s="4">
        <v>10000</v>
      </c>
      <c r="D166" s="65" t="s">
        <v>2427</v>
      </c>
      <c r="J166" s="135">
        <v>45945</v>
      </c>
      <c r="K166" s="134" t="s">
        <v>2446</v>
      </c>
      <c r="L166" s="136">
        <v>10000</v>
      </c>
      <c r="M166" s="137" t="s">
        <v>2427</v>
      </c>
      <c r="N166" s="134"/>
    </row>
    <row r="167" spans="1:14" ht="20.100000000000001" customHeight="1">
      <c r="A167" s="67">
        <v>45991</v>
      </c>
      <c r="B167" t="s">
        <v>2446</v>
      </c>
      <c r="C167" s="4">
        <v>10000</v>
      </c>
      <c r="D167" s="65" t="s">
        <v>2427</v>
      </c>
      <c r="J167" s="67">
        <v>45991</v>
      </c>
      <c r="K167" t="s">
        <v>2446</v>
      </c>
      <c r="L167" s="4">
        <v>10000</v>
      </c>
      <c r="M167" s="140" t="s">
        <v>49</v>
      </c>
    </row>
    <row r="168" spans="1:14" ht="20.100000000000001" customHeight="1">
      <c r="A168" s="67">
        <v>46006</v>
      </c>
      <c r="B168" t="s">
        <v>2446</v>
      </c>
      <c r="C168" s="4">
        <v>10000</v>
      </c>
      <c r="D168" s="65" t="s">
        <v>2427</v>
      </c>
      <c r="J168" s="67">
        <v>46006</v>
      </c>
      <c r="K168" t="s">
        <v>2446</v>
      </c>
      <c r="L168" s="4">
        <v>10000</v>
      </c>
      <c r="M168" s="140" t="s">
        <v>49</v>
      </c>
    </row>
    <row r="169" spans="1:14" ht="20.100000000000001" customHeight="1">
      <c r="A169" s="67">
        <v>46037</v>
      </c>
      <c r="B169" t="s">
        <v>2446</v>
      </c>
      <c r="C169" s="4">
        <v>10000</v>
      </c>
      <c r="D169" s="65" t="s">
        <v>2427</v>
      </c>
      <c r="J169" s="67">
        <v>46037</v>
      </c>
      <c r="K169" t="s">
        <v>2446</v>
      </c>
      <c r="L169" s="4">
        <v>10000</v>
      </c>
      <c r="M169" s="140" t="s">
        <v>49</v>
      </c>
    </row>
    <row r="170" spans="1:14" ht="20.100000000000001" customHeight="1">
      <c r="A170" s="67">
        <v>46068</v>
      </c>
      <c r="B170" t="s">
        <v>2446</v>
      </c>
      <c r="C170" s="4">
        <v>10000</v>
      </c>
      <c r="D170" s="65" t="s">
        <v>2427</v>
      </c>
      <c r="J170" s="67">
        <v>46068</v>
      </c>
      <c r="K170" t="s">
        <v>2446</v>
      </c>
      <c r="L170" s="4">
        <v>10000</v>
      </c>
      <c r="M170" s="140" t="s">
        <v>49</v>
      </c>
    </row>
    <row r="171" spans="1:14" ht="20.100000000000001" customHeight="1">
      <c r="A171" s="67">
        <v>46096</v>
      </c>
      <c r="B171" t="s">
        <v>2446</v>
      </c>
      <c r="C171" s="4">
        <v>10000</v>
      </c>
      <c r="D171" s="65" t="s">
        <v>2427</v>
      </c>
      <c r="J171" s="67">
        <v>46096</v>
      </c>
      <c r="K171" t="s">
        <v>2446</v>
      </c>
      <c r="L171" s="4">
        <v>10000</v>
      </c>
      <c r="M171" s="140" t="s">
        <v>49</v>
      </c>
    </row>
    <row r="172" spans="1:14" ht="20.100000000000001" customHeight="1">
      <c r="A172" s="67">
        <v>46127</v>
      </c>
      <c r="B172" t="s">
        <v>2446</v>
      </c>
      <c r="C172" s="4">
        <v>10000</v>
      </c>
      <c r="D172" s="65" t="s">
        <v>2427</v>
      </c>
      <c r="J172" s="67">
        <v>46127</v>
      </c>
      <c r="K172" t="s">
        <v>2446</v>
      </c>
      <c r="L172" s="4">
        <v>10000</v>
      </c>
      <c r="M172" s="140" t="s">
        <v>49</v>
      </c>
    </row>
    <row r="173" spans="1:14" ht="20.100000000000001" customHeight="1">
      <c r="A173" s="67">
        <v>46157</v>
      </c>
      <c r="B173" t="s">
        <v>2446</v>
      </c>
      <c r="C173" s="4">
        <v>10000</v>
      </c>
      <c r="D173" s="65" t="s">
        <v>2427</v>
      </c>
      <c r="J173" s="67">
        <v>46157</v>
      </c>
      <c r="K173" t="s">
        <v>2446</v>
      </c>
      <c r="L173" s="4">
        <v>10000</v>
      </c>
      <c r="M173" s="140" t="s">
        <v>49</v>
      </c>
    </row>
    <row r="174" spans="1:14" ht="20.100000000000001" customHeight="1">
      <c r="A174" s="67">
        <v>46174</v>
      </c>
      <c r="B174" t="s">
        <v>2446</v>
      </c>
      <c r="C174" s="4">
        <v>10000</v>
      </c>
      <c r="D174" s="65" t="s">
        <v>2427</v>
      </c>
      <c r="J174" s="67">
        <v>46174</v>
      </c>
      <c r="K174" t="s">
        <v>2446</v>
      </c>
      <c r="L174" s="4">
        <v>10000</v>
      </c>
      <c r="M174" s="140" t="s">
        <v>49</v>
      </c>
    </row>
    <row r="175" spans="1:14" ht="20.100000000000001" customHeight="1">
      <c r="A175" s="67">
        <v>45932</v>
      </c>
      <c r="B175" t="s">
        <v>3172</v>
      </c>
      <c r="C175" s="4">
        <v>800</v>
      </c>
      <c r="D175" s="65" t="s">
        <v>2427</v>
      </c>
      <c r="J175" s="135">
        <v>45932</v>
      </c>
      <c r="K175" s="134" t="s">
        <v>3172</v>
      </c>
      <c r="L175" s="136">
        <v>800</v>
      </c>
      <c r="M175" s="137" t="s">
        <v>2427</v>
      </c>
      <c r="N175" s="134"/>
    </row>
    <row r="176" spans="1:14" ht="20.100000000000001" customHeight="1">
      <c r="A176" s="67">
        <v>45945</v>
      </c>
      <c r="B176" t="s">
        <v>3173</v>
      </c>
      <c r="C176" s="4">
        <f>12180/4</f>
        <v>3045</v>
      </c>
      <c r="D176" s="65" t="s">
        <v>2427</v>
      </c>
      <c r="J176" s="135">
        <v>45945</v>
      </c>
      <c r="K176" s="134" t="s">
        <v>3173</v>
      </c>
      <c r="L176" s="136">
        <f>12180/4</f>
        <v>3045</v>
      </c>
      <c r="M176" s="137" t="s">
        <v>2427</v>
      </c>
      <c r="N176" s="134" t="s">
        <v>3174</v>
      </c>
    </row>
    <row r="177" spans="1:14" ht="20.100000000000001" customHeight="1">
      <c r="A177" s="67">
        <v>45976</v>
      </c>
      <c r="B177" t="s">
        <v>3173</v>
      </c>
      <c r="C177" s="4">
        <f>12180/4</f>
        <v>3045</v>
      </c>
      <c r="D177" s="65" t="s">
        <v>2427</v>
      </c>
      <c r="J177" s="135">
        <v>45976</v>
      </c>
      <c r="K177" s="134" t="s">
        <v>3173</v>
      </c>
      <c r="L177" s="136">
        <f>12180/4</f>
        <v>3045</v>
      </c>
      <c r="M177" s="137" t="s">
        <v>2427</v>
      </c>
      <c r="N177" s="134" t="s">
        <v>3174</v>
      </c>
    </row>
    <row r="178" spans="1:14" ht="20.100000000000001" customHeight="1">
      <c r="A178" s="67">
        <v>46021</v>
      </c>
      <c r="B178" t="s">
        <v>3173</v>
      </c>
      <c r="C178" s="4">
        <f>12180/4</f>
        <v>3045</v>
      </c>
      <c r="D178" s="65" t="s">
        <v>2427</v>
      </c>
      <c r="J178" s="135">
        <v>46021</v>
      </c>
      <c r="K178" s="134" t="s">
        <v>3173</v>
      </c>
      <c r="L178" s="136">
        <f>12180/4</f>
        <v>3045</v>
      </c>
      <c r="M178" s="137" t="s">
        <v>2427</v>
      </c>
      <c r="N178" s="134" t="s">
        <v>3174</v>
      </c>
    </row>
    <row r="179" spans="1:14" ht="20.100000000000001" customHeight="1">
      <c r="A179" s="67">
        <v>46052</v>
      </c>
      <c r="B179" t="s">
        <v>3173</v>
      </c>
      <c r="C179" s="4">
        <f>12180/4</f>
        <v>3045</v>
      </c>
      <c r="D179" s="65" t="s">
        <v>2427</v>
      </c>
      <c r="J179" s="135">
        <v>46052</v>
      </c>
      <c r="K179" s="134" t="s">
        <v>3173</v>
      </c>
      <c r="L179" s="136">
        <f>12180/4</f>
        <v>3045</v>
      </c>
      <c r="M179" s="137" t="s">
        <v>2427</v>
      </c>
      <c r="N179" s="134" t="s">
        <v>3174</v>
      </c>
    </row>
    <row r="180" spans="1:14" ht="20.100000000000001" customHeight="1">
      <c r="A180" s="67">
        <v>45945</v>
      </c>
      <c r="B180" t="s">
        <v>2327</v>
      </c>
      <c r="C180" s="4">
        <v>2215.7600000000002</v>
      </c>
      <c r="D180" s="65" t="s">
        <v>2427</v>
      </c>
      <c r="J180" s="135">
        <v>45945</v>
      </c>
      <c r="K180" s="134" t="s">
        <v>2327</v>
      </c>
      <c r="L180" s="136">
        <v>2215.7600000000002</v>
      </c>
      <c r="M180" s="137" t="s">
        <v>2427</v>
      </c>
      <c r="N180" s="134"/>
    </row>
    <row r="181" spans="1:14" ht="20.100000000000001" customHeight="1">
      <c r="A181" s="67">
        <v>45960</v>
      </c>
      <c r="B181" t="s">
        <v>2841</v>
      </c>
      <c r="C181" s="4">
        <v>21500</v>
      </c>
      <c r="D181" s="65" t="s">
        <v>2427</v>
      </c>
      <c r="J181" s="135">
        <v>45960</v>
      </c>
      <c r="K181" s="134" t="s">
        <v>2841</v>
      </c>
      <c r="L181" s="136">
        <v>21500</v>
      </c>
      <c r="M181" s="137" t="s">
        <v>2427</v>
      </c>
      <c r="N181" s="134" t="s">
        <v>3175</v>
      </c>
    </row>
    <row r="182" spans="1:14" ht="20.100000000000001" customHeight="1">
      <c r="A182" s="67">
        <v>45991</v>
      </c>
      <c r="B182" t="s">
        <v>2841</v>
      </c>
      <c r="C182" s="4">
        <v>21500</v>
      </c>
      <c r="D182" s="65" t="s">
        <v>2427</v>
      </c>
      <c r="J182" s="135">
        <v>45991</v>
      </c>
      <c r="K182" s="134" t="s">
        <v>2841</v>
      </c>
      <c r="L182" s="136">
        <v>21500</v>
      </c>
      <c r="M182" s="137" t="s">
        <v>2427</v>
      </c>
      <c r="N182" s="134" t="s">
        <v>3175</v>
      </c>
    </row>
    <row r="183" spans="1:14" ht="20.100000000000001" customHeight="1">
      <c r="A183" s="67">
        <v>46081</v>
      </c>
      <c r="B183" t="s">
        <v>2841</v>
      </c>
      <c r="C183" s="4">
        <v>10500</v>
      </c>
      <c r="D183" s="65" t="s">
        <v>2427</v>
      </c>
      <c r="J183" s="135">
        <v>46081</v>
      </c>
      <c r="K183" s="134" t="s">
        <v>2841</v>
      </c>
      <c r="L183" s="136">
        <v>10500</v>
      </c>
      <c r="M183" s="137" t="s">
        <v>2427</v>
      </c>
      <c r="N183" s="134" t="s">
        <v>3175</v>
      </c>
    </row>
    <row r="184" spans="1:14" ht="20.100000000000001" customHeight="1">
      <c r="A184" s="67">
        <v>46111</v>
      </c>
      <c r="B184" t="s">
        <v>2841</v>
      </c>
      <c r="C184" s="4">
        <v>10500</v>
      </c>
      <c r="D184" s="65" t="s">
        <v>2427</v>
      </c>
      <c r="J184" s="135">
        <v>46111</v>
      </c>
      <c r="K184" s="134" t="s">
        <v>2841</v>
      </c>
      <c r="L184" s="136">
        <v>10500</v>
      </c>
      <c r="M184" s="137" t="s">
        <v>2427</v>
      </c>
      <c r="N184" s="134" t="s">
        <v>3175</v>
      </c>
    </row>
    <row r="185" spans="1:14" ht="20.100000000000001" customHeight="1">
      <c r="A185" s="67">
        <v>46233</v>
      </c>
      <c r="B185" t="s">
        <v>3176</v>
      </c>
      <c r="C185" s="4">
        <v>50000</v>
      </c>
      <c r="D185" s="65" t="s">
        <v>2427</v>
      </c>
      <c r="J185" s="135">
        <v>46233</v>
      </c>
      <c r="K185" s="134" t="s">
        <v>3176</v>
      </c>
      <c r="L185" s="136">
        <v>50000</v>
      </c>
      <c r="M185" s="137" t="s">
        <v>2427</v>
      </c>
      <c r="N185" s="134"/>
    </row>
    <row r="186" spans="1:14" ht="20.100000000000001" customHeight="1">
      <c r="A186" s="67">
        <v>46233</v>
      </c>
      <c r="B186" t="s">
        <v>3177</v>
      </c>
      <c r="C186" s="4">
        <v>1118.6400000000001</v>
      </c>
      <c r="D186" s="65" t="s">
        <v>2427</v>
      </c>
      <c r="J186" s="135">
        <v>46233</v>
      </c>
      <c r="K186" s="134" t="s">
        <v>3177</v>
      </c>
      <c r="L186" s="136">
        <v>1118.6400000000001</v>
      </c>
      <c r="M186" s="137" t="s">
        <v>2427</v>
      </c>
      <c r="N186" s="134"/>
    </row>
    <row r="187" spans="1:14" s="9" customFormat="1">
      <c r="A187" s="67">
        <v>45932</v>
      </c>
      <c r="B187" t="s">
        <v>2533</v>
      </c>
      <c r="C187" s="4">
        <v>250.01</v>
      </c>
      <c r="D187" s="65" t="s">
        <v>2427</v>
      </c>
      <c r="J187" s="135">
        <v>45932</v>
      </c>
      <c r="K187" s="134" t="s">
        <v>2533</v>
      </c>
      <c r="L187" s="136">
        <v>250.01</v>
      </c>
      <c r="M187" s="137" t="s">
        <v>2427</v>
      </c>
      <c r="N187" s="134"/>
    </row>
    <row r="188" spans="1:14" ht="20.100000000000001" hidden="1" customHeight="1">
      <c r="A188" s="67">
        <v>45936</v>
      </c>
      <c r="B188" t="s">
        <v>3178</v>
      </c>
      <c r="C188" s="4">
        <v>19000</v>
      </c>
      <c r="D188" s="65" t="s">
        <v>2527</v>
      </c>
      <c r="J188" s="135">
        <v>45936</v>
      </c>
      <c r="K188" s="134" t="s">
        <v>3168</v>
      </c>
      <c r="L188" s="136">
        <v>19000</v>
      </c>
      <c r="M188" s="137" t="s">
        <v>2427</v>
      </c>
      <c r="N188" s="134"/>
    </row>
    <row r="189" spans="1:14">
      <c r="A189" s="67">
        <v>45930</v>
      </c>
      <c r="B189" t="s">
        <v>2515</v>
      </c>
      <c r="C189" s="4">
        <v>278.52</v>
      </c>
      <c r="D189" s="65" t="s">
        <v>2427</v>
      </c>
      <c r="J189" s="135">
        <v>45930</v>
      </c>
      <c r="K189" s="134" t="s">
        <v>2515</v>
      </c>
      <c r="L189" s="136">
        <v>278.52</v>
      </c>
      <c r="M189" s="137" t="s">
        <v>2427</v>
      </c>
      <c r="N189" s="134"/>
    </row>
    <row r="190" spans="1:14">
      <c r="A190" s="67">
        <v>46233</v>
      </c>
      <c r="B190" t="s">
        <v>2588</v>
      </c>
      <c r="C190" s="4">
        <v>1236.81</v>
      </c>
      <c r="D190" s="65" t="s">
        <v>2427</v>
      </c>
      <c r="J190" s="135">
        <v>46233</v>
      </c>
      <c r="K190" s="134" t="s">
        <v>2588</v>
      </c>
      <c r="L190" s="136">
        <v>1236.81</v>
      </c>
      <c r="M190" s="137" t="s">
        <v>2427</v>
      </c>
      <c r="N190" s="134"/>
    </row>
    <row r="191" spans="1:14">
      <c r="A191" s="7" t="s">
        <v>2523</v>
      </c>
      <c r="B191" t="s">
        <v>2717</v>
      </c>
      <c r="C191" s="4">
        <v>280</v>
      </c>
      <c r="D191" s="65" t="s">
        <v>2427</v>
      </c>
    </row>
  </sheetData>
  <autoFilter ref="A1:D191" xr:uid="{00000000-0009-0000-0000-00000E000000}">
    <filterColumn colId="3">
      <filters>
        <filter val="CONTESTARE"/>
        <filter val="U"/>
      </filters>
    </filterColumn>
    <sortState xmlns:xlrd2="http://schemas.microsoft.com/office/spreadsheetml/2017/richdata2" ref="A2:D190">
      <sortCondition ref="B1:B190"/>
    </sortState>
  </autoFilter>
  <conditionalFormatting sqref="D2:D1048576">
    <cfRule type="cellIs" dxfId="31" priority="29" operator="equal">
      <formula>"E"</formula>
    </cfRule>
    <cfRule type="cellIs" dxfId="30" priority="30" operator="equal">
      <formula>"U"</formula>
    </cfRule>
  </conditionalFormatting>
  <conditionalFormatting sqref="M2:M1048576">
    <cfRule type="cellIs" dxfId="29" priority="1" operator="equal">
      <formula>"E"</formula>
    </cfRule>
    <cfRule type="cellIs" dxfId="28" priority="2" operator="equal">
      <formula>"U"</formula>
    </cfRule>
  </conditionalFormatting>
  <pageMargins left="0.75" right="0.75" top="1" bottom="1" header="0.5" footer="0.5"/>
  <pageSetup paperSize="8" scale="4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18"/>
  <dimension ref="A1:E196"/>
  <sheetViews>
    <sheetView workbookViewId="0">
      <selection activeCell="B8" sqref="B8"/>
    </sheetView>
  </sheetViews>
  <sheetFormatPr defaultRowHeight="15"/>
  <cols>
    <col min="1" max="1" width="28.140625" bestFit="1" customWidth="1"/>
    <col min="2" max="2" width="21.140625" style="11" bestFit="1" customWidth="1"/>
    <col min="3" max="4" width="13.140625" bestFit="1" customWidth="1"/>
    <col min="5" max="5" width="7.5703125" bestFit="1" customWidth="1"/>
    <col min="6" max="6" width="18.28515625" bestFit="1" customWidth="1"/>
  </cols>
  <sheetData>
    <row r="1" spans="1:5">
      <c r="A1" s="41" t="s">
        <v>2432</v>
      </c>
      <c r="B1" s="41" t="s">
        <v>2433</v>
      </c>
    </row>
    <row r="2" spans="1:5">
      <c r="A2" s="41" t="s">
        <v>2410</v>
      </c>
      <c r="B2" t="s">
        <v>2086</v>
      </c>
      <c r="C2" t="s">
        <v>2527</v>
      </c>
      <c r="D2" t="s">
        <v>2427</v>
      </c>
      <c r="E2" t="s">
        <v>2408</v>
      </c>
    </row>
    <row r="3" spans="1:5">
      <c r="A3" s="42" t="s">
        <v>3124</v>
      </c>
      <c r="C3" s="11"/>
      <c r="D3" s="11">
        <v>8200</v>
      </c>
      <c r="E3" s="11"/>
    </row>
    <row r="4" spans="1:5">
      <c r="A4" s="42" t="s">
        <v>3126</v>
      </c>
      <c r="C4" s="11"/>
      <c r="D4" s="11">
        <v>1390</v>
      </c>
      <c r="E4" s="11"/>
    </row>
    <row r="5" spans="1:5">
      <c r="A5" s="42" t="s">
        <v>2631</v>
      </c>
      <c r="C5" s="11"/>
      <c r="D5" s="11">
        <v>2192</v>
      </c>
      <c r="E5" s="11"/>
    </row>
    <row r="6" spans="1:5">
      <c r="A6" s="42" t="s">
        <v>2536</v>
      </c>
      <c r="C6" s="11"/>
      <c r="D6" s="11">
        <v>49920</v>
      </c>
      <c r="E6" s="11"/>
    </row>
    <row r="7" spans="1:5">
      <c r="A7" s="42" t="s">
        <v>2535</v>
      </c>
      <c r="C7" s="11"/>
      <c r="D7" s="11">
        <v>18720</v>
      </c>
      <c r="E7" s="11"/>
    </row>
    <row r="8" spans="1:5">
      <c r="A8" s="42" t="s">
        <v>2581</v>
      </c>
      <c r="C8" s="11">
        <v>95000</v>
      </c>
      <c r="D8" s="11"/>
      <c r="E8" s="11"/>
    </row>
    <row r="9" spans="1:5">
      <c r="A9" s="42" t="s">
        <v>2721</v>
      </c>
      <c r="C9" s="11"/>
      <c r="D9" s="11">
        <v>602</v>
      </c>
      <c r="E9" s="11"/>
    </row>
    <row r="10" spans="1:5">
      <c r="A10" s="42" t="s">
        <v>3127</v>
      </c>
      <c r="C10" s="11"/>
      <c r="D10" s="11">
        <v>2104.35</v>
      </c>
      <c r="E10" s="11"/>
    </row>
    <row r="11" spans="1:5">
      <c r="A11" s="42" t="s">
        <v>3128</v>
      </c>
      <c r="C11" s="11"/>
      <c r="D11" s="11">
        <v>3735.24</v>
      </c>
      <c r="E11" s="11"/>
    </row>
    <row r="12" spans="1:5">
      <c r="A12" s="42" t="s">
        <v>3114</v>
      </c>
      <c r="C12" s="11"/>
      <c r="D12" s="11">
        <v>6899.9</v>
      </c>
      <c r="E12" s="11"/>
    </row>
    <row r="13" spans="1:5">
      <c r="A13" s="42" t="s">
        <v>3130</v>
      </c>
      <c r="C13" s="11"/>
      <c r="D13" s="11">
        <v>1282.19</v>
      </c>
      <c r="E13" s="11"/>
    </row>
    <row r="14" spans="1:5">
      <c r="A14" s="42" t="s">
        <v>3131</v>
      </c>
      <c r="C14" s="11"/>
      <c r="D14" s="11">
        <v>2024</v>
      </c>
      <c r="E14" s="11"/>
    </row>
    <row r="15" spans="1:5">
      <c r="A15" s="42" t="s">
        <v>3132</v>
      </c>
      <c r="C15" s="11"/>
      <c r="D15" s="11">
        <v>3826</v>
      </c>
      <c r="E15" s="11"/>
    </row>
    <row r="16" spans="1:5">
      <c r="A16" s="42" t="s">
        <v>3134</v>
      </c>
      <c r="C16" s="11"/>
      <c r="D16" s="11">
        <v>684.39</v>
      </c>
      <c r="E16" s="11"/>
    </row>
    <row r="17" spans="1:5">
      <c r="A17" s="42" t="s">
        <v>3135</v>
      </c>
      <c r="C17" s="11"/>
      <c r="D17" s="11">
        <v>20000</v>
      </c>
      <c r="E17" s="11"/>
    </row>
    <row r="18" spans="1:5">
      <c r="A18" s="42" t="s">
        <v>3137</v>
      </c>
      <c r="C18" s="11"/>
      <c r="D18" s="11">
        <v>4000</v>
      </c>
      <c r="E18" s="11"/>
    </row>
    <row r="19" spans="1:5">
      <c r="A19" s="42" t="s">
        <v>1818</v>
      </c>
      <c r="C19" s="11">
        <v>40000</v>
      </c>
      <c r="D19" s="11"/>
      <c r="E19" s="11"/>
    </row>
    <row r="20" spans="1:5">
      <c r="A20" s="42" t="s">
        <v>2719</v>
      </c>
      <c r="C20" s="11"/>
      <c r="D20" s="11">
        <v>3981</v>
      </c>
      <c r="E20" s="11"/>
    </row>
    <row r="21" spans="1:5">
      <c r="A21" s="42" t="s">
        <v>2718</v>
      </c>
      <c r="C21" s="11"/>
      <c r="D21" s="11">
        <v>4669.18</v>
      </c>
      <c r="E21" s="11"/>
    </row>
    <row r="22" spans="1:5">
      <c r="A22" s="42" t="s">
        <v>2554</v>
      </c>
      <c r="C22" s="11"/>
      <c r="D22" s="11">
        <v>870</v>
      </c>
      <c r="E22" s="11"/>
    </row>
    <row r="23" spans="1:5">
      <c r="A23" s="42" t="s">
        <v>2720</v>
      </c>
      <c r="C23" s="11"/>
      <c r="D23" s="11">
        <v>1651</v>
      </c>
      <c r="E23" s="11"/>
    </row>
    <row r="24" spans="1:5">
      <c r="A24" s="42" t="s">
        <v>3142</v>
      </c>
      <c r="C24" s="11"/>
      <c r="D24" s="11">
        <v>36.6</v>
      </c>
      <c r="E24" s="11"/>
    </row>
    <row r="25" spans="1:5">
      <c r="A25" s="42" t="s">
        <v>3034</v>
      </c>
      <c r="C25" s="11"/>
      <c r="D25" s="11">
        <v>17109.849999999999</v>
      </c>
      <c r="E25" s="11"/>
    </row>
    <row r="26" spans="1:5">
      <c r="A26" s="42" t="s">
        <v>2590</v>
      </c>
      <c r="C26" s="11"/>
      <c r="D26" s="11">
        <v>400</v>
      </c>
      <c r="E26" s="11"/>
    </row>
    <row r="27" spans="1:5">
      <c r="A27" s="42" t="s">
        <v>3144</v>
      </c>
      <c r="C27" s="11"/>
      <c r="D27" s="11">
        <v>2639.48</v>
      </c>
      <c r="E27" s="11"/>
    </row>
    <row r="28" spans="1:5">
      <c r="A28" s="42" t="s">
        <v>2612</v>
      </c>
      <c r="C28" s="11"/>
      <c r="D28" s="11">
        <v>634.4</v>
      </c>
      <c r="E28" s="11"/>
    </row>
    <row r="29" spans="1:5">
      <c r="A29" s="42" t="s">
        <v>2144</v>
      </c>
      <c r="C29" s="11"/>
      <c r="D29" s="11">
        <v>8149.9999999999982</v>
      </c>
      <c r="E29" s="11"/>
    </row>
    <row r="30" spans="1:5">
      <c r="A30" s="42" t="s">
        <v>2823</v>
      </c>
      <c r="C30" s="11"/>
      <c r="D30" s="11">
        <v>137.69999999999999</v>
      </c>
      <c r="E30" s="11"/>
    </row>
    <row r="31" spans="1:5">
      <c r="A31" s="42" t="s">
        <v>3146</v>
      </c>
      <c r="C31" s="11"/>
      <c r="D31" s="11">
        <v>13760.9</v>
      </c>
      <c r="E31" s="11"/>
    </row>
    <row r="32" spans="1:5">
      <c r="A32" s="42" t="s">
        <v>3148</v>
      </c>
      <c r="C32" s="11"/>
      <c r="D32" s="11">
        <v>392.84</v>
      </c>
      <c r="E32" s="11"/>
    </row>
    <row r="33" spans="1:5">
      <c r="A33" s="42" t="s">
        <v>2549</v>
      </c>
      <c r="C33" s="11"/>
      <c r="D33" s="11">
        <v>23487</v>
      </c>
      <c r="E33" s="11"/>
    </row>
    <row r="34" spans="1:5">
      <c r="A34" s="42" t="s">
        <v>2716</v>
      </c>
      <c r="C34" s="11"/>
      <c r="D34" s="11">
        <v>3349.19</v>
      </c>
      <c r="E34" s="11"/>
    </row>
    <row r="35" spans="1:5">
      <c r="A35" s="42" t="s">
        <v>2565</v>
      </c>
      <c r="C35" s="11"/>
      <c r="D35" s="11">
        <v>700</v>
      </c>
      <c r="E35" s="11"/>
    </row>
    <row r="36" spans="1:5">
      <c r="A36" s="42" t="s">
        <v>2539</v>
      </c>
      <c r="C36" s="11">
        <v>150000</v>
      </c>
      <c r="D36" s="11"/>
      <c r="E36" s="11"/>
    </row>
    <row r="37" spans="1:5">
      <c r="A37" s="42" t="s">
        <v>2550</v>
      </c>
      <c r="C37" s="11">
        <v>240000</v>
      </c>
      <c r="D37" s="11"/>
      <c r="E37" s="11"/>
    </row>
    <row r="38" spans="1:5">
      <c r="A38" s="42" t="s">
        <v>2553</v>
      </c>
      <c r="C38" s="11"/>
      <c r="D38" s="11">
        <v>2276.38</v>
      </c>
      <c r="E38" s="11"/>
    </row>
    <row r="39" spans="1:5">
      <c r="A39" s="42" t="s">
        <v>2600</v>
      </c>
      <c r="C39" s="11"/>
      <c r="D39" s="11">
        <v>48000</v>
      </c>
      <c r="E39" s="11"/>
    </row>
    <row r="40" spans="1:5">
      <c r="A40" s="42" t="s">
        <v>2200</v>
      </c>
      <c r="C40" s="11"/>
      <c r="D40" s="11">
        <v>20000</v>
      </c>
      <c r="E40" s="11"/>
    </row>
    <row r="41" spans="1:5">
      <c r="A41" s="42" t="s">
        <v>2831</v>
      </c>
      <c r="C41" s="11"/>
      <c r="D41" s="11">
        <v>3575</v>
      </c>
      <c r="E41" s="11"/>
    </row>
    <row r="42" spans="1:5">
      <c r="A42" s="42" t="s">
        <v>3153</v>
      </c>
      <c r="C42" s="11"/>
      <c r="D42" s="11">
        <v>100000</v>
      </c>
      <c r="E42" s="11"/>
    </row>
    <row r="43" spans="1:5">
      <c r="A43" s="42" t="s">
        <v>2559</v>
      </c>
      <c r="C43" s="11"/>
      <c r="D43" s="11">
        <v>1162</v>
      </c>
      <c r="E43" s="11"/>
    </row>
    <row r="44" spans="1:5">
      <c r="A44" s="42" t="s">
        <v>2524</v>
      </c>
      <c r="C44" s="11"/>
      <c r="D44" s="11">
        <v>1041.2</v>
      </c>
      <c r="E44" s="11"/>
    </row>
    <row r="45" spans="1:5">
      <c r="A45" s="42" t="s">
        <v>2205</v>
      </c>
      <c r="C45" s="11"/>
      <c r="D45" s="11">
        <v>7000</v>
      </c>
      <c r="E45" s="11"/>
    </row>
    <row r="46" spans="1:5">
      <c r="A46" s="42" t="s">
        <v>3154</v>
      </c>
      <c r="C46" s="11"/>
      <c r="D46" s="11">
        <v>662.09</v>
      </c>
      <c r="E46" s="11"/>
    </row>
    <row r="47" spans="1:5">
      <c r="A47" s="42" t="s">
        <v>2722</v>
      </c>
      <c r="B47" s="11">
        <v>2731.58</v>
      </c>
      <c r="C47" s="11"/>
      <c r="D47" s="11"/>
      <c r="E47" s="11"/>
    </row>
    <row r="48" spans="1:5">
      <c r="A48" s="42" t="s">
        <v>3155</v>
      </c>
      <c r="C48" s="11"/>
      <c r="D48" s="11">
        <v>18000</v>
      </c>
      <c r="E48" s="11"/>
    </row>
    <row r="49" spans="1:5">
      <c r="A49" s="42" t="s">
        <v>3157</v>
      </c>
      <c r="C49" s="11"/>
      <c r="D49" s="11">
        <v>4048</v>
      </c>
      <c r="E49" s="11"/>
    </row>
    <row r="50" spans="1:5">
      <c r="A50" s="42" t="s">
        <v>2564</v>
      </c>
      <c r="C50" s="11"/>
      <c r="D50" s="11">
        <v>2409.5500000000002</v>
      </c>
      <c r="E50" s="11"/>
    </row>
    <row r="51" spans="1:5">
      <c r="A51" s="42" t="s">
        <v>3159</v>
      </c>
      <c r="C51" s="11"/>
      <c r="D51" s="11">
        <v>1163.22</v>
      </c>
      <c r="E51" s="11"/>
    </row>
    <row r="52" spans="1:5">
      <c r="A52" s="42" t="s">
        <v>2440</v>
      </c>
      <c r="C52" s="11"/>
      <c r="D52" s="11">
        <v>40000</v>
      </c>
      <c r="E52" s="11"/>
    </row>
    <row r="53" spans="1:5">
      <c r="A53" s="42" t="s">
        <v>2512</v>
      </c>
      <c r="C53" s="11"/>
      <c r="D53" s="11">
        <v>6400</v>
      </c>
      <c r="E53" s="11"/>
    </row>
    <row r="54" spans="1:5">
      <c r="A54" s="42" t="s">
        <v>2441</v>
      </c>
      <c r="C54" s="11"/>
      <c r="D54" s="11">
        <v>138630</v>
      </c>
      <c r="E54" s="11"/>
    </row>
    <row r="55" spans="1:5">
      <c r="A55" s="42" t="s">
        <v>2537</v>
      </c>
      <c r="C55" s="11"/>
      <c r="D55" s="11">
        <v>5040</v>
      </c>
      <c r="E55" s="11"/>
    </row>
    <row r="56" spans="1:5">
      <c r="A56" s="42" t="s">
        <v>2444</v>
      </c>
      <c r="C56" s="11"/>
      <c r="D56" s="11">
        <v>5026</v>
      </c>
      <c r="E56" s="11"/>
    </row>
    <row r="57" spans="1:5">
      <c r="A57" s="42" t="s">
        <v>2582</v>
      </c>
      <c r="C57" s="11">
        <v>50000</v>
      </c>
      <c r="D57" s="11"/>
      <c r="E57" s="11"/>
    </row>
    <row r="58" spans="1:5">
      <c r="A58" s="42" t="s">
        <v>2592</v>
      </c>
      <c r="C58" s="11"/>
      <c r="D58" s="11">
        <v>551.34</v>
      </c>
      <c r="E58" s="11"/>
    </row>
    <row r="59" spans="1:5">
      <c r="A59" s="42" t="s">
        <v>3160</v>
      </c>
      <c r="C59" s="11"/>
      <c r="D59" s="11">
        <v>105000</v>
      </c>
      <c r="E59" s="11"/>
    </row>
    <row r="60" spans="1:5">
      <c r="A60" s="42" t="s">
        <v>3162</v>
      </c>
      <c r="C60" s="11"/>
      <c r="D60" s="11">
        <v>28000</v>
      </c>
      <c r="E60" s="11"/>
    </row>
    <row r="61" spans="1:5">
      <c r="A61" s="42" t="s">
        <v>3164</v>
      </c>
      <c r="C61" s="11"/>
      <c r="D61" s="11">
        <v>3206.4</v>
      </c>
      <c r="E61" s="11"/>
    </row>
    <row r="62" spans="1:5">
      <c r="A62" s="42" t="s">
        <v>2589</v>
      </c>
      <c r="C62" s="11"/>
      <c r="D62" s="11">
        <v>3528</v>
      </c>
      <c r="E62" s="11"/>
    </row>
    <row r="63" spans="1:5">
      <c r="A63" s="42" t="s">
        <v>2558</v>
      </c>
      <c r="C63" s="11"/>
      <c r="D63" s="11">
        <v>329</v>
      </c>
      <c r="E63" s="11"/>
    </row>
    <row r="64" spans="1:5">
      <c r="A64" s="42" t="s">
        <v>3165</v>
      </c>
      <c r="C64" s="11"/>
      <c r="D64" s="11">
        <v>31190</v>
      </c>
      <c r="E64" s="11"/>
    </row>
    <row r="65" spans="1:5">
      <c r="A65" s="42" t="s">
        <v>3167</v>
      </c>
      <c r="C65" s="11"/>
      <c r="D65" s="11">
        <v>366</v>
      </c>
      <c r="E65" s="11"/>
    </row>
    <row r="66" spans="1:5">
      <c r="A66" s="42" t="s">
        <v>3168</v>
      </c>
      <c r="C66" s="11"/>
      <c r="D66" s="11">
        <v>19000</v>
      </c>
      <c r="E66" s="11"/>
    </row>
    <row r="67" spans="1:5">
      <c r="A67" s="42" t="s">
        <v>3169</v>
      </c>
      <c r="C67" s="11"/>
      <c r="D67" s="11">
        <v>90000</v>
      </c>
      <c r="E67" s="11"/>
    </row>
    <row r="68" spans="1:5">
      <c r="A68" s="42" t="s">
        <v>2567</v>
      </c>
      <c r="C68" s="11"/>
      <c r="D68" s="11">
        <v>5695</v>
      </c>
      <c r="E68" s="11"/>
    </row>
    <row r="69" spans="1:5">
      <c r="A69" s="42" t="s">
        <v>3171</v>
      </c>
      <c r="C69" s="11"/>
      <c r="D69" s="11">
        <v>6000</v>
      </c>
      <c r="E69" s="11"/>
    </row>
    <row r="70" spans="1:5">
      <c r="A70" s="42" t="s">
        <v>2446</v>
      </c>
      <c r="C70" s="11"/>
      <c r="D70" s="11">
        <v>90000</v>
      </c>
      <c r="E70" s="11"/>
    </row>
    <row r="71" spans="1:5">
      <c r="A71" s="42" t="s">
        <v>3172</v>
      </c>
      <c r="C71" s="11"/>
      <c r="D71" s="11">
        <v>800</v>
      </c>
      <c r="E71" s="11"/>
    </row>
    <row r="72" spans="1:5">
      <c r="A72" s="42" t="s">
        <v>3173</v>
      </c>
      <c r="C72" s="11"/>
      <c r="D72" s="11">
        <v>12180</v>
      </c>
      <c r="E72" s="11"/>
    </row>
    <row r="73" spans="1:5">
      <c r="A73" s="42" t="s">
        <v>2327</v>
      </c>
      <c r="C73" s="11"/>
      <c r="D73" s="11">
        <v>2215.7600000000002</v>
      </c>
      <c r="E73" s="11"/>
    </row>
    <row r="74" spans="1:5">
      <c r="A74" s="42" t="s">
        <v>2841</v>
      </c>
      <c r="C74" s="11"/>
      <c r="D74" s="11">
        <v>64000</v>
      </c>
      <c r="E74" s="11"/>
    </row>
    <row r="75" spans="1:5">
      <c r="A75" s="42" t="s">
        <v>3176</v>
      </c>
      <c r="C75" s="11"/>
      <c r="D75" s="11">
        <v>50000</v>
      </c>
      <c r="E75" s="11"/>
    </row>
    <row r="76" spans="1:5">
      <c r="A76" s="42" t="s">
        <v>3177</v>
      </c>
      <c r="C76" s="11"/>
      <c r="D76" s="11">
        <v>1118.6400000000001</v>
      </c>
      <c r="E76" s="11"/>
    </row>
    <row r="77" spans="1:5">
      <c r="A77" s="42" t="s">
        <v>2533</v>
      </c>
      <c r="C77" s="11"/>
      <c r="D77" s="11">
        <v>250.01</v>
      </c>
      <c r="E77" s="11"/>
    </row>
    <row r="78" spans="1:5">
      <c r="A78" s="42" t="s">
        <v>3178</v>
      </c>
      <c r="C78" s="11">
        <v>19000</v>
      </c>
      <c r="D78" s="11"/>
      <c r="E78" s="11"/>
    </row>
    <row r="79" spans="1:5">
      <c r="A79" s="42" t="s">
        <v>2515</v>
      </c>
      <c r="C79" s="11"/>
      <c r="D79" s="11">
        <v>278.52</v>
      </c>
      <c r="E79" s="11"/>
    </row>
    <row r="80" spans="1:5">
      <c r="A80" s="42" t="s">
        <v>2588</v>
      </c>
      <c r="C80" s="11"/>
      <c r="D80" s="11">
        <v>1236.81</v>
      </c>
      <c r="E80" s="11"/>
    </row>
    <row r="81" spans="1:5">
      <c r="A81" s="42" t="s">
        <v>2408</v>
      </c>
      <c r="C81" s="11"/>
      <c r="D81" s="11"/>
      <c r="E81" s="11"/>
    </row>
    <row r="82" spans="1:5">
      <c r="A82" s="42" t="s">
        <v>2717</v>
      </c>
      <c r="C82" s="11"/>
      <c r="D82" s="11">
        <v>280</v>
      </c>
      <c r="E82" s="11"/>
    </row>
    <row r="83" spans="1:5">
      <c r="B83"/>
    </row>
    <row r="84" spans="1:5">
      <c r="B84"/>
    </row>
    <row r="85" spans="1:5">
      <c r="B85"/>
    </row>
    <row r="86" spans="1:5">
      <c r="B86"/>
    </row>
    <row r="87" spans="1:5">
      <c r="B87"/>
    </row>
    <row r="88" spans="1:5">
      <c r="B88"/>
    </row>
    <row r="89" spans="1:5">
      <c r="B89"/>
    </row>
    <row r="90" spans="1:5">
      <c r="B90"/>
    </row>
    <row r="91" spans="1:5">
      <c r="B91"/>
    </row>
    <row r="92" spans="1:5">
      <c r="B92"/>
    </row>
    <row r="93" spans="1:5">
      <c r="B93"/>
    </row>
    <row r="94" spans="1:5">
      <c r="B94"/>
    </row>
    <row r="95" spans="1:5">
      <c r="B95"/>
    </row>
    <row r="96" spans="1:5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</sheetData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glio19"/>
  <dimension ref="A1:M876"/>
  <sheetViews>
    <sheetView workbookViewId="0">
      <selection activeCell="R20" sqref="R20"/>
    </sheetView>
  </sheetViews>
  <sheetFormatPr defaultRowHeight="15"/>
  <sheetData>
    <row r="1" spans="1:13">
      <c r="A1" s="166" t="s">
        <v>13</v>
      </c>
      <c r="B1" s="163" t="s">
        <v>2041</v>
      </c>
      <c r="C1" s="163" t="s">
        <v>15</v>
      </c>
      <c r="D1" s="170">
        <v>45967</v>
      </c>
      <c r="E1" s="170">
        <v>45967</v>
      </c>
      <c r="F1" s="163" t="s">
        <v>16</v>
      </c>
      <c r="G1" s="171">
        <v>698.1</v>
      </c>
      <c r="H1" s="163"/>
      <c r="I1" s="163" t="s">
        <v>17</v>
      </c>
      <c r="J1" s="163" t="s">
        <v>18</v>
      </c>
      <c r="K1" s="163">
        <v>45982</v>
      </c>
      <c r="L1" s="163">
        <v>698.1</v>
      </c>
      <c r="M1" s="164" t="s">
        <v>19</v>
      </c>
    </row>
    <row r="2" spans="1:13">
      <c r="A2" s="167" t="s">
        <v>13</v>
      </c>
      <c r="B2" s="161" t="s">
        <v>2495</v>
      </c>
      <c r="C2" s="161" t="s">
        <v>21</v>
      </c>
      <c r="D2" s="172">
        <v>45939</v>
      </c>
      <c r="E2" s="172"/>
      <c r="F2" s="161" t="s">
        <v>16</v>
      </c>
      <c r="G2" s="173">
        <v>85</v>
      </c>
      <c r="H2" s="161" t="s">
        <v>22</v>
      </c>
      <c r="I2" s="161" t="s">
        <v>23</v>
      </c>
      <c r="J2" s="161" t="s">
        <v>24</v>
      </c>
      <c r="K2" s="172"/>
      <c r="L2" s="161"/>
      <c r="M2" s="162"/>
    </row>
    <row r="3" spans="1:13">
      <c r="A3" s="166" t="s">
        <v>13</v>
      </c>
      <c r="B3" s="163" t="s">
        <v>2454</v>
      </c>
      <c r="C3" s="163" t="s">
        <v>26</v>
      </c>
      <c r="D3" s="170">
        <v>45675</v>
      </c>
      <c r="E3" s="170">
        <v>45675</v>
      </c>
      <c r="F3" s="163" t="s">
        <v>16</v>
      </c>
      <c r="G3" s="171">
        <v>240</v>
      </c>
      <c r="H3" s="163" t="s">
        <v>27</v>
      </c>
      <c r="I3" s="163" t="s">
        <v>28</v>
      </c>
      <c r="J3" s="163" t="s">
        <v>24</v>
      </c>
      <c r="K3" s="170"/>
      <c r="L3" s="163"/>
      <c r="M3" s="164"/>
    </row>
    <row r="4" spans="1:13">
      <c r="A4" s="167" t="s">
        <v>13</v>
      </c>
      <c r="B4" s="161" t="s">
        <v>2454</v>
      </c>
      <c r="C4" s="161" t="s">
        <v>29</v>
      </c>
      <c r="D4" s="172" t="s">
        <v>30</v>
      </c>
      <c r="E4" s="172"/>
      <c r="F4" s="161" t="s">
        <v>16</v>
      </c>
      <c r="G4" s="173">
        <v>240</v>
      </c>
      <c r="H4" s="161" t="s">
        <v>31</v>
      </c>
      <c r="I4" s="161" t="s">
        <v>28</v>
      </c>
      <c r="J4" s="161" t="s">
        <v>24</v>
      </c>
      <c r="K4" s="172"/>
      <c r="L4" s="161"/>
      <c r="M4" s="162"/>
    </row>
    <row r="5" spans="1:13">
      <c r="A5" s="166" t="s">
        <v>13</v>
      </c>
      <c r="B5" s="163" t="s">
        <v>2042</v>
      </c>
      <c r="C5" s="163" t="s">
        <v>33</v>
      </c>
      <c r="D5" s="170">
        <v>46003</v>
      </c>
      <c r="E5" s="170">
        <v>46003</v>
      </c>
      <c r="F5" s="163" t="s">
        <v>16</v>
      </c>
      <c r="G5" s="171">
        <v>40</v>
      </c>
      <c r="H5" s="163"/>
      <c r="I5" s="163" t="s">
        <v>34</v>
      </c>
      <c r="J5" s="163" t="s">
        <v>35</v>
      </c>
      <c r="K5" s="170"/>
      <c r="L5" s="163"/>
      <c r="M5" s="164"/>
    </row>
    <row r="6" spans="1:13">
      <c r="A6" s="167" t="s">
        <v>13</v>
      </c>
      <c r="B6" s="161" t="s">
        <v>3179</v>
      </c>
      <c r="C6" s="161" t="s">
        <v>37</v>
      </c>
      <c r="D6" s="172">
        <v>45699</v>
      </c>
      <c r="E6" s="172">
        <v>45699</v>
      </c>
      <c r="F6" s="161" t="s">
        <v>16</v>
      </c>
      <c r="G6" s="173">
        <v>80</v>
      </c>
      <c r="H6" s="161" t="s">
        <v>38</v>
      </c>
      <c r="I6" s="161" t="s">
        <v>28</v>
      </c>
      <c r="J6" s="161" t="s">
        <v>24</v>
      </c>
      <c r="K6" s="172"/>
      <c r="L6" s="161"/>
      <c r="M6" s="162"/>
    </row>
    <row r="7" spans="1:13">
      <c r="A7" s="166" t="s">
        <v>13</v>
      </c>
      <c r="B7" s="163" t="s">
        <v>3180</v>
      </c>
      <c r="C7" s="163" t="s">
        <v>40</v>
      </c>
      <c r="D7" s="170">
        <v>45800</v>
      </c>
      <c r="E7" s="170"/>
      <c r="F7" s="163" t="s">
        <v>16</v>
      </c>
      <c r="G7" s="171">
        <v>108</v>
      </c>
      <c r="H7" s="163" t="s">
        <v>41</v>
      </c>
      <c r="I7" s="163" t="s">
        <v>42</v>
      </c>
      <c r="J7" s="163" t="s">
        <v>43</v>
      </c>
      <c r="K7" s="170"/>
      <c r="L7" s="163"/>
      <c r="M7" s="164"/>
    </row>
    <row r="8" spans="1:13">
      <c r="A8" s="167" t="s">
        <v>13</v>
      </c>
      <c r="B8" s="161" t="s">
        <v>2047</v>
      </c>
      <c r="C8" s="161" t="s">
        <v>45</v>
      </c>
      <c r="D8" s="172">
        <v>45987</v>
      </c>
      <c r="E8" s="172">
        <v>45987</v>
      </c>
      <c r="F8" s="161" t="s">
        <v>16</v>
      </c>
      <c r="G8" s="173">
        <v>189.99</v>
      </c>
      <c r="H8" s="161"/>
      <c r="I8" s="161" t="s">
        <v>46</v>
      </c>
      <c r="J8" s="161" t="s">
        <v>47</v>
      </c>
      <c r="K8" s="161">
        <v>45987</v>
      </c>
      <c r="L8" s="161">
        <v>189.99</v>
      </c>
      <c r="M8" s="162"/>
    </row>
    <row r="9" spans="1:13">
      <c r="A9" s="166" t="s">
        <v>13</v>
      </c>
      <c r="B9" s="163" t="s">
        <v>2047</v>
      </c>
      <c r="C9" s="163" t="s">
        <v>48</v>
      </c>
      <c r="D9" s="170">
        <v>46007</v>
      </c>
      <c r="E9" s="170">
        <v>46007</v>
      </c>
      <c r="F9" s="163" t="s">
        <v>49</v>
      </c>
      <c r="G9" s="171">
        <v>22.89</v>
      </c>
      <c r="H9" s="163"/>
      <c r="I9" s="163" t="s">
        <v>50</v>
      </c>
      <c r="J9" s="163" t="s">
        <v>47</v>
      </c>
      <c r="K9" s="163">
        <v>46007</v>
      </c>
      <c r="L9" s="163">
        <v>22.89</v>
      </c>
      <c r="M9" s="164"/>
    </row>
    <row r="10" spans="1:13">
      <c r="A10" s="167" t="s">
        <v>13</v>
      </c>
      <c r="B10" s="161" t="s">
        <v>2047</v>
      </c>
      <c r="C10" s="161" t="s">
        <v>51</v>
      </c>
      <c r="D10" s="172">
        <v>46007</v>
      </c>
      <c r="E10" s="172">
        <v>46007</v>
      </c>
      <c r="F10" s="161" t="s">
        <v>49</v>
      </c>
      <c r="G10" s="173">
        <v>679.1</v>
      </c>
      <c r="H10" s="161"/>
      <c r="I10" s="161" t="s">
        <v>50</v>
      </c>
      <c r="J10" s="161" t="s">
        <v>47</v>
      </c>
      <c r="K10" s="161">
        <v>46007</v>
      </c>
      <c r="L10" s="161">
        <v>679.1</v>
      </c>
      <c r="M10" s="162"/>
    </row>
    <row r="11" spans="1:13">
      <c r="A11" s="166"/>
      <c r="B11" s="163" t="s">
        <v>3181</v>
      </c>
      <c r="C11" s="163" t="s">
        <v>53</v>
      </c>
      <c r="D11" s="170">
        <v>45647</v>
      </c>
      <c r="E11" s="170">
        <v>45707</v>
      </c>
      <c r="F11" s="163"/>
      <c r="G11" s="171">
        <v>1390.8</v>
      </c>
      <c r="H11" s="163" t="s">
        <v>54</v>
      </c>
      <c r="I11" s="163" t="s">
        <v>55</v>
      </c>
      <c r="J11" s="163" t="s">
        <v>56</v>
      </c>
      <c r="K11" s="170"/>
      <c r="L11" s="163"/>
      <c r="M11" s="164"/>
    </row>
    <row r="12" spans="1:13">
      <c r="A12" s="167"/>
      <c r="B12" s="161" t="s">
        <v>3182</v>
      </c>
      <c r="C12" s="161" t="s">
        <v>58</v>
      </c>
      <c r="D12" s="172">
        <v>45686</v>
      </c>
      <c r="E12" s="172">
        <v>45686</v>
      </c>
      <c r="F12" s="161" t="s">
        <v>16</v>
      </c>
      <c r="G12" s="173">
        <v>447.6</v>
      </c>
      <c r="H12" s="161" t="s">
        <v>59</v>
      </c>
      <c r="I12" s="161" t="s">
        <v>60</v>
      </c>
      <c r="J12" s="161"/>
      <c r="K12" s="172"/>
      <c r="L12" s="161"/>
      <c r="M12" s="162"/>
    </row>
    <row r="13" spans="1:13">
      <c r="A13" s="166" t="s">
        <v>61</v>
      </c>
      <c r="B13" s="163" t="s">
        <v>2491</v>
      </c>
      <c r="C13" s="163" t="s">
        <v>63</v>
      </c>
      <c r="D13" s="170">
        <v>45869</v>
      </c>
      <c r="E13" s="170">
        <v>45869</v>
      </c>
      <c r="F13" s="163" t="s">
        <v>16</v>
      </c>
      <c r="G13" s="171">
        <v>1633.83</v>
      </c>
      <c r="H13" s="163" t="s">
        <v>64</v>
      </c>
      <c r="I13" s="163" t="s">
        <v>65</v>
      </c>
      <c r="J13" s="163" t="s">
        <v>66</v>
      </c>
      <c r="K13" s="170"/>
      <c r="L13" s="163"/>
      <c r="M13" s="164"/>
    </row>
    <row r="14" spans="1:13">
      <c r="A14" s="167" t="s">
        <v>67</v>
      </c>
      <c r="B14" s="161" t="s">
        <v>2491</v>
      </c>
      <c r="C14" s="161" t="s">
        <v>3183</v>
      </c>
      <c r="D14" s="172"/>
      <c r="E14" s="172">
        <v>45809</v>
      </c>
      <c r="F14" s="161" t="s">
        <v>16</v>
      </c>
      <c r="G14" s="173">
        <v>2192.42</v>
      </c>
      <c r="H14" s="161"/>
      <c r="I14" s="161" t="s">
        <v>69</v>
      </c>
      <c r="J14" s="161" t="s">
        <v>66</v>
      </c>
      <c r="K14" s="161">
        <v>45809</v>
      </c>
      <c r="L14" s="161">
        <v>2192.42</v>
      </c>
      <c r="M14" s="162"/>
    </row>
    <row r="15" spans="1:13">
      <c r="A15" s="166" t="s">
        <v>13</v>
      </c>
      <c r="B15" s="163" t="s">
        <v>2491</v>
      </c>
      <c r="C15" s="163" t="s">
        <v>3183</v>
      </c>
      <c r="D15" s="170"/>
      <c r="E15" s="170">
        <v>45839</v>
      </c>
      <c r="F15" s="163" t="s">
        <v>16</v>
      </c>
      <c r="G15" s="171">
        <v>2192.42</v>
      </c>
      <c r="H15" s="163"/>
      <c r="I15" s="163" t="s">
        <v>69</v>
      </c>
      <c r="J15" s="163" t="s">
        <v>66</v>
      </c>
      <c r="K15" s="163">
        <v>45839</v>
      </c>
      <c r="L15" s="163">
        <v>2192.42</v>
      </c>
      <c r="M15" s="164" t="s">
        <v>70</v>
      </c>
    </row>
    <row r="16" spans="1:13">
      <c r="A16" s="167" t="s">
        <v>13</v>
      </c>
      <c r="B16" s="161" t="s">
        <v>2491</v>
      </c>
      <c r="C16" s="161" t="s">
        <v>3183</v>
      </c>
      <c r="D16" s="172"/>
      <c r="E16" s="172">
        <v>45854</v>
      </c>
      <c r="F16" s="161" t="s">
        <v>16</v>
      </c>
      <c r="G16" s="173">
        <v>2192.42</v>
      </c>
      <c r="H16" s="161"/>
      <c r="I16" s="161" t="s">
        <v>69</v>
      </c>
      <c r="J16" s="161" t="s">
        <v>66</v>
      </c>
      <c r="K16" s="161">
        <v>45854</v>
      </c>
      <c r="L16" s="161">
        <v>2192.42</v>
      </c>
      <c r="M16" s="162" t="s">
        <v>71</v>
      </c>
    </row>
    <row r="17" spans="1:13">
      <c r="A17" s="166" t="s">
        <v>13</v>
      </c>
      <c r="B17" s="163" t="s">
        <v>2491</v>
      </c>
      <c r="C17" s="163" t="s">
        <v>3183</v>
      </c>
      <c r="D17" s="170"/>
      <c r="E17" s="170">
        <v>45869</v>
      </c>
      <c r="F17" s="163" t="s">
        <v>16</v>
      </c>
      <c r="G17" s="171">
        <v>2192.42</v>
      </c>
      <c r="H17" s="163"/>
      <c r="I17" s="163" t="s">
        <v>69</v>
      </c>
      <c r="J17" s="163" t="s">
        <v>66</v>
      </c>
      <c r="K17" s="163">
        <v>45869</v>
      </c>
      <c r="L17" s="163">
        <v>2192.42</v>
      </c>
      <c r="M17" s="164" t="s">
        <v>71</v>
      </c>
    </row>
    <row r="18" spans="1:13">
      <c r="A18" s="167" t="s">
        <v>13</v>
      </c>
      <c r="B18" s="161" t="s">
        <v>2051</v>
      </c>
      <c r="C18" s="161" t="s">
        <v>73</v>
      </c>
      <c r="D18" s="172">
        <v>45858</v>
      </c>
      <c r="E18" s="172">
        <v>45858</v>
      </c>
      <c r="F18" s="161" t="s">
        <v>49</v>
      </c>
      <c r="G18" s="173">
        <v>2690</v>
      </c>
      <c r="H18" s="161"/>
      <c r="I18" s="161" t="s">
        <v>74</v>
      </c>
      <c r="J18" s="161" t="s">
        <v>75</v>
      </c>
      <c r="K18" s="161">
        <v>45952</v>
      </c>
      <c r="L18" s="161">
        <v>2690</v>
      </c>
      <c r="M18" s="162" t="s">
        <v>19</v>
      </c>
    </row>
    <row r="19" spans="1:13">
      <c r="A19" s="166" t="s">
        <v>13</v>
      </c>
      <c r="B19" s="163" t="s">
        <v>2054</v>
      </c>
      <c r="C19" s="163" t="s">
        <v>77</v>
      </c>
      <c r="D19" s="170">
        <v>45820</v>
      </c>
      <c r="E19" s="170">
        <v>45820</v>
      </c>
      <c r="F19" s="163" t="s">
        <v>49</v>
      </c>
      <c r="G19" s="171">
        <v>602</v>
      </c>
      <c r="H19" s="163" t="s">
        <v>78</v>
      </c>
      <c r="I19" s="163" t="s">
        <v>79</v>
      </c>
      <c r="J19" s="163" t="s">
        <v>56</v>
      </c>
      <c r="K19" s="170"/>
      <c r="L19" s="163"/>
      <c r="M19" s="164"/>
    </row>
    <row r="20" spans="1:13">
      <c r="A20" s="167" t="s">
        <v>80</v>
      </c>
      <c r="B20" s="161" t="s">
        <v>2054</v>
      </c>
      <c r="C20" s="161" t="s">
        <v>81</v>
      </c>
      <c r="D20" s="172">
        <v>45972</v>
      </c>
      <c r="E20" s="172">
        <v>45972</v>
      </c>
      <c r="F20" s="161" t="s">
        <v>49</v>
      </c>
      <c r="G20" s="173">
        <v>-602</v>
      </c>
      <c r="H20" s="161"/>
      <c r="I20" s="161" t="s">
        <v>82</v>
      </c>
      <c r="J20" s="161" t="s">
        <v>83</v>
      </c>
      <c r="K20" s="172"/>
      <c r="L20" s="161"/>
      <c r="M20" s="162"/>
    </row>
    <row r="21" spans="1:13">
      <c r="A21" s="166" t="s">
        <v>13</v>
      </c>
      <c r="B21" s="163" t="s">
        <v>2475</v>
      </c>
      <c r="C21" s="163" t="s">
        <v>85</v>
      </c>
      <c r="D21" s="170">
        <v>45608</v>
      </c>
      <c r="E21" s="170">
        <v>45657</v>
      </c>
      <c r="F21" s="163" t="s">
        <v>49</v>
      </c>
      <c r="G21" s="171">
        <v>1977.42</v>
      </c>
      <c r="H21" s="163" t="s">
        <v>86</v>
      </c>
      <c r="I21" s="163" t="s">
        <v>87</v>
      </c>
      <c r="J21" s="163" t="s">
        <v>56</v>
      </c>
      <c r="K21" s="163">
        <v>45968</v>
      </c>
      <c r="L21" s="163">
        <v>1000</v>
      </c>
      <c r="M21" s="164" t="s">
        <v>19</v>
      </c>
    </row>
    <row r="22" spans="1:13">
      <c r="A22" s="167" t="s">
        <v>88</v>
      </c>
      <c r="B22" s="161" t="s">
        <v>2475</v>
      </c>
      <c r="C22" s="161" t="s">
        <v>85</v>
      </c>
      <c r="D22" s="172">
        <v>45973</v>
      </c>
      <c r="E22" s="172"/>
      <c r="F22" s="161"/>
      <c r="G22" s="173">
        <v>977.42000000000007</v>
      </c>
      <c r="H22" s="161"/>
      <c r="I22" s="161" t="s">
        <v>89</v>
      </c>
      <c r="J22" s="161"/>
      <c r="K22" s="172"/>
      <c r="L22" s="161"/>
      <c r="M22" s="162"/>
    </row>
    <row r="23" spans="1:13">
      <c r="A23" s="166" t="s">
        <v>90</v>
      </c>
      <c r="B23" s="163" t="s">
        <v>2475</v>
      </c>
      <c r="C23" s="163" t="s">
        <v>91</v>
      </c>
      <c r="D23" s="170">
        <v>45626</v>
      </c>
      <c r="E23" s="170">
        <v>45656</v>
      </c>
      <c r="F23" s="163"/>
      <c r="G23" s="171">
        <v>94.71</v>
      </c>
      <c r="H23" s="163" t="s">
        <v>92</v>
      </c>
      <c r="I23" s="163" t="s">
        <v>87</v>
      </c>
      <c r="J23" s="163" t="s">
        <v>56</v>
      </c>
      <c r="K23" s="170"/>
      <c r="L23" s="163"/>
      <c r="M23" s="164"/>
    </row>
    <row r="24" spans="1:13">
      <c r="A24" s="167" t="s">
        <v>13</v>
      </c>
      <c r="B24" s="161" t="s">
        <v>2475</v>
      </c>
      <c r="C24" s="161" t="s">
        <v>93</v>
      </c>
      <c r="D24" s="172">
        <v>45817</v>
      </c>
      <c r="E24" s="172">
        <v>45817</v>
      </c>
      <c r="F24" s="161" t="s">
        <v>16</v>
      </c>
      <c r="G24" s="173">
        <v>219.6</v>
      </c>
      <c r="H24" s="161" t="s">
        <v>94</v>
      </c>
      <c r="I24" s="161" t="s">
        <v>95</v>
      </c>
      <c r="J24" s="161" t="s">
        <v>66</v>
      </c>
      <c r="K24" s="161">
        <v>45818</v>
      </c>
      <c r="L24" s="161" t="s">
        <v>96</v>
      </c>
      <c r="M24" s="162" t="s">
        <v>97</v>
      </c>
    </row>
    <row r="25" spans="1:13">
      <c r="A25" s="166" t="s">
        <v>13</v>
      </c>
      <c r="B25" s="163" t="s">
        <v>2475</v>
      </c>
      <c r="C25" s="163" t="s">
        <v>98</v>
      </c>
      <c r="D25" s="170">
        <v>45831</v>
      </c>
      <c r="E25" s="170">
        <v>45831</v>
      </c>
      <c r="F25" s="163" t="s">
        <v>49</v>
      </c>
      <c r="G25" s="171">
        <v>32.21</v>
      </c>
      <c r="H25" s="163" t="s">
        <v>99</v>
      </c>
      <c r="I25" s="163"/>
      <c r="J25" s="163" t="s">
        <v>47</v>
      </c>
      <c r="K25" s="163">
        <v>45831</v>
      </c>
      <c r="L25" s="163">
        <v>32.21</v>
      </c>
      <c r="M25" s="164" t="s">
        <v>100</v>
      </c>
    </row>
    <row r="26" spans="1:13">
      <c r="A26" s="167" t="s">
        <v>13</v>
      </c>
      <c r="B26" s="161" t="s">
        <v>3184</v>
      </c>
      <c r="C26" s="161" t="s">
        <v>102</v>
      </c>
      <c r="D26" s="172">
        <v>45688</v>
      </c>
      <c r="E26" s="172">
        <v>45817</v>
      </c>
      <c r="F26" s="161" t="s">
        <v>16</v>
      </c>
      <c r="G26" s="173">
        <v>5049.7299999999996</v>
      </c>
      <c r="H26" s="161" t="s">
        <v>103</v>
      </c>
      <c r="I26" s="161" t="s">
        <v>104</v>
      </c>
      <c r="J26" s="161" t="s">
        <v>105</v>
      </c>
      <c r="K26" s="161">
        <v>45823</v>
      </c>
      <c r="L26" s="161">
        <v>5049.7299999999996</v>
      </c>
      <c r="M26" s="162" t="s">
        <v>106</v>
      </c>
    </row>
    <row r="27" spans="1:13">
      <c r="A27" s="166" t="s">
        <v>13</v>
      </c>
      <c r="B27" s="163" t="s">
        <v>3184</v>
      </c>
      <c r="C27" s="163" t="s">
        <v>107</v>
      </c>
      <c r="D27" s="170">
        <v>45650</v>
      </c>
      <c r="E27" s="170">
        <v>45726</v>
      </c>
      <c r="F27" s="163" t="s">
        <v>16</v>
      </c>
      <c r="G27" s="171">
        <v>1288.3399999999999</v>
      </c>
      <c r="H27" s="163" t="s">
        <v>108</v>
      </c>
      <c r="I27" s="163" t="s">
        <v>109</v>
      </c>
      <c r="J27" s="163" t="s">
        <v>110</v>
      </c>
      <c r="K27" s="163">
        <v>45730</v>
      </c>
      <c r="L27" s="163">
        <v>1520.14</v>
      </c>
      <c r="M27" s="164" t="s">
        <v>111</v>
      </c>
    </row>
    <row r="28" spans="1:13">
      <c r="A28" s="167" t="s">
        <v>13</v>
      </c>
      <c r="B28" s="161" t="s">
        <v>3184</v>
      </c>
      <c r="C28" s="161" t="s">
        <v>112</v>
      </c>
      <c r="D28" s="172">
        <v>45657</v>
      </c>
      <c r="E28" s="172">
        <v>45726</v>
      </c>
      <c r="F28" s="161" t="s">
        <v>16</v>
      </c>
      <c r="G28" s="173">
        <v>231.8</v>
      </c>
      <c r="H28" s="161" t="s">
        <v>113</v>
      </c>
      <c r="I28" s="161" t="s">
        <v>114</v>
      </c>
      <c r="J28" s="161" t="s">
        <v>110</v>
      </c>
      <c r="K28" s="161">
        <v>45730</v>
      </c>
      <c r="L28" s="161">
        <v>1520.14</v>
      </c>
      <c r="M28" s="162" t="s">
        <v>111</v>
      </c>
    </row>
    <row r="29" spans="1:13">
      <c r="A29" s="166" t="s">
        <v>13</v>
      </c>
      <c r="B29" s="163" t="s">
        <v>3184</v>
      </c>
      <c r="C29" s="163" t="s">
        <v>115</v>
      </c>
      <c r="D29" s="170">
        <v>45716</v>
      </c>
      <c r="E29" s="170">
        <v>45787</v>
      </c>
      <c r="F29" s="163" t="s">
        <v>16</v>
      </c>
      <c r="G29" s="171">
        <v>4933.58</v>
      </c>
      <c r="H29" s="163" t="s">
        <v>116</v>
      </c>
      <c r="I29" s="163" t="s">
        <v>117</v>
      </c>
      <c r="J29" s="163" t="s">
        <v>56</v>
      </c>
      <c r="K29" s="163">
        <v>45791</v>
      </c>
      <c r="L29" s="163">
        <v>4933.58</v>
      </c>
      <c r="M29" s="164" t="s">
        <v>19</v>
      </c>
    </row>
    <row r="30" spans="1:13">
      <c r="A30" s="167" t="s">
        <v>13</v>
      </c>
      <c r="B30" s="161" t="s">
        <v>3184</v>
      </c>
      <c r="C30" s="161" t="s">
        <v>118</v>
      </c>
      <c r="D30" s="172">
        <v>45747</v>
      </c>
      <c r="E30" s="172">
        <v>45853</v>
      </c>
      <c r="F30" s="161" t="s">
        <v>16</v>
      </c>
      <c r="G30" s="173">
        <v>3655.96</v>
      </c>
      <c r="H30" s="161" t="s">
        <v>119</v>
      </c>
      <c r="I30" s="161" t="s">
        <v>120</v>
      </c>
      <c r="J30" s="161" t="s">
        <v>105</v>
      </c>
      <c r="K30" s="161">
        <v>45853</v>
      </c>
      <c r="L30" s="161">
        <v>3655.96</v>
      </c>
      <c r="M30" s="162" t="s">
        <v>121</v>
      </c>
    </row>
    <row r="31" spans="1:13">
      <c r="A31" s="166" t="s">
        <v>13</v>
      </c>
      <c r="B31" s="163" t="s">
        <v>3184</v>
      </c>
      <c r="C31" s="163" t="s">
        <v>122</v>
      </c>
      <c r="D31" s="170">
        <v>45777</v>
      </c>
      <c r="E31" s="170">
        <v>45848</v>
      </c>
      <c r="F31" s="163" t="s">
        <v>16</v>
      </c>
      <c r="G31" s="171">
        <v>629.75</v>
      </c>
      <c r="H31" s="163" t="s">
        <v>123</v>
      </c>
      <c r="I31" s="163" t="s">
        <v>124</v>
      </c>
      <c r="J31" s="163" t="s">
        <v>125</v>
      </c>
      <c r="K31" s="163">
        <v>45848</v>
      </c>
      <c r="L31" s="163">
        <v>87.53</v>
      </c>
      <c r="M31" s="164" t="s">
        <v>126</v>
      </c>
    </row>
    <row r="32" spans="1:13">
      <c r="A32" s="167" t="s">
        <v>13</v>
      </c>
      <c r="B32" s="161" t="s">
        <v>3184</v>
      </c>
      <c r="C32" s="161" t="s">
        <v>3185</v>
      </c>
      <c r="D32" s="172">
        <v>45777</v>
      </c>
      <c r="E32" s="172">
        <v>45848</v>
      </c>
      <c r="F32" s="161" t="s">
        <v>16</v>
      </c>
      <c r="G32" s="173">
        <v>-542.22</v>
      </c>
      <c r="H32" s="161" t="s">
        <v>128</v>
      </c>
      <c r="I32" s="161"/>
      <c r="J32" s="161" t="s">
        <v>125</v>
      </c>
      <c r="K32" s="161">
        <v>45848</v>
      </c>
      <c r="L32" s="161">
        <v>-542.22</v>
      </c>
      <c r="M32" s="162" t="s">
        <v>129</v>
      </c>
    </row>
    <row r="33" spans="1:13">
      <c r="A33" s="166" t="s">
        <v>13</v>
      </c>
      <c r="B33" s="163" t="s">
        <v>3184</v>
      </c>
      <c r="C33" s="163" t="s">
        <v>130</v>
      </c>
      <c r="D33" s="170">
        <v>45808</v>
      </c>
      <c r="E33" s="170">
        <v>45879</v>
      </c>
      <c r="F33" s="163" t="s">
        <v>49</v>
      </c>
      <c r="G33" s="171">
        <v>1923.2</v>
      </c>
      <c r="H33" s="163" t="s">
        <v>131</v>
      </c>
      <c r="I33" s="163" t="s">
        <v>132</v>
      </c>
      <c r="J33" s="163" t="s">
        <v>105</v>
      </c>
      <c r="K33" s="163">
        <v>45950</v>
      </c>
      <c r="L33" s="163">
        <v>1923.2</v>
      </c>
      <c r="M33" s="164" t="s">
        <v>133</v>
      </c>
    </row>
    <row r="34" spans="1:13">
      <c r="A34" s="167" t="s">
        <v>13</v>
      </c>
      <c r="B34" s="161" t="s">
        <v>3184</v>
      </c>
      <c r="C34" s="161" t="s">
        <v>134</v>
      </c>
      <c r="D34" s="172">
        <v>45838</v>
      </c>
      <c r="E34" s="172">
        <v>45910</v>
      </c>
      <c r="F34" s="161" t="s">
        <v>16</v>
      </c>
      <c r="G34" s="173">
        <v>2859.9</v>
      </c>
      <c r="H34" s="161" t="s">
        <v>135</v>
      </c>
      <c r="I34" s="161" t="s">
        <v>132</v>
      </c>
      <c r="J34" s="161" t="s">
        <v>110</v>
      </c>
      <c r="K34" s="161">
        <v>45910</v>
      </c>
      <c r="L34" s="161">
        <v>2859.9</v>
      </c>
      <c r="M34" s="162" t="s">
        <v>19</v>
      </c>
    </row>
    <row r="35" spans="1:13">
      <c r="A35" s="166" t="s">
        <v>13</v>
      </c>
      <c r="B35" s="163" t="s">
        <v>3184</v>
      </c>
      <c r="C35" s="163" t="s">
        <v>136</v>
      </c>
      <c r="D35" s="170">
        <v>45900</v>
      </c>
      <c r="E35" s="170">
        <v>45971</v>
      </c>
      <c r="F35" s="163" t="s">
        <v>49</v>
      </c>
      <c r="G35" s="171">
        <v>567.29999999999995</v>
      </c>
      <c r="H35" s="163" t="s">
        <v>137</v>
      </c>
      <c r="I35" s="163" t="s">
        <v>138</v>
      </c>
      <c r="J35" s="163" t="s">
        <v>110</v>
      </c>
      <c r="K35" s="163">
        <v>45961</v>
      </c>
      <c r="L35" s="163">
        <v>567.29999999999995</v>
      </c>
      <c r="M35" s="164" t="s">
        <v>19</v>
      </c>
    </row>
    <row r="36" spans="1:13">
      <c r="A36" s="167" t="s">
        <v>13</v>
      </c>
      <c r="B36" s="161" t="s">
        <v>3184</v>
      </c>
      <c r="C36" s="161" t="s">
        <v>139</v>
      </c>
      <c r="D36" s="172">
        <v>45869</v>
      </c>
      <c r="E36" s="172">
        <v>45940</v>
      </c>
      <c r="F36" s="161"/>
      <c r="G36" s="173">
        <v>1244.74</v>
      </c>
      <c r="H36" s="161" t="s">
        <v>140</v>
      </c>
      <c r="I36" s="161" t="s">
        <v>141</v>
      </c>
      <c r="J36" s="161" t="s">
        <v>142</v>
      </c>
      <c r="K36" s="161">
        <v>46001</v>
      </c>
      <c r="L36" s="161">
        <v>1258.1600000000001</v>
      </c>
      <c r="M36" s="162" t="s">
        <v>143</v>
      </c>
    </row>
    <row r="37" spans="1:13">
      <c r="A37" s="166" t="s">
        <v>13</v>
      </c>
      <c r="B37" s="163" t="s">
        <v>3184</v>
      </c>
      <c r="C37" s="163" t="s">
        <v>144</v>
      </c>
      <c r="D37" s="170">
        <v>45930</v>
      </c>
      <c r="E37" s="170">
        <v>46001</v>
      </c>
      <c r="F37" s="163"/>
      <c r="G37" s="171">
        <v>13.42</v>
      </c>
      <c r="H37" s="163" t="s">
        <v>145</v>
      </c>
      <c r="I37" s="163" t="s">
        <v>46</v>
      </c>
      <c r="J37" s="163" t="s">
        <v>142</v>
      </c>
      <c r="K37" s="163">
        <v>46001</v>
      </c>
      <c r="L37" s="163">
        <v>1258.1600000000001</v>
      </c>
      <c r="M37" s="164" t="s">
        <v>143</v>
      </c>
    </row>
    <row r="38" spans="1:13">
      <c r="A38" s="167" t="s">
        <v>13</v>
      </c>
      <c r="B38" s="161" t="s">
        <v>3184</v>
      </c>
      <c r="C38" s="161"/>
      <c r="D38" s="172"/>
      <c r="E38" s="172"/>
      <c r="F38" s="161"/>
      <c r="G38" s="173">
        <v>13.42</v>
      </c>
      <c r="H38" s="161"/>
      <c r="I38" s="161" t="s">
        <v>2368</v>
      </c>
      <c r="J38" s="161"/>
      <c r="K38" s="172"/>
      <c r="L38" s="161"/>
      <c r="M38" s="162"/>
    </row>
    <row r="39" spans="1:13">
      <c r="A39" s="166" t="s">
        <v>13</v>
      </c>
      <c r="B39" s="163" t="s">
        <v>2062</v>
      </c>
      <c r="C39" s="163" t="s">
        <v>147</v>
      </c>
      <c r="D39" s="170">
        <v>45687</v>
      </c>
      <c r="E39" s="170">
        <v>45687</v>
      </c>
      <c r="F39" s="163" t="s">
        <v>16</v>
      </c>
      <c r="G39" s="171">
        <v>333.48</v>
      </c>
      <c r="H39" s="163" t="s">
        <v>148</v>
      </c>
      <c r="I39" s="163" t="s">
        <v>149</v>
      </c>
      <c r="J39" s="163" t="s">
        <v>150</v>
      </c>
      <c r="K39" s="163">
        <v>45687</v>
      </c>
      <c r="L39" s="163">
        <v>333.48</v>
      </c>
      <c r="M39" s="164" t="s">
        <v>151</v>
      </c>
    </row>
    <row r="40" spans="1:13">
      <c r="A40" s="167" t="s">
        <v>13</v>
      </c>
      <c r="B40" s="161" t="s">
        <v>2062</v>
      </c>
      <c r="C40" s="161" t="s">
        <v>152</v>
      </c>
      <c r="D40" s="172">
        <v>45716</v>
      </c>
      <c r="E40" s="172">
        <v>45716</v>
      </c>
      <c r="F40" s="161" t="s">
        <v>16</v>
      </c>
      <c r="G40" s="173">
        <v>244.6</v>
      </c>
      <c r="H40" s="161" t="s">
        <v>153</v>
      </c>
      <c r="I40" s="161" t="s">
        <v>149</v>
      </c>
      <c r="J40" s="161" t="s">
        <v>154</v>
      </c>
      <c r="K40" s="161" t="s">
        <v>155</v>
      </c>
      <c r="L40" s="161">
        <v>244.6</v>
      </c>
      <c r="M40" s="162" t="s">
        <v>151</v>
      </c>
    </row>
    <row r="41" spans="1:13">
      <c r="A41" s="166" t="s">
        <v>13</v>
      </c>
      <c r="B41" s="163" t="s">
        <v>2062</v>
      </c>
      <c r="C41" s="163" t="s">
        <v>156</v>
      </c>
      <c r="D41" s="170">
        <v>45746</v>
      </c>
      <c r="E41" s="170">
        <v>45746</v>
      </c>
      <c r="F41" s="163" t="s">
        <v>16</v>
      </c>
      <c r="G41" s="171">
        <v>180.66</v>
      </c>
      <c r="H41" s="163" t="s">
        <v>157</v>
      </c>
      <c r="I41" s="163" t="s">
        <v>158</v>
      </c>
      <c r="J41" s="163" t="s">
        <v>150</v>
      </c>
      <c r="K41" s="163">
        <v>45746</v>
      </c>
      <c r="L41" s="163">
        <v>180.66</v>
      </c>
      <c r="M41" s="164" t="s">
        <v>151</v>
      </c>
    </row>
    <row r="42" spans="1:13">
      <c r="A42" s="167" t="s">
        <v>13</v>
      </c>
      <c r="B42" s="161" t="s">
        <v>2062</v>
      </c>
      <c r="C42" s="161" t="s">
        <v>159</v>
      </c>
      <c r="D42" s="172">
        <v>45777</v>
      </c>
      <c r="E42" s="172">
        <v>45777</v>
      </c>
      <c r="F42" s="161" t="s">
        <v>16</v>
      </c>
      <c r="G42" s="173">
        <v>247.8</v>
      </c>
      <c r="H42" s="161" t="s">
        <v>160</v>
      </c>
      <c r="I42" s="161" t="s">
        <v>158</v>
      </c>
      <c r="J42" s="161" t="s">
        <v>150</v>
      </c>
      <c r="K42" s="161">
        <v>45777</v>
      </c>
      <c r="L42" s="161">
        <v>247.8</v>
      </c>
      <c r="M42" s="162" t="s">
        <v>151</v>
      </c>
    </row>
    <row r="43" spans="1:13">
      <c r="A43" s="166" t="s">
        <v>13</v>
      </c>
      <c r="B43" s="163" t="s">
        <v>2062</v>
      </c>
      <c r="C43" s="163" t="s">
        <v>161</v>
      </c>
      <c r="D43" s="170">
        <v>45807</v>
      </c>
      <c r="E43" s="170">
        <v>45807</v>
      </c>
      <c r="F43" s="163" t="s">
        <v>16</v>
      </c>
      <c r="G43" s="171">
        <v>400.85</v>
      </c>
      <c r="H43" s="163" t="s">
        <v>162</v>
      </c>
      <c r="I43" s="163" t="s">
        <v>149</v>
      </c>
      <c r="J43" s="163" t="s">
        <v>150</v>
      </c>
      <c r="K43" s="163">
        <v>45807</v>
      </c>
      <c r="L43" s="163">
        <v>400.85</v>
      </c>
      <c r="M43" s="164" t="s">
        <v>151</v>
      </c>
    </row>
    <row r="44" spans="1:13">
      <c r="A44" s="167" t="s">
        <v>13</v>
      </c>
      <c r="B44" s="161" t="s">
        <v>2062</v>
      </c>
      <c r="C44" s="161" t="s">
        <v>163</v>
      </c>
      <c r="D44" s="172">
        <v>45838</v>
      </c>
      <c r="E44" s="172">
        <v>45838</v>
      </c>
      <c r="F44" s="161" t="s">
        <v>16</v>
      </c>
      <c r="G44" s="173">
        <v>211.2</v>
      </c>
      <c r="H44" s="161" t="s">
        <v>164</v>
      </c>
      <c r="I44" s="161" t="s">
        <v>149</v>
      </c>
      <c r="J44" s="161" t="s">
        <v>150</v>
      </c>
      <c r="K44" s="161">
        <v>45838</v>
      </c>
      <c r="L44" s="161">
        <v>211.2</v>
      </c>
      <c r="M44" s="162" t="s">
        <v>151</v>
      </c>
    </row>
    <row r="45" spans="1:13">
      <c r="A45" s="166" t="s">
        <v>13</v>
      </c>
      <c r="B45" s="163" t="s">
        <v>2062</v>
      </c>
      <c r="C45" s="163" t="s">
        <v>165</v>
      </c>
      <c r="D45" s="170">
        <v>45868</v>
      </c>
      <c r="E45" s="170">
        <v>45868</v>
      </c>
      <c r="F45" s="163" t="s">
        <v>16</v>
      </c>
      <c r="G45" s="171">
        <v>390.35</v>
      </c>
      <c r="H45" s="163" t="s">
        <v>166</v>
      </c>
      <c r="I45" s="163" t="s">
        <v>149</v>
      </c>
      <c r="J45" s="163" t="s">
        <v>150</v>
      </c>
      <c r="K45" s="163">
        <v>45868</v>
      </c>
      <c r="L45" s="163">
        <v>390.35</v>
      </c>
      <c r="M45" s="164" t="s">
        <v>151</v>
      </c>
    </row>
    <row r="46" spans="1:13">
      <c r="A46" s="167" t="s">
        <v>13</v>
      </c>
      <c r="B46" s="161" t="s">
        <v>2062</v>
      </c>
      <c r="C46" s="161" t="s">
        <v>167</v>
      </c>
      <c r="D46" s="172">
        <v>45899</v>
      </c>
      <c r="E46" s="172">
        <v>45899</v>
      </c>
      <c r="F46" s="161" t="s">
        <v>16</v>
      </c>
      <c r="G46" s="173">
        <v>267.16000000000003</v>
      </c>
      <c r="H46" s="161" t="s">
        <v>168</v>
      </c>
      <c r="I46" s="161" t="s">
        <v>149</v>
      </c>
      <c r="J46" s="161" t="s">
        <v>150</v>
      </c>
      <c r="K46" s="161">
        <v>45899</v>
      </c>
      <c r="L46" s="161">
        <v>267.16000000000003</v>
      </c>
      <c r="M46" s="162" t="s">
        <v>151</v>
      </c>
    </row>
    <row r="47" spans="1:13">
      <c r="A47" s="166" t="s">
        <v>13</v>
      </c>
      <c r="B47" s="163" t="s">
        <v>2062</v>
      </c>
      <c r="C47" s="163" t="s">
        <v>169</v>
      </c>
      <c r="D47" s="170">
        <v>45930</v>
      </c>
      <c r="E47" s="170">
        <v>45930</v>
      </c>
      <c r="F47" s="163" t="s">
        <v>16</v>
      </c>
      <c r="G47" s="171">
        <v>229.8</v>
      </c>
      <c r="H47" s="163" t="s">
        <v>170</v>
      </c>
      <c r="I47" s="163" t="s">
        <v>149</v>
      </c>
      <c r="J47" s="163" t="s">
        <v>150</v>
      </c>
      <c r="K47" s="163">
        <v>45930</v>
      </c>
      <c r="L47" s="163">
        <v>229.8</v>
      </c>
      <c r="M47" s="164" t="s">
        <v>151</v>
      </c>
    </row>
    <row r="48" spans="1:13">
      <c r="A48" s="167" t="s">
        <v>13</v>
      </c>
      <c r="B48" s="161" t="s">
        <v>2062</v>
      </c>
      <c r="C48" s="161" t="s">
        <v>171</v>
      </c>
      <c r="D48" s="172">
        <v>45960</v>
      </c>
      <c r="E48" s="172">
        <v>45960</v>
      </c>
      <c r="F48" s="161" t="s">
        <v>49</v>
      </c>
      <c r="G48" s="173">
        <v>116.4</v>
      </c>
      <c r="H48" s="161"/>
      <c r="I48" s="161" t="s">
        <v>149</v>
      </c>
      <c r="J48" s="161" t="s">
        <v>150</v>
      </c>
      <c r="K48" s="161">
        <v>45960</v>
      </c>
      <c r="L48" s="161">
        <v>116.4</v>
      </c>
      <c r="M48" s="162" t="s">
        <v>151</v>
      </c>
    </row>
    <row r="49" spans="1:13">
      <c r="A49" s="166" t="s">
        <v>13</v>
      </c>
      <c r="B49" s="163" t="s">
        <v>2062</v>
      </c>
      <c r="C49" s="163" t="s">
        <v>172</v>
      </c>
      <c r="D49" s="170">
        <v>45991</v>
      </c>
      <c r="E49" s="170">
        <v>45991</v>
      </c>
      <c r="F49" s="163" t="s">
        <v>49</v>
      </c>
      <c r="G49" s="171">
        <v>111.9</v>
      </c>
      <c r="H49" s="163"/>
      <c r="I49" s="163" t="s">
        <v>149</v>
      </c>
      <c r="J49" s="163" t="s">
        <v>150</v>
      </c>
      <c r="K49" s="163">
        <v>45991</v>
      </c>
      <c r="L49" s="163">
        <v>111.9</v>
      </c>
      <c r="M49" s="164" t="s">
        <v>151</v>
      </c>
    </row>
    <row r="50" spans="1:13">
      <c r="A50" s="167" t="s">
        <v>13</v>
      </c>
      <c r="B50" s="161" t="s">
        <v>3186</v>
      </c>
      <c r="C50" s="161" t="s">
        <v>3187</v>
      </c>
      <c r="D50" s="172">
        <v>45982</v>
      </c>
      <c r="E50" s="172">
        <v>45982</v>
      </c>
      <c r="F50" s="161" t="s">
        <v>16</v>
      </c>
      <c r="G50" s="173">
        <v>5.27</v>
      </c>
      <c r="H50" s="161"/>
      <c r="I50" s="161" t="s">
        <v>175</v>
      </c>
      <c r="J50" s="161" t="s">
        <v>176</v>
      </c>
      <c r="K50" s="161">
        <v>45982</v>
      </c>
      <c r="L50" s="161">
        <v>5.27</v>
      </c>
      <c r="M50" s="162" t="s">
        <v>19</v>
      </c>
    </row>
    <row r="51" spans="1:13">
      <c r="A51" s="166" t="s">
        <v>13</v>
      </c>
      <c r="B51" s="163" t="s">
        <v>3188</v>
      </c>
      <c r="C51" s="163" t="s">
        <v>3189</v>
      </c>
      <c r="D51" s="170">
        <v>45628</v>
      </c>
      <c r="E51" s="170"/>
      <c r="F51" s="163" t="s">
        <v>16</v>
      </c>
      <c r="G51" s="171">
        <v>737.47</v>
      </c>
      <c r="H51" s="163"/>
      <c r="I51" s="163"/>
      <c r="J51" s="163"/>
      <c r="K51" s="170"/>
      <c r="L51" s="163"/>
      <c r="M51" s="164"/>
    </row>
    <row r="52" spans="1:13">
      <c r="A52" s="167"/>
      <c r="B52" s="161" t="s">
        <v>3190</v>
      </c>
      <c r="C52" s="161" t="s">
        <v>53</v>
      </c>
      <c r="D52" s="172">
        <v>45712</v>
      </c>
      <c r="E52" s="172"/>
      <c r="F52" s="161" t="s">
        <v>16</v>
      </c>
      <c r="G52" s="173">
        <v>447.6</v>
      </c>
      <c r="H52" s="161" t="s">
        <v>180</v>
      </c>
      <c r="I52" s="161" t="s">
        <v>181</v>
      </c>
      <c r="J52" s="161" t="s">
        <v>66</v>
      </c>
      <c r="K52" s="172"/>
      <c r="L52" s="161"/>
      <c r="M52" s="162"/>
    </row>
    <row r="53" spans="1:13">
      <c r="A53" s="166" t="s">
        <v>13</v>
      </c>
      <c r="B53" s="163" t="s">
        <v>3191</v>
      </c>
      <c r="C53" s="163" t="s">
        <v>183</v>
      </c>
      <c r="D53" s="170">
        <v>45363</v>
      </c>
      <c r="E53" s="170"/>
      <c r="F53" s="163" t="s">
        <v>16</v>
      </c>
      <c r="G53" s="171">
        <v>180</v>
      </c>
      <c r="H53" s="163"/>
      <c r="I53" s="163" t="s">
        <v>184</v>
      </c>
      <c r="J53" s="163" t="s">
        <v>185</v>
      </c>
      <c r="K53" s="170"/>
      <c r="L53" s="163"/>
      <c r="M53" s="164"/>
    </row>
    <row r="54" spans="1:13">
      <c r="A54" s="167" t="s">
        <v>13</v>
      </c>
      <c r="B54" s="161" t="s">
        <v>2474</v>
      </c>
      <c r="C54" s="161" t="s">
        <v>187</v>
      </c>
      <c r="D54" s="172">
        <v>45674</v>
      </c>
      <c r="E54" s="172" t="s">
        <v>188</v>
      </c>
      <c r="F54" s="161" t="s">
        <v>16</v>
      </c>
      <c r="G54" s="173">
        <v>12801.52</v>
      </c>
      <c r="H54" s="161" t="s">
        <v>189</v>
      </c>
      <c r="I54" s="161" t="s">
        <v>190</v>
      </c>
      <c r="J54" s="161" t="s">
        <v>105</v>
      </c>
      <c r="K54" s="161" t="s">
        <v>188</v>
      </c>
      <c r="L54" s="161">
        <v>12801.52</v>
      </c>
      <c r="M54" s="162" t="s">
        <v>191</v>
      </c>
    </row>
    <row r="55" spans="1:13">
      <c r="A55" s="166" t="s">
        <v>13</v>
      </c>
      <c r="B55" s="163" t="s">
        <v>2474</v>
      </c>
      <c r="C55" s="163" t="s">
        <v>187</v>
      </c>
      <c r="D55" s="170">
        <v>45674</v>
      </c>
      <c r="E55" s="170">
        <v>45747</v>
      </c>
      <c r="F55" s="163" t="s">
        <v>16</v>
      </c>
      <c r="G55" s="171">
        <v>12801.52</v>
      </c>
      <c r="H55" s="163" t="s">
        <v>189</v>
      </c>
      <c r="I55" s="163" t="s">
        <v>190</v>
      </c>
      <c r="J55" s="163" t="s">
        <v>105</v>
      </c>
      <c r="K55" s="163">
        <v>45747</v>
      </c>
      <c r="L55" s="163">
        <v>12801.52</v>
      </c>
      <c r="M55" s="164" t="s">
        <v>192</v>
      </c>
    </row>
    <row r="56" spans="1:13">
      <c r="A56" s="167" t="s">
        <v>13</v>
      </c>
      <c r="B56" s="161" t="s">
        <v>3192</v>
      </c>
      <c r="C56" s="161" t="s">
        <v>194</v>
      </c>
      <c r="D56" s="172">
        <v>45665</v>
      </c>
      <c r="E56" s="172">
        <v>45688</v>
      </c>
      <c r="F56" s="161" t="s">
        <v>16</v>
      </c>
      <c r="G56" s="173">
        <v>80.52</v>
      </c>
      <c r="H56" s="161" t="s">
        <v>195</v>
      </c>
      <c r="I56" s="161" t="s">
        <v>196</v>
      </c>
      <c r="J56" s="161" t="s">
        <v>197</v>
      </c>
      <c r="K56" s="161">
        <v>45688</v>
      </c>
      <c r="L56" s="161">
        <v>80.52</v>
      </c>
      <c r="M56" s="162" t="s">
        <v>198</v>
      </c>
    </row>
    <row r="57" spans="1:13">
      <c r="A57" s="166" t="s">
        <v>199</v>
      </c>
      <c r="B57" s="163" t="s">
        <v>3192</v>
      </c>
      <c r="C57" s="163"/>
      <c r="D57" s="170">
        <v>45696</v>
      </c>
      <c r="E57" s="170"/>
      <c r="F57" s="163"/>
      <c r="G57" s="171">
        <v>80.52</v>
      </c>
      <c r="H57" s="163"/>
      <c r="I57" s="163" t="s">
        <v>196</v>
      </c>
      <c r="J57" s="163" t="s">
        <v>197</v>
      </c>
      <c r="K57" s="170"/>
      <c r="L57" s="163"/>
      <c r="M57" s="164" t="s">
        <v>200</v>
      </c>
    </row>
    <row r="58" spans="1:13">
      <c r="A58" s="167" t="s">
        <v>199</v>
      </c>
      <c r="B58" s="161" t="s">
        <v>3192</v>
      </c>
      <c r="C58" s="161"/>
      <c r="D58" s="172">
        <v>45724</v>
      </c>
      <c r="E58" s="172"/>
      <c r="F58" s="161"/>
      <c r="G58" s="173">
        <v>80.52</v>
      </c>
      <c r="H58" s="161"/>
      <c r="I58" s="161" t="s">
        <v>196</v>
      </c>
      <c r="J58" s="161" t="s">
        <v>197</v>
      </c>
      <c r="K58" s="172"/>
      <c r="L58" s="161"/>
      <c r="M58" s="162" t="s">
        <v>201</v>
      </c>
    </row>
    <row r="59" spans="1:13">
      <c r="A59" s="166" t="s">
        <v>13</v>
      </c>
      <c r="B59" s="163" t="s">
        <v>3192</v>
      </c>
      <c r="C59" s="163" t="s">
        <v>202</v>
      </c>
      <c r="D59" s="170">
        <v>45754</v>
      </c>
      <c r="E59" s="170">
        <v>45748</v>
      </c>
      <c r="F59" s="163" t="s">
        <v>49</v>
      </c>
      <c r="G59" s="171">
        <v>80.52</v>
      </c>
      <c r="H59" s="163" t="s">
        <v>195</v>
      </c>
      <c r="I59" s="163" t="s">
        <v>196</v>
      </c>
      <c r="J59" s="163" t="s">
        <v>197</v>
      </c>
      <c r="K59" s="163">
        <v>45748</v>
      </c>
      <c r="L59" s="163">
        <v>80.52</v>
      </c>
      <c r="M59" s="164" t="s">
        <v>203</v>
      </c>
    </row>
    <row r="60" spans="1:13">
      <c r="A60" s="167" t="s">
        <v>199</v>
      </c>
      <c r="B60" s="161" t="s">
        <v>3192</v>
      </c>
      <c r="C60" s="161"/>
      <c r="D60" s="172">
        <v>45785</v>
      </c>
      <c r="E60" s="172"/>
      <c r="F60" s="161"/>
      <c r="G60" s="173">
        <v>80.52</v>
      </c>
      <c r="H60" s="161"/>
      <c r="I60" s="161" t="s">
        <v>196</v>
      </c>
      <c r="J60" s="161" t="s">
        <v>197</v>
      </c>
      <c r="K60" s="172"/>
      <c r="L60" s="161"/>
      <c r="M60" s="162" t="s">
        <v>200</v>
      </c>
    </row>
    <row r="61" spans="1:13">
      <c r="A61" s="166" t="s">
        <v>199</v>
      </c>
      <c r="B61" s="163" t="s">
        <v>3192</v>
      </c>
      <c r="C61" s="163"/>
      <c r="D61" s="170">
        <v>45816</v>
      </c>
      <c r="E61" s="170"/>
      <c r="F61" s="163"/>
      <c r="G61" s="171">
        <v>80.52</v>
      </c>
      <c r="H61" s="163"/>
      <c r="I61" s="163" t="s">
        <v>196</v>
      </c>
      <c r="J61" s="163" t="s">
        <v>197</v>
      </c>
      <c r="K61" s="170"/>
      <c r="L61" s="163"/>
      <c r="M61" s="164" t="s">
        <v>201</v>
      </c>
    </row>
    <row r="62" spans="1:13">
      <c r="A62" s="167" t="s">
        <v>13</v>
      </c>
      <c r="B62" s="161" t="s">
        <v>3192</v>
      </c>
      <c r="C62" s="161" t="s">
        <v>204</v>
      </c>
      <c r="D62" s="172">
        <v>45845</v>
      </c>
      <c r="E62" s="172">
        <v>45840</v>
      </c>
      <c r="F62" s="161" t="s">
        <v>16</v>
      </c>
      <c r="G62" s="173">
        <v>80.52</v>
      </c>
      <c r="H62" s="161" t="s">
        <v>205</v>
      </c>
      <c r="I62" s="161" t="s">
        <v>196</v>
      </c>
      <c r="J62" s="161" t="s">
        <v>197</v>
      </c>
      <c r="K62" s="161">
        <v>45840</v>
      </c>
      <c r="L62" s="161">
        <v>80.52</v>
      </c>
      <c r="M62" s="162" t="s">
        <v>203</v>
      </c>
    </row>
    <row r="63" spans="1:13">
      <c r="A63" s="166" t="s">
        <v>199</v>
      </c>
      <c r="B63" s="163" t="s">
        <v>3192</v>
      </c>
      <c r="C63" s="163"/>
      <c r="D63" s="170">
        <v>45877</v>
      </c>
      <c r="E63" s="170"/>
      <c r="F63" s="163"/>
      <c r="G63" s="171">
        <v>80.52</v>
      </c>
      <c r="H63" s="163"/>
      <c r="I63" s="163" t="s">
        <v>196</v>
      </c>
      <c r="J63" s="163" t="s">
        <v>197</v>
      </c>
      <c r="K63" s="170"/>
      <c r="L63" s="163"/>
      <c r="M63" s="164" t="s">
        <v>206</v>
      </c>
    </row>
    <row r="64" spans="1:13">
      <c r="A64" s="167" t="s">
        <v>199</v>
      </c>
      <c r="B64" s="161" t="s">
        <v>3192</v>
      </c>
      <c r="C64" s="161"/>
      <c r="D64" s="172">
        <v>45908</v>
      </c>
      <c r="E64" s="172"/>
      <c r="F64" s="161"/>
      <c r="G64" s="173">
        <v>80.52</v>
      </c>
      <c r="H64" s="161"/>
      <c r="I64" s="161" t="s">
        <v>196</v>
      </c>
      <c r="J64" s="161" t="s">
        <v>197</v>
      </c>
      <c r="K64" s="172"/>
      <c r="L64" s="161"/>
      <c r="M64" s="162" t="s">
        <v>207</v>
      </c>
    </row>
    <row r="65" spans="1:13">
      <c r="A65" s="166" t="s">
        <v>13</v>
      </c>
      <c r="B65" s="163" t="s">
        <v>3192</v>
      </c>
      <c r="C65" s="163" t="s">
        <v>208</v>
      </c>
      <c r="D65" s="170">
        <v>45937</v>
      </c>
      <c r="E65" s="170">
        <v>45933</v>
      </c>
      <c r="F65" s="163" t="s">
        <v>49</v>
      </c>
      <c r="G65" s="171">
        <v>80.52</v>
      </c>
      <c r="H65" s="163" t="s">
        <v>209</v>
      </c>
      <c r="I65" s="163" t="s">
        <v>196</v>
      </c>
      <c r="J65" s="163" t="s">
        <v>197</v>
      </c>
      <c r="K65" s="163">
        <v>45933</v>
      </c>
      <c r="L65" s="163">
        <v>80.52</v>
      </c>
      <c r="M65" s="164" t="s">
        <v>210</v>
      </c>
    </row>
    <row r="66" spans="1:13">
      <c r="A66" s="167" t="s">
        <v>13</v>
      </c>
      <c r="B66" s="161" t="s">
        <v>2490</v>
      </c>
      <c r="C66" s="161" t="s">
        <v>212</v>
      </c>
      <c r="D66" s="172">
        <v>45873</v>
      </c>
      <c r="E66" s="172">
        <v>45873</v>
      </c>
      <c r="F66" s="161"/>
      <c r="G66" s="173">
        <v>218.16</v>
      </c>
      <c r="H66" s="161" t="s">
        <v>213</v>
      </c>
      <c r="I66" s="161" t="s">
        <v>214</v>
      </c>
      <c r="J66" s="161" t="s">
        <v>215</v>
      </c>
      <c r="K66" s="172"/>
      <c r="L66" s="161"/>
      <c r="M66" s="162"/>
    </row>
    <row r="67" spans="1:13">
      <c r="A67" s="166" t="s">
        <v>13</v>
      </c>
      <c r="B67" s="163" t="s">
        <v>2071</v>
      </c>
      <c r="C67" s="163" t="s">
        <v>217</v>
      </c>
      <c r="D67" s="170">
        <v>45995</v>
      </c>
      <c r="E67" s="170">
        <v>45995</v>
      </c>
      <c r="F67" s="163" t="s">
        <v>16</v>
      </c>
      <c r="G67" s="171">
        <v>51.2</v>
      </c>
      <c r="H67" s="163"/>
      <c r="I67" s="163" t="s">
        <v>218</v>
      </c>
      <c r="J67" s="163" t="s">
        <v>219</v>
      </c>
      <c r="K67" s="163">
        <v>45995</v>
      </c>
      <c r="L67" s="163">
        <v>51.2</v>
      </c>
      <c r="M67" s="164" t="s">
        <v>219</v>
      </c>
    </row>
    <row r="68" spans="1:13">
      <c r="A68" s="167" t="s">
        <v>13</v>
      </c>
      <c r="B68" s="161" t="s">
        <v>2073</v>
      </c>
      <c r="C68" s="161" t="s">
        <v>221</v>
      </c>
      <c r="D68" s="172">
        <v>45688</v>
      </c>
      <c r="E68" s="172">
        <v>45688</v>
      </c>
      <c r="F68" s="161" t="s">
        <v>16</v>
      </c>
      <c r="G68" s="173">
        <v>0.61</v>
      </c>
      <c r="H68" s="161" t="s">
        <v>222</v>
      </c>
      <c r="I68" s="161" t="s">
        <v>196</v>
      </c>
      <c r="J68" s="161" t="s">
        <v>223</v>
      </c>
      <c r="K68" s="161">
        <v>45688</v>
      </c>
      <c r="L68" s="161">
        <v>0.61</v>
      </c>
      <c r="M68" s="162" t="s">
        <v>19</v>
      </c>
    </row>
    <row r="69" spans="1:13">
      <c r="A69" s="166" t="s">
        <v>13</v>
      </c>
      <c r="B69" s="163" t="s">
        <v>2073</v>
      </c>
      <c r="C69" s="163" t="s">
        <v>224</v>
      </c>
      <c r="D69" s="170">
        <v>45716</v>
      </c>
      <c r="E69" s="170">
        <v>45716</v>
      </c>
      <c r="F69" s="163" t="s">
        <v>16</v>
      </c>
      <c r="G69" s="171">
        <v>0.61</v>
      </c>
      <c r="H69" s="163" t="s">
        <v>225</v>
      </c>
      <c r="I69" s="163" t="s">
        <v>196</v>
      </c>
      <c r="J69" s="163" t="s">
        <v>223</v>
      </c>
      <c r="K69" s="163">
        <v>45716</v>
      </c>
      <c r="L69" s="163">
        <v>0.61</v>
      </c>
      <c r="M69" s="164" t="s">
        <v>19</v>
      </c>
    </row>
    <row r="70" spans="1:13">
      <c r="A70" s="167" t="s">
        <v>13</v>
      </c>
      <c r="B70" s="161" t="s">
        <v>2073</v>
      </c>
      <c r="C70" s="161" t="s">
        <v>226</v>
      </c>
      <c r="D70" s="172">
        <v>45777</v>
      </c>
      <c r="E70" s="172">
        <v>45777</v>
      </c>
      <c r="F70" s="161" t="s">
        <v>16</v>
      </c>
      <c r="G70" s="173">
        <v>0.61</v>
      </c>
      <c r="H70" s="161" t="s">
        <v>227</v>
      </c>
      <c r="I70" s="161" t="s">
        <v>196</v>
      </c>
      <c r="J70" s="161" t="s">
        <v>223</v>
      </c>
      <c r="K70" s="161">
        <v>45777</v>
      </c>
      <c r="L70" s="161">
        <v>0.61</v>
      </c>
      <c r="M70" s="162" t="s">
        <v>19</v>
      </c>
    </row>
    <row r="71" spans="1:13">
      <c r="A71" s="166" t="s">
        <v>13</v>
      </c>
      <c r="B71" s="163" t="s">
        <v>2073</v>
      </c>
      <c r="C71" s="163" t="s">
        <v>228</v>
      </c>
      <c r="D71" s="170">
        <v>45807</v>
      </c>
      <c r="E71" s="170">
        <v>45807</v>
      </c>
      <c r="F71" s="163" t="s">
        <v>16</v>
      </c>
      <c r="G71" s="171">
        <v>0.61</v>
      </c>
      <c r="H71" s="163" t="s">
        <v>229</v>
      </c>
      <c r="I71" s="163" t="s">
        <v>196</v>
      </c>
      <c r="J71" s="163" t="s">
        <v>223</v>
      </c>
      <c r="K71" s="163">
        <v>45807</v>
      </c>
      <c r="L71" s="163">
        <v>0.61</v>
      </c>
      <c r="M71" s="164" t="s">
        <v>19</v>
      </c>
    </row>
    <row r="72" spans="1:13">
      <c r="A72" s="167" t="s">
        <v>13</v>
      </c>
      <c r="B72" s="161" t="s">
        <v>2073</v>
      </c>
      <c r="C72" s="161" t="s">
        <v>230</v>
      </c>
      <c r="D72" s="172">
        <v>45838</v>
      </c>
      <c r="E72" s="172">
        <v>45838</v>
      </c>
      <c r="F72" s="161" t="s">
        <v>16</v>
      </c>
      <c r="G72" s="173">
        <v>0.61</v>
      </c>
      <c r="H72" s="161" t="s">
        <v>231</v>
      </c>
      <c r="I72" s="161" t="s">
        <v>196</v>
      </c>
      <c r="J72" s="161" t="s">
        <v>223</v>
      </c>
      <c r="K72" s="161">
        <v>45838</v>
      </c>
      <c r="L72" s="161">
        <v>0.61</v>
      </c>
      <c r="M72" s="162" t="s">
        <v>19</v>
      </c>
    </row>
    <row r="73" spans="1:13">
      <c r="A73" s="166" t="s">
        <v>13</v>
      </c>
      <c r="B73" s="163" t="s">
        <v>2073</v>
      </c>
      <c r="C73" s="163" t="s">
        <v>232</v>
      </c>
      <c r="D73" s="170">
        <v>45869</v>
      </c>
      <c r="E73" s="170">
        <v>45869</v>
      </c>
      <c r="F73" s="163" t="s">
        <v>16</v>
      </c>
      <c r="G73" s="171">
        <v>0.61</v>
      </c>
      <c r="H73" s="163" t="s">
        <v>233</v>
      </c>
      <c r="I73" s="163" t="s">
        <v>196</v>
      </c>
      <c r="J73" s="163" t="s">
        <v>223</v>
      </c>
      <c r="K73" s="163">
        <v>45869</v>
      </c>
      <c r="L73" s="163">
        <v>0.61</v>
      </c>
      <c r="M73" s="164" t="s">
        <v>19</v>
      </c>
    </row>
    <row r="74" spans="1:13">
      <c r="A74" s="167" t="s">
        <v>13</v>
      </c>
      <c r="B74" s="161" t="s">
        <v>2073</v>
      </c>
      <c r="C74" s="161" t="s">
        <v>234</v>
      </c>
      <c r="D74" s="172">
        <v>45898</v>
      </c>
      <c r="E74" s="172">
        <v>45898</v>
      </c>
      <c r="F74" s="161" t="s">
        <v>16</v>
      </c>
      <c r="G74" s="173">
        <v>0.61</v>
      </c>
      <c r="H74" s="161" t="s">
        <v>235</v>
      </c>
      <c r="I74" s="161" t="s">
        <v>196</v>
      </c>
      <c r="J74" s="161" t="s">
        <v>223</v>
      </c>
      <c r="K74" s="172">
        <v>45898</v>
      </c>
      <c r="L74" s="161">
        <v>0.61</v>
      </c>
      <c r="M74" s="162" t="s">
        <v>19</v>
      </c>
    </row>
    <row r="75" spans="1:13">
      <c r="A75" s="166" t="s">
        <v>13</v>
      </c>
      <c r="B75" s="163" t="s">
        <v>2073</v>
      </c>
      <c r="C75" s="163" t="s">
        <v>236</v>
      </c>
      <c r="D75" s="170">
        <v>45930</v>
      </c>
      <c r="E75" s="170">
        <v>45930</v>
      </c>
      <c r="F75" s="163" t="s">
        <v>16</v>
      </c>
      <c r="G75" s="171">
        <v>0.61</v>
      </c>
      <c r="H75" s="163" t="s">
        <v>237</v>
      </c>
      <c r="I75" s="163" t="s">
        <v>196</v>
      </c>
      <c r="J75" s="163" t="s">
        <v>223</v>
      </c>
      <c r="K75" s="170">
        <v>45930</v>
      </c>
      <c r="L75" s="163">
        <v>0.61</v>
      </c>
      <c r="M75" s="164" t="s">
        <v>19</v>
      </c>
    </row>
    <row r="76" spans="1:13">
      <c r="A76" s="167" t="s">
        <v>13</v>
      </c>
      <c r="B76" s="161" t="s">
        <v>2073</v>
      </c>
      <c r="C76" s="161" t="s">
        <v>238</v>
      </c>
      <c r="D76" s="172">
        <v>45961</v>
      </c>
      <c r="E76" s="172">
        <v>45961</v>
      </c>
      <c r="F76" s="161" t="s">
        <v>16</v>
      </c>
      <c r="G76" s="173">
        <v>0.61</v>
      </c>
      <c r="H76" s="161"/>
      <c r="I76" s="161" t="s">
        <v>196</v>
      </c>
      <c r="J76" s="161" t="s">
        <v>223</v>
      </c>
      <c r="K76" s="172">
        <v>45961</v>
      </c>
      <c r="L76" s="161">
        <v>0.61</v>
      </c>
      <c r="M76" s="162" t="s">
        <v>19</v>
      </c>
    </row>
    <row r="77" spans="1:13">
      <c r="A77" s="166" t="s">
        <v>13</v>
      </c>
      <c r="B77" s="163" t="s">
        <v>2073</v>
      </c>
      <c r="C77" s="163" t="s">
        <v>239</v>
      </c>
      <c r="D77" s="170">
        <v>45989</v>
      </c>
      <c r="E77" s="170">
        <v>45989</v>
      </c>
      <c r="F77" s="163" t="s">
        <v>49</v>
      </c>
      <c r="G77" s="171">
        <v>0.61</v>
      </c>
      <c r="H77" s="163"/>
      <c r="I77" s="163" t="s">
        <v>196</v>
      </c>
      <c r="J77" s="163" t="s">
        <v>223</v>
      </c>
      <c r="K77" s="170">
        <v>45989</v>
      </c>
      <c r="L77" s="163">
        <v>0.61</v>
      </c>
      <c r="M77" s="164" t="s">
        <v>19</v>
      </c>
    </row>
    <row r="78" spans="1:13">
      <c r="A78" s="167" t="s">
        <v>13</v>
      </c>
      <c r="B78" s="161" t="s">
        <v>3193</v>
      </c>
      <c r="C78" s="161" t="s">
        <v>3194</v>
      </c>
      <c r="D78" s="172">
        <v>45155</v>
      </c>
      <c r="E78" s="172">
        <v>45240</v>
      </c>
      <c r="F78" s="161"/>
      <c r="G78" s="173">
        <v>1869.64</v>
      </c>
      <c r="H78" s="161" t="s">
        <v>242</v>
      </c>
      <c r="I78" s="161" t="s">
        <v>243</v>
      </c>
      <c r="J78" s="161" t="s">
        <v>56</v>
      </c>
      <c r="K78" s="172"/>
      <c r="L78" s="161"/>
      <c r="M78" s="162"/>
    </row>
    <row r="79" spans="1:13">
      <c r="A79" s="166" t="s">
        <v>13</v>
      </c>
      <c r="B79" s="163" t="s">
        <v>3193</v>
      </c>
      <c r="C79" s="163" t="s">
        <v>3194</v>
      </c>
      <c r="D79" s="170">
        <v>45155</v>
      </c>
      <c r="E79" s="170"/>
      <c r="F79" s="163" t="s">
        <v>16</v>
      </c>
      <c r="G79" s="171">
        <v>720</v>
      </c>
      <c r="H79" s="163"/>
      <c r="I79" s="163" t="s">
        <v>243</v>
      </c>
      <c r="J79" s="163" t="s">
        <v>185</v>
      </c>
      <c r="K79" s="170"/>
      <c r="L79" s="163"/>
      <c r="M79" s="164"/>
    </row>
    <row r="80" spans="1:13">
      <c r="A80" s="167" t="s">
        <v>13</v>
      </c>
      <c r="B80" s="161" t="s">
        <v>3193</v>
      </c>
      <c r="C80" s="161" t="s">
        <v>244</v>
      </c>
      <c r="D80" s="172">
        <v>45946</v>
      </c>
      <c r="E80" s="172">
        <v>45946</v>
      </c>
      <c r="F80" s="161" t="s">
        <v>49</v>
      </c>
      <c r="G80" s="173">
        <v>859.92</v>
      </c>
      <c r="H80" s="161"/>
      <c r="I80" s="161" t="s">
        <v>245</v>
      </c>
      <c r="J80" s="161" t="s">
        <v>56</v>
      </c>
      <c r="K80" s="172">
        <v>45945</v>
      </c>
      <c r="L80" s="161">
        <v>859.92</v>
      </c>
      <c r="M80" s="162" t="s">
        <v>246</v>
      </c>
    </row>
    <row r="81" spans="1:13">
      <c r="A81" s="166" t="s">
        <v>13</v>
      </c>
      <c r="B81" s="163" t="s">
        <v>3193</v>
      </c>
      <c r="C81" s="163" t="s">
        <v>244</v>
      </c>
      <c r="D81" s="170">
        <v>45946</v>
      </c>
      <c r="E81" s="170">
        <v>45977</v>
      </c>
      <c r="F81" s="163"/>
      <c r="G81" s="171">
        <v>160</v>
      </c>
      <c r="H81" s="163"/>
      <c r="I81" s="163" t="s">
        <v>245</v>
      </c>
      <c r="J81" s="163" t="s">
        <v>185</v>
      </c>
      <c r="K81" s="170">
        <v>45977</v>
      </c>
      <c r="L81" s="163">
        <v>160</v>
      </c>
      <c r="M81" s="164"/>
    </row>
    <row r="82" spans="1:13">
      <c r="A82" s="167" t="s">
        <v>13</v>
      </c>
      <c r="B82" s="161" t="s">
        <v>3193</v>
      </c>
      <c r="C82" s="161" t="s">
        <v>247</v>
      </c>
      <c r="D82" s="172">
        <v>45946</v>
      </c>
      <c r="E82" s="172">
        <v>45946</v>
      </c>
      <c r="F82" s="161" t="s">
        <v>49</v>
      </c>
      <c r="G82" s="173">
        <v>1140.08</v>
      </c>
      <c r="H82" s="161"/>
      <c r="I82" s="161" t="s">
        <v>248</v>
      </c>
      <c r="J82" s="161" t="s">
        <v>56</v>
      </c>
      <c r="K82" s="172">
        <v>45945</v>
      </c>
      <c r="L82" s="161">
        <v>1140.08</v>
      </c>
      <c r="M82" s="162" t="s">
        <v>246</v>
      </c>
    </row>
    <row r="83" spans="1:13">
      <c r="A83" s="166" t="s">
        <v>13</v>
      </c>
      <c r="B83" s="163" t="s">
        <v>3193</v>
      </c>
      <c r="C83" s="163" t="s">
        <v>247</v>
      </c>
      <c r="D83" s="170">
        <v>45946</v>
      </c>
      <c r="E83" s="170">
        <v>45977</v>
      </c>
      <c r="F83" s="163"/>
      <c r="G83" s="171">
        <v>212.13</v>
      </c>
      <c r="H83" s="163"/>
      <c r="I83" s="163" t="s">
        <v>248</v>
      </c>
      <c r="J83" s="163" t="s">
        <v>185</v>
      </c>
      <c r="K83" s="170">
        <v>45977</v>
      </c>
      <c r="L83" s="163">
        <v>212.13</v>
      </c>
      <c r="M83" s="164"/>
    </row>
    <row r="84" spans="1:13">
      <c r="A84" s="167" t="s">
        <v>13</v>
      </c>
      <c r="B84" s="161" t="s">
        <v>3193</v>
      </c>
      <c r="C84" s="161" t="s">
        <v>249</v>
      </c>
      <c r="D84" s="172">
        <v>45964</v>
      </c>
      <c r="E84" s="172">
        <v>45960</v>
      </c>
      <c r="F84" s="161" t="s">
        <v>16</v>
      </c>
      <c r="G84" s="173">
        <v>2000</v>
      </c>
      <c r="H84" s="161"/>
      <c r="I84" s="161" t="s">
        <v>250</v>
      </c>
      <c r="J84" s="161" t="s">
        <v>56</v>
      </c>
      <c r="K84" s="161">
        <v>45960</v>
      </c>
      <c r="L84" s="161">
        <v>2000</v>
      </c>
      <c r="M84" s="162" t="s">
        <v>246</v>
      </c>
    </row>
    <row r="85" spans="1:13">
      <c r="A85" s="166" t="s">
        <v>13</v>
      </c>
      <c r="B85" s="163" t="s">
        <v>3193</v>
      </c>
      <c r="C85" s="163" t="s">
        <v>249</v>
      </c>
      <c r="D85" s="170">
        <v>45660</v>
      </c>
      <c r="E85" s="170">
        <v>45977</v>
      </c>
      <c r="F85" s="163"/>
      <c r="G85" s="171">
        <v>372.13</v>
      </c>
      <c r="H85" s="163"/>
      <c r="I85" s="163" t="s">
        <v>250</v>
      </c>
      <c r="J85" s="163" t="s">
        <v>185</v>
      </c>
      <c r="K85" s="163">
        <v>45977</v>
      </c>
      <c r="L85" s="163">
        <v>372.13</v>
      </c>
      <c r="M85" s="164"/>
    </row>
    <row r="86" spans="1:13">
      <c r="A86" s="167" t="s">
        <v>13</v>
      </c>
      <c r="B86" s="161" t="s">
        <v>2081</v>
      </c>
      <c r="C86" s="161" t="s">
        <v>3195</v>
      </c>
      <c r="D86" s="172">
        <v>45192</v>
      </c>
      <c r="E86" s="172"/>
      <c r="F86" s="161" t="s">
        <v>16</v>
      </c>
      <c r="G86" s="173">
        <v>693.68</v>
      </c>
      <c r="H86" s="161"/>
      <c r="I86" s="161" t="s">
        <v>253</v>
      </c>
      <c r="J86" s="161" t="s">
        <v>185</v>
      </c>
      <c r="K86" s="172"/>
      <c r="L86" s="161"/>
      <c r="M86" s="162"/>
    </row>
    <row r="87" spans="1:13">
      <c r="A87" s="166" t="s">
        <v>13</v>
      </c>
      <c r="B87" s="163" t="s">
        <v>3196</v>
      </c>
      <c r="C87" s="163" t="s">
        <v>3197</v>
      </c>
      <c r="D87" s="170">
        <v>45226</v>
      </c>
      <c r="E87" s="170">
        <v>45240</v>
      </c>
      <c r="F87" s="163" t="s">
        <v>16</v>
      </c>
      <c r="G87" s="171">
        <v>2000</v>
      </c>
      <c r="H87" s="163" t="s">
        <v>256</v>
      </c>
      <c r="I87" s="163" t="s">
        <v>257</v>
      </c>
      <c r="J87" s="163" t="s">
        <v>56</v>
      </c>
      <c r="K87" s="163">
        <v>45945</v>
      </c>
      <c r="L87" s="163">
        <v>2000</v>
      </c>
      <c r="M87" s="164"/>
    </row>
    <row r="88" spans="1:13">
      <c r="A88" s="167" t="s">
        <v>13</v>
      </c>
      <c r="B88" s="161" t="s">
        <v>3196</v>
      </c>
      <c r="C88" s="161" t="s">
        <v>3197</v>
      </c>
      <c r="D88" s="172">
        <v>45226</v>
      </c>
      <c r="E88" s="172">
        <v>45240</v>
      </c>
      <c r="F88" s="161"/>
      <c r="G88" s="173">
        <v>299.59000000000009</v>
      </c>
      <c r="H88" s="161" t="s">
        <v>256</v>
      </c>
      <c r="I88" s="161" t="s">
        <v>257</v>
      </c>
      <c r="J88" s="161" t="s">
        <v>56</v>
      </c>
      <c r="K88" s="172"/>
      <c r="L88" s="161"/>
      <c r="M88" s="162"/>
    </row>
    <row r="89" spans="1:13">
      <c r="A89" s="166" t="s">
        <v>13</v>
      </c>
      <c r="B89" s="163" t="s">
        <v>2081</v>
      </c>
      <c r="C89" s="163" t="s">
        <v>3197</v>
      </c>
      <c r="D89" s="170">
        <v>45226</v>
      </c>
      <c r="E89" s="170"/>
      <c r="F89" s="163" t="s">
        <v>16</v>
      </c>
      <c r="G89" s="171">
        <v>380.19</v>
      </c>
      <c r="H89" s="163"/>
      <c r="I89" s="163" t="s">
        <v>257</v>
      </c>
      <c r="J89" s="163" t="s">
        <v>185</v>
      </c>
      <c r="K89" s="170"/>
      <c r="L89" s="163"/>
      <c r="M89" s="164"/>
    </row>
    <row r="90" spans="1:13">
      <c r="A90" s="167" t="s">
        <v>13</v>
      </c>
      <c r="B90" s="161" t="s">
        <v>3196</v>
      </c>
      <c r="C90" s="161" t="s">
        <v>3198</v>
      </c>
      <c r="D90" s="172">
        <v>45236</v>
      </c>
      <c r="E90" s="172">
        <v>45270</v>
      </c>
      <c r="F90" s="161"/>
      <c r="G90" s="173">
        <v>1723.02</v>
      </c>
      <c r="H90" s="161" t="s">
        <v>259</v>
      </c>
      <c r="I90" s="161" t="s">
        <v>257</v>
      </c>
      <c r="J90" s="161" t="s">
        <v>56</v>
      </c>
      <c r="K90" s="172"/>
      <c r="L90" s="161"/>
      <c r="M90" s="162"/>
    </row>
    <row r="91" spans="1:13">
      <c r="A91" s="166" t="s">
        <v>13</v>
      </c>
      <c r="B91" s="163" t="s">
        <v>2081</v>
      </c>
      <c r="C91" s="163" t="s">
        <v>3198</v>
      </c>
      <c r="D91" s="170">
        <v>45236</v>
      </c>
      <c r="E91" s="170"/>
      <c r="F91" s="163" t="s">
        <v>16</v>
      </c>
      <c r="G91" s="171">
        <v>230</v>
      </c>
      <c r="H91" s="163"/>
      <c r="I91" s="163" t="s">
        <v>257</v>
      </c>
      <c r="J91" s="163" t="s">
        <v>185</v>
      </c>
      <c r="K91" s="170"/>
      <c r="L91" s="163"/>
      <c r="M91" s="164"/>
    </row>
    <row r="92" spans="1:13">
      <c r="A92" s="167" t="s">
        <v>13</v>
      </c>
      <c r="B92" s="161" t="s">
        <v>3196</v>
      </c>
      <c r="C92" s="161" t="s">
        <v>3199</v>
      </c>
      <c r="D92" s="172">
        <v>45250</v>
      </c>
      <c r="E92" s="172">
        <v>45270</v>
      </c>
      <c r="F92" s="161"/>
      <c r="G92" s="173">
        <v>1519.91</v>
      </c>
      <c r="H92" s="161" t="s">
        <v>261</v>
      </c>
      <c r="I92" s="161" t="s">
        <v>257</v>
      </c>
      <c r="J92" s="161" t="s">
        <v>56</v>
      </c>
      <c r="K92" s="172"/>
      <c r="L92" s="161"/>
      <c r="M92" s="162"/>
    </row>
    <row r="93" spans="1:13">
      <c r="A93" s="166" t="s">
        <v>13</v>
      </c>
      <c r="B93" s="163" t="s">
        <v>2081</v>
      </c>
      <c r="C93" s="163" t="s">
        <v>3199</v>
      </c>
      <c r="D93" s="170">
        <v>45250</v>
      </c>
      <c r="E93" s="170"/>
      <c r="F93" s="163" t="s">
        <v>16</v>
      </c>
      <c r="G93" s="171">
        <v>184</v>
      </c>
      <c r="H93" s="163"/>
      <c r="I93" s="163" t="s">
        <v>257</v>
      </c>
      <c r="J93" s="163" t="s">
        <v>185</v>
      </c>
      <c r="K93" s="170"/>
      <c r="L93" s="163"/>
      <c r="M93" s="164"/>
    </row>
    <row r="94" spans="1:13">
      <c r="A94" s="167" t="s">
        <v>13</v>
      </c>
      <c r="B94" s="161" t="s">
        <v>3196</v>
      </c>
      <c r="C94" s="161" t="s">
        <v>3200</v>
      </c>
      <c r="D94" s="172">
        <v>45260</v>
      </c>
      <c r="E94" s="172">
        <v>45301</v>
      </c>
      <c r="F94" s="161"/>
      <c r="G94" s="173">
        <v>1822.6</v>
      </c>
      <c r="H94" s="161" t="s">
        <v>263</v>
      </c>
      <c r="I94" s="161" t="s">
        <v>257</v>
      </c>
      <c r="J94" s="161" t="s">
        <v>56</v>
      </c>
      <c r="K94" s="172"/>
      <c r="L94" s="161"/>
      <c r="M94" s="162"/>
    </row>
    <row r="95" spans="1:13">
      <c r="A95" s="166" t="s">
        <v>13</v>
      </c>
      <c r="B95" s="163" t="s">
        <v>2081</v>
      </c>
      <c r="C95" s="163" t="s">
        <v>3200</v>
      </c>
      <c r="D95" s="170">
        <v>45260</v>
      </c>
      <c r="E95" s="170"/>
      <c r="F95" s="163" t="s">
        <v>16</v>
      </c>
      <c r="G95" s="171">
        <v>227.3</v>
      </c>
      <c r="H95" s="163"/>
      <c r="I95" s="163" t="s">
        <v>257</v>
      </c>
      <c r="J95" s="163" t="s">
        <v>185</v>
      </c>
      <c r="K95" s="170"/>
      <c r="L95" s="163"/>
      <c r="M95" s="164"/>
    </row>
    <row r="96" spans="1:13">
      <c r="A96" s="167" t="s">
        <v>13</v>
      </c>
      <c r="B96" s="161" t="s">
        <v>2081</v>
      </c>
      <c r="C96" s="161" t="s">
        <v>264</v>
      </c>
      <c r="D96" s="172">
        <v>45566</v>
      </c>
      <c r="E96" s="172">
        <v>45673</v>
      </c>
      <c r="F96" s="161" t="s">
        <v>16</v>
      </c>
      <c r="G96" s="173">
        <v>262.19</v>
      </c>
      <c r="H96" s="161"/>
      <c r="I96" s="161"/>
      <c r="J96" s="161" t="s">
        <v>185</v>
      </c>
      <c r="K96" s="172"/>
      <c r="L96" s="161"/>
      <c r="M96" s="162"/>
    </row>
    <row r="97" spans="1:13">
      <c r="A97" s="166" t="s">
        <v>90</v>
      </c>
      <c r="B97" s="163" t="s">
        <v>2081</v>
      </c>
      <c r="C97" s="163" t="s">
        <v>265</v>
      </c>
      <c r="D97" s="170">
        <v>45740</v>
      </c>
      <c r="E97" s="170">
        <v>45740</v>
      </c>
      <c r="F97" s="163"/>
      <c r="G97" s="171">
        <v>1282.19</v>
      </c>
      <c r="H97" s="163" t="s">
        <v>266</v>
      </c>
      <c r="I97" s="163" t="s">
        <v>267</v>
      </c>
      <c r="J97" s="163" t="s">
        <v>56</v>
      </c>
      <c r="K97" s="170"/>
      <c r="L97" s="163"/>
      <c r="M97" s="164"/>
    </row>
    <row r="98" spans="1:13">
      <c r="A98" s="167" t="s">
        <v>90</v>
      </c>
      <c r="B98" s="161" t="s">
        <v>2081</v>
      </c>
      <c r="C98" s="161" t="s">
        <v>265</v>
      </c>
      <c r="D98" s="172">
        <v>45740</v>
      </c>
      <c r="E98" s="172">
        <v>45763</v>
      </c>
      <c r="F98" s="161"/>
      <c r="G98" s="173">
        <v>197.8</v>
      </c>
      <c r="H98" s="161"/>
      <c r="I98" s="161"/>
      <c r="J98" s="161" t="s">
        <v>185</v>
      </c>
      <c r="K98" s="172"/>
      <c r="L98" s="161"/>
      <c r="M98" s="162"/>
    </row>
    <row r="99" spans="1:13">
      <c r="A99" s="166" t="s">
        <v>90</v>
      </c>
      <c r="B99" s="163" t="s">
        <v>3201</v>
      </c>
      <c r="C99" s="163" t="s">
        <v>269</v>
      </c>
      <c r="D99" s="170">
        <v>45473</v>
      </c>
      <c r="E99" s="170">
        <v>45514</v>
      </c>
      <c r="F99" s="163"/>
      <c r="G99" s="171">
        <v>643.05999999999995</v>
      </c>
      <c r="H99" s="163" t="s">
        <v>270</v>
      </c>
      <c r="I99" s="163" t="s">
        <v>271</v>
      </c>
      <c r="J99" s="163" t="s">
        <v>56</v>
      </c>
      <c r="K99" s="170"/>
      <c r="L99" s="163"/>
      <c r="M99" s="164"/>
    </row>
    <row r="100" spans="1:13">
      <c r="A100" s="167" t="s">
        <v>90</v>
      </c>
      <c r="B100" s="161" t="s">
        <v>3201</v>
      </c>
      <c r="C100" s="161" t="s">
        <v>272</v>
      </c>
      <c r="D100" s="172">
        <v>45504</v>
      </c>
      <c r="E100" s="172">
        <v>45545</v>
      </c>
      <c r="F100" s="161"/>
      <c r="G100" s="173">
        <v>1381.35</v>
      </c>
      <c r="H100" s="161" t="s">
        <v>273</v>
      </c>
      <c r="I100" s="161" t="s">
        <v>274</v>
      </c>
      <c r="J100" s="161" t="s">
        <v>56</v>
      </c>
      <c r="K100" s="172"/>
      <c r="L100" s="161"/>
      <c r="M100" s="162"/>
    </row>
    <row r="101" spans="1:13">
      <c r="A101" s="166" t="s">
        <v>275</v>
      </c>
      <c r="B101" s="163" t="s">
        <v>3202</v>
      </c>
      <c r="C101" s="163" t="s">
        <v>277</v>
      </c>
      <c r="D101" s="170">
        <v>45787</v>
      </c>
      <c r="E101" s="170"/>
      <c r="F101" s="163" t="s">
        <v>16</v>
      </c>
      <c r="G101" s="171">
        <v>111</v>
      </c>
      <c r="H101" s="163" t="s">
        <v>278</v>
      </c>
      <c r="I101" s="163" t="s">
        <v>279</v>
      </c>
      <c r="J101" s="163"/>
      <c r="K101" s="163">
        <v>45787</v>
      </c>
      <c r="L101" s="163">
        <v>111</v>
      </c>
      <c r="M101" s="164"/>
    </row>
    <row r="102" spans="1:13">
      <c r="A102" s="167" t="s">
        <v>275</v>
      </c>
      <c r="B102" s="161" t="s">
        <v>3203</v>
      </c>
      <c r="C102" s="161" t="s">
        <v>281</v>
      </c>
      <c r="D102" s="172">
        <v>45807</v>
      </c>
      <c r="E102" s="172">
        <v>45838</v>
      </c>
      <c r="F102" s="161" t="s">
        <v>16</v>
      </c>
      <c r="G102" s="173">
        <v>314.64</v>
      </c>
      <c r="H102" s="161" t="s">
        <v>282</v>
      </c>
      <c r="I102" s="161" t="s">
        <v>283</v>
      </c>
      <c r="J102" s="161" t="s">
        <v>56</v>
      </c>
      <c r="K102" s="172"/>
      <c r="L102" s="161"/>
      <c r="M102" s="162"/>
    </row>
    <row r="103" spans="1:13">
      <c r="A103" s="166" t="s">
        <v>13</v>
      </c>
      <c r="B103" s="163" t="s">
        <v>2470</v>
      </c>
      <c r="C103" s="163" t="s">
        <v>285</v>
      </c>
      <c r="D103" s="170">
        <v>45733</v>
      </c>
      <c r="E103" s="170">
        <v>45733</v>
      </c>
      <c r="F103" s="163" t="s">
        <v>16</v>
      </c>
      <c r="G103" s="171">
        <v>233.02</v>
      </c>
      <c r="H103" s="163" t="s">
        <v>286</v>
      </c>
      <c r="I103" s="163" t="s">
        <v>287</v>
      </c>
      <c r="J103" s="163" t="s">
        <v>56</v>
      </c>
      <c r="K103" s="163">
        <v>45736</v>
      </c>
      <c r="L103" s="163">
        <v>233.02</v>
      </c>
      <c r="M103" s="164" t="s">
        <v>288</v>
      </c>
    </row>
    <row r="104" spans="1:13">
      <c r="A104" s="167" t="s">
        <v>13</v>
      </c>
      <c r="B104" s="161" t="s">
        <v>2470</v>
      </c>
      <c r="C104" s="161" t="s">
        <v>289</v>
      </c>
      <c r="D104" s="172">
        <v>45777</v>
      </c>
      <c r="E104" s="172">
        <v>45777</v>
      </c>
      <c r="F104" s="161" t="s">
        <v>16</v>
      </c>
      <c r="G104" s="173">
        <v>142.74</v>
      </c>
      <c r="H104" s="161" t="s">
        <v>290</v>
      </c>
      <c r="I104" s="161" t="s">
        <v>291</v>
      </c>
      <c r="J104" s="161" t="s">
        <v>66</v>
      </c>
      <c r="K104" s="161">
        <v>45817</v>
      </c>
      <c r="L104" s="161">
        <v>142.74</v>
      </c>
      <c r="M104" s="162" t="s">
        <v>198</v>
      </c>
    </row>
    <row r="105" spans="1:13">
      <c r="A105" s="166" t="s">
        <v>292</v>
      </c>
      <c r="B105" s="163" t="s">
        <v>2470</v>
      </c>
      <c r="C105" s="163" t="s">
        <v>293</v>
      </c>
      <c r="D105" s="170">
        <v>45824</v>
      </c>
      <c r="E105" s="170">
        <v>45824</v>
      </c>
      <c r="F105" s="163" t="s">
        <v>16</v>
      </c>
      <c r="G105" s="171">
        <v>126.88</v>
      </c>
      <c r="H105" s="163" t="s">
        <v>294</v>
      </c>
      <c r="I105" s="163" t="s">
        <v>295</v>
      </c>
      <c r="J105" s="163" t="s">
        <v>66</v>
      </c>
      <c r="K105" s="163">
        <v>45833</v>
      </c>
      <c r="L105" s="163">
        <v>126.88</v>
      </c>
      <c r="M105" s="164" t="s">
        <v>296</v>
      </c>
    </row>
    <row r="106" spans="1:13">
      <c r="A106" s="167" t="s">
        <v>13</v>
      </c>
      <c r="B106" s="161" t="s">
        <v>2470</v>
      </c>
      <c r="C106" s="161" t="s">
        <v>297</v>
      </c>
      <c r="D106" s="172">
        <v>45841</v>
      </c>
      <c r="E106" s="172">
        <v>45841</v>
      </c>
      <c r="F106" s="161" t="s">
        <v>49</v>
      </c>
      <c r="G106" s="173">
        <v>220.82</v>
      </c>
      <c r="H106" s="161" t="s">
        <v>298</v>
      </c>
      <c r="I106" s="161" t="s">
        <v>299</v>
      </c>
      <c r="J106" s="161" t="s">
        <v>66</v>
      </c>
      <c r="K106" s="161">
        <v>46310</v>
      </c>
      <c r="L106" s="161">
        <v>220.82</v>
      </c>
      <c r="M106" s="162" t="s">
        <v>246</v>
      </c>
    </row>
    <row r="107" spans="1:13">
      <c r="A107" s="166" t="s">
        <v>13</v>
      </c>
      <c r="B107" s="163" t="s">
        <v>2470</v>
      </c>
      <c r="C107" s="163" t="s">
        <v>300</v>
      </c>
      <c r="D107" s="170">
        <v>45862</v>
      </c>
      <c r="E107" s="170">
        <v>45862</v>
      </c>
      <c r="F107" s="163" t="s">
        <v>49</v>
      </c>
      <c r="G107" s="171">
        <v>68.319999999999993</v>
      </c>
      <c r="H107" s="163" t="s">
        <v>301</v>
      </c>
      <c r="I107" s="163" t="s">
        <v>302</v>
      </c>
      <c r="J107" s="163" t="s">
        <v>66</v>
      </c>
      <c r="K107" s="163">
        <v>46310</v>
      </c>
      <c r="L107" s="163">
        <v>68.319999999999993</v>
      </c>
      <c r="M107" s="164" t="s">
        <v>246</v>
      </c>
    </row>
    <row r="108" spans="1:13">
      <c r="A108" s="167" t="s">
        <v>13</v>
      </c>
      <c r="B108" s="161" t="s">
        <v>2470</v>
      </c>
      <c r="C108" s="161" t="s">
        <v>303</v>
      </c>
      <c r="D108" s="172">
        <v>45897</v>
      </c>
      <c r="E108" s="172">
        <v>45897</v>
      </c>
      <c r="F108" s="161" t="s">
        <v>49</v>
      </c>
      <c r="G108" s="173">
        <v>395.25</v>
      </c>
      <c r="H108" s="161" t="s">
        <v>304</v>
      </c>
      <c r="I108" s="161" t="s">
        <v>305</v>
      </c>
      <c r="J108" s="161" t="s">
        <v>66</v>
      </c>
      <c r="K108" s="161">
        <v>46310</v>
      </c>
      <c r="L108" s="161">
        <v>395.25</v>
      </c>
      <c r="M108" s="162" t="s">
        <v>246</v>
      </c>
    </row>
    <row r="109" spans="1:13">
      <c r="A109" s="166" t="s">
        <v>306</v>
      </c>
      <c r="B109" s="163" t="s">
        <v>2470</v>
      </c>
      <c r="C109" s="163" t="s">
        <v>293</v>
      </c>
      <c r="D109" s="170">
        <v>45824</v>
      </c>
      <c r="E109" s="170"/>
      <c r="F109" s="163"/>
      <c r="G109" s="171">
        <v>126.88</v>
      </c>
      <c r="H109" s="163" t="s">
        <v>294</v>
      </c>
      <c r="I109" s="163" t="s">
        <v>307</v>
      </c>
      <c r="J109" s="163" t="s">
        <v>308</v>
      </c>
      <c r="K109" s="170"/>
      <c r="L109" s="163"/>
      <c r="M109" s="164"/>
    </row>
    <row r="110" spans="1:13">
      <c r="A110" s="167" t="s">
        <v>13</v>
      </c>
      <c r="B110" s="161" t="s">
        <v>2097</v>
      </c>
      <c r="C110" s="161" t="s">
        <v>310</v>
      </c>
      <c r="D110" s="172">
        <v>45868</v>
      </c>
      <c r="E110" s="172">
        <v>45869</v>
      </c>
      <c r="F110" s="161" t="s">
        <v>16</v>
      </c>
      <c r="G110" s="173">
        <v>10000</v>
      </c>
      <c r="H110" s="161" t="s">
        <v>311</v>
      </c>
      <c r="I110" s="161" t="s">
        <v>312</v>
      </c>
      <c r="J110" s="161" t="s">
        <v>66</v>
      </c>
      <c r="K110" s="161">
        <v>45869</v>
      </c>
      <c r="L110" s="161">
        <v>10000</v>
      </c>
      <c r="M110" s="162" t="s">
        <v>19</v>
      </c>
    </row>
    <row r="111" spans="1:13">
      <c r="A111" s="166" t="s">
        <v>13</v>
      </c>
      <c r="B111" s="163" t="s">
        <v>2097</v>
      </c>
      <c r="C111" s="163" t="s">
        <v>310</v>
      </c>
      <c r="D111" s="170">
        <v>45868</v>
      </c>
      <c r="E111" s="170">
        <v>45923</v>
      </c>
      <c r="F111" s="163" t="s">
        <v>49</v>
      </c>
      <c r="G111" s="171">
        <v>10000</v>
      </c>
      <c r="H111" s="163"/>
      <c r="I111" s="163" t="s">
        <v>312</v>
      </c>
      <c r="J111" s="163" t="s">
        <v>66</v>
      </c>
      <c r="K111" s="163">
        <v>45923</v>
      </c>
      <c r="L111" s="163">
        <v>10000</v>
      </c>
      <c r="M111" s="164" t="s">
        <v>313</v>
      </c>
    </row>
    <row r="112" spans="1:13">
      <c r="A112" s="167" t="s">
        <v>13</v>
      </c>
      <c r="B112" s="161" t="s">
        <v>2097</v>
      </c>
      <c r="C112" s="161" t="s">
        <v>310</v>
      </c>
      <c r="D112" s="172">
        <v>45868</v>
      </c>
      <c r="E112" s="172">
        <v>45944</v>
      </c>
      <c r="F112" s="161" t="s">
        <v>49</v>
      </c>
      <c r="G112" s="173">
        <v>5000</v>
      </c>
      <c r="H112" s="161"/>
      <c r="I112" s="161" t="s">
        <v>312</v>
      </c>
      <c r="J112" s="161" t="s">
        <v>66</v>
      </c>
      <c r="K112" s="161">
        <v>45944</v>
      </c>
      <c r="L112" s="161">
        <v>5000</v>
      </c>
      <c r="M112" s="162" t="s">
        <v>313</v>
      </c>
    </row>
    <row r="113" spans="1:13">
      <c r="A113" s="166" t="s">
        <v>13</v>
      </c>
      <c r="B113" s="163" t="s">
        <v>2097</v>
      </c>
      <c r="C113" s="163" t="s">
        <v>310</v>
      </c>
      <c r="D113" s="170">
        <v>45868</v>
      </c>
      <c r="E113" s="170">
        <v>45947</v>
      </c>
      <c r="F113" s="163" t="s">
        <v>49</v>
      </c>
      <c r="G113" s="171">
        <v>5000</v>
      </c>
      <c r="H113" s="163"/>
      <c r="I113" s="163" t="s">
        <v>312</v>
      </c>
      <c r="J113" s="163" t="s">
        <v>66</v>
      </c>
      <c r="K113" s="163">
        <v>45947</v>
      </c>
      <c r="L113" s="163">
        <v>5000</v>
      </c>
      <c r="M113" s="164" t="s">
        <v>313</v>
      </c>
    </row>
    <row r="114" spans="1:13">
      <c r="A114" s="167" t="s">
        <v>13</v>
      </c>
      <c r="B114" s="161" t="s">
        <v>2097</v>
      </c>
      <c r="C114" s="161" t="s">
        <v>310</v>
      </c>
      <c r="D114" s="172">
        <v>45868</v>
      </c>
      <c r="E114" s="172">
        <v>45952</v>
      </c>
      <c r="F114" s="161" t="s">
        <v>49</v>
      </c>
      <c r="G114" s="173">
        <v>10000</v>
      </c>
      <c r="H114" s="161"/>
      <c r="I114" s="161" t="s">
        <v>312</v>
      </c>
      <c r="J114" s="161" t="s">
        <v>66</v>
      </c>
      <c r="K114" s="161">
        <v>45952</v>
      </c>
      <c r="L114" s="161">
        <v>10000</v>
      </c>
      <c r="M114" s="162" t="s">
        <v>313</v>
      </c>
    </row>
    <row r="115" spans="1:13">
      <c r="A115" s="166" t="s">
        <v>13</v>
      </c>
      <c r="B115" s="163" t="s">
        <v>2097</v>
      </c>
      <c r="C115" s="163" t="s">
        <v>314</v>
      </c>
      <c r="D115" s="170">
        <v>45958</v>
      </c>
      <c r="E115" s="170">
        <v>45958</v>
      </c>
      <c r="F115" s="163"/>
      <c r="G115" s="171">
        <v>30000</v>
      </c>
      <c r="H115" s="163"/>
      <c r="I115" s="163" t="s">
        <v>312</v>
      </c>
      <c r="J115" s="163" t="s">
        <v>83</v>
      </c>
      <c r="K115" s="170"/>
      <c r="L115" s="163"/>
      <c r="M115" s="164"/>
    </row>
    <row r="116" spans="1:13">
      <c r="A116" s="167" t="s">
        <v>13</v>
      </c>
      <c r="B116" s="161" t="s">
        <v>2097</v>
      </c>
      <c r="C116" s="161" t="s">
        <v>314</v>
      </c>
      <c r="D116" s="172"/>
      <c r="E116" s="172"/>
      <c r="F116" s="161"/>
      <c r="G116" s="173">
        <v>10008</v>
      </c>
      <c r="H116" s="161"/>
      <c r="I116" s="161" t="s">
        <v>312</v>
      </c>
      <c r="J116" s="161" t="s">
        <v>83</v>
      </c>
      <c r="K116" s="161">
        <v>45974</v>
      </c>
      <c r="L116" s="161">
        <v>19992</v>
      </c>
      <c r="M116" s="162" t="s">
        <v>315</v>
      </c>
    </row>
    <row r="117" spans="1:13">
      <c r="A117" s="166"/>
      <c r="B117" s="163" t="s">
        <v>2097</v>
      </c>
      <c r="C117" s="163" t="s">
        <v>314</v>
      </c>
      <c r="D117" s="170"/>
      <c r="E117" s="170"/>
      <c r="F117" s="163"/>
      <c r="G117" s="171"/>
      <c r="H117" s="163"/>
      <c r="I117" s="163" t="s">
        <v>312</v>
      </c>
      <c r="J117" s="163"/>
      <c r="K117" s="170"/>
      <c r="L117" s="163"/>
      <c r="M117" s="164"/>
    </row>
    <row r="118" spans="1:13">
      <c r="A118" s="167" t="s">
        <v>316</v>
      </c>
      <c r="B118" s="161" t="s">
        <v>2097</v>
      </c>
      <c r="C118" s="161" t="s">
        <v>317</v>
      </c>
      <c r="D118" s="172">
        <v>45978</v>
      </c>
      <c r="E118" s="172">
        <v>45978</v>
      </c>
      <c r="F118" s="161"/>
      <c r="G118" s="173">
        <v>30000</v>
      </c>
      <c r="H118" s="161"/>
      <c r="I118" s="161" t="s">
        <v>312</v>
      </c>
      <c r="J118" s="161" t="s">
        <v>83</v>
      </c>
      <c r="K118" s="172"/>
      <c r="L118" s="161"/>
      <c r="M118" s="162"/>
    </row>
    <row r="119" spans="1:13">
      <c r="A119" s="166" t="s">
        <v>13</v>
      </c>
      <c r="B119" s="163" t="s">
        <v>3204</v>
      </c>
      <c r="C119" s="163" t="s">
        <v>319</v>
      </c>
      <c r="D119" s="170">
        <v>45672</v>
      </c>
      <c r="E119" s="170">
        <v>45716</v>
      </c>
      <c r="F119" s="163" t="s">
        <v>16</v>
      </c>
      <c r="G119" s="171">
        <v>2685.5</v>
      </c>
      <c r="H119" s="163" t="s">
        <v>320</v>
      </c>
      <c r="I119" s="163" t="s">
        <v>321</v>
      </c>
      <c r="J119" s="163"/>
      <c r="K119" s="163">
        <v>45733</v>
      </c>
      <c r="L119" s="163">
        <v>4138.68</v>
      </c>
      <c r="M119" s="164" t="s">
        <v>111</v>
      </c>
    </row>
    <row r="120" spans="1:13">
      <c r="A120" s="167" t="s">
        <v>13</v>
      </c>
      <c r="B120" s="161" t="s">
        <v>3204</v>
      </c>
      <c r="C120" s="161" t="s">
        <v>322</v>
      </c>
      <c r="D120" s="172">
        <v>45703</v>
      </c>
      <c r="E120" s="172">
        <v>45747</v>
      </c>
      <c r="F120" s="161" t="s">
        <v>16</v>
      </c>
      <c r="G120" s="173">
        <v>2906.35</v>
      </c>
      <c r="H120" s="161"/>
      <c r="I120" s="161"/>
      <c r="J120" s="161"/>
      <c r="K120" s="161">
        <v>45733</v>
      </c>
      <c r="L120" s="161">
        <v>1453.18</v>
      </c>
      <c r="M120" s="162" t="s">
        <v>111</v>
      </c>
    </row>
    <row r="121" spans="1:13">
      <c r="A121" s="166" t="s">
        <v>13</v>
      </c>
      <c r="B121" s="163" t="s">
        <v>3204</v>
      </c>
      <c r="C121" s="163" t="s">
        <v>322</v>
      </c>
      <c r="D121" s="170">
        <v>45703</v>
      </c>
      <c r="E121" s="170">
        <v>45747</v>
      </c>
      <c r="F121" s="163" t="s">
        <v>16</v>
      </c>
      <c r="G121" s="171">
        <v>1453.17</v>
      </c>
      <c r="H121" s="163"/>
      <c r="I121" s="163" t="s">
        <v>323</v>
      </c>
      <c r="J121" s="163"/>
      <c r="K121" s="163">
        <v>45945</v>
      </c>
      <c r="L121" s="163">
        <v>1560</v>
      </c>
      <c r="M121" s="164" t="s">
        <v>71</v>
      </c>
    </row>
    <row r="122" spans="1:13">
      <c r="A122" s="167" t="s">
        <v>13</v>
      </c>
      <c r="B122" s="161" t="s">
        <v>3204</v>
      </c>
      <c r="C122" s="161" t="s">
        <v>324</v>
      </c>
      <c r="D122" s="172">
        <v>45808</v>
      </c>
      <c r="E122" s="172">
        <v>45838</v>
      </c>
      <c r="F122" s="161" t="s">
        <v>16</v>
      </c>
      <c r="G122" s="173">
        <v>2963.54</v>
      </c>
      <c r="H122" s="161"/>
      <c r="I122" s="161"/>
      <c r="J122" s="161"/>
      <c r="K122" s="161">
        <v>45945</v>
      </c>
      <c r="L122" s="161">
        <v>106</v>
      </c>
      <c r="M122" s="162" t="s">
        <v>71</v>
      </c>
    </row>
    <row r="123" spans="1:13">
      <c r="A123" s="166" t="s">
        <v>13</v>
      </c>
      <c r="B123" s="163" t="s">
        <v>3204</v>
      </c>
      <c r="C123" s="163" t="s">
        <v>324</v>
      </c>
      <c r="D123" s="170">
        <v>45808</v>
      </c>
      <c r="E123" s="170">
        <v>45838</v>
      </c>
      <c r="F123" s="163" t="s">
        <v>16</v>
      </c>
      <c r="G123" s="171">
        <v>2857.54</v>
      </c>
      <c r="H123" s="163"/>
      <c r="I123" s="163" t="s">
        <v>325</v>
      </c>
      <c r="J123" s="163"/>
      <c r="K123" s="163">
        <v>45960</v>
      </c>
      <c r="L123" s="163">
        <v>1560</v>
      </c>
      <c r="M123" s="164" t="s">
        <v>326</v>
      </c>
    </row>
    <row r="124" spans="1:13">
      <c r="A124" s="167" t="s">
        <v>13</v>
      </c>
      <c r="B124" s="161" t="s">
        <v>3204</v>
      </c>
      <c r="C124" s="161" t="s">
        <v>324</v>
      </c>
      <c r="D124" s="172">
        <v>45808</v>
      </c>
      <c r="E124" s="172">
        <v>45838</v>
      </c>
      <c r="F124" s="161"/>
      <c r="G124" s="173">
        <v>1297.54</v>
      </c>
      <c r="H124" s="161"/>
      <c r="I124" s="161" t="s">
        <v>327</v>
      </c>
      <c r="J124" s="161"/>
      <c r="K124" s="172"/>
      <c r="L124" s="161"/>
      <c r="M124" s="162"/>
    </row>
    <row r="125" spans="1:13">
      <c r="A125" s="166" t="s">
        <v>13</v>
      </c>
      <c r="B125" s="163" t="s">
        <v>3204</v>
      </c>
      <c r="C125" s="163" t="s">
        <v>324</v>
      </c>
      <c r="D125" s="170">
        <v>45808</v>
      </c>
      <c r="E125" s="170">
        <v>45838</v>
      </c>
      <c r="F125" s="163"/>
      <c r="G125" s="171">
        <v>882.07999999999993</v>
      </c>
      <c r="H125" s="163"/>
      <c r="I125" s="163" t="s">
        <v>328</v>
      </c>
      <c r="J125" s="163"/>
      <c r="K125" s="170"/>
      <c r="L125" s="163"/>
      <c r="M125" s="164"/>
    </row>
    <row r="126" spans="1:13">
      <c r="A126" s="167" t="s">
        <v>13</v>
      </c>
      <c r="B126" s="161" t="s">
        <v>3204</v>
      </c>
      <c r="C126" s="161" t="s">
        <v>329</v>
      </c>
      <c r="D126" s="172">
        <v>45901</v>
      </c>
      <c r="E126" s="172">
        <v>45901</v>
      </c>
      <c r="F126" s="161"/>
      <c r="G126" s="173">
        <v>-415.46</v>
      </c>
      <c r="H126" s="161"/>
      <c r="I126" s="161"/>
      <c r="J126" s="161"/>
      <c r="K126" s="172"/>
      <c r="L126" s="161"/>
      <c r="M126" s="162"/>
    </row>
    <row r="127" spans="1:13">
      <c r="A127" s="166" t="s">
        <v>316</v>
      </c>
      <c r="B127" s="163" t="s">
        <v>296</v>
      </c>
      <c r="C127" s="163" t="s">
        <v>331</v>
      </c>
      <c r="D127" s="170">
        <v>45993</v>
      </c>
      <c r="E127" s="170">
        <v>45993</v>
      </c>
      <c r="F127" s="163" t="s">
        <v>16</v>
      </c>
      <c r="G127" s="171">
        <v>8.5399999999999991</v>
      </c>
      <c r="H127" s="163"/>
      <c r="I127" s="163" t="s">
        <v>196</v>
      </c>
      <c r="J127" s="163" t="s">
        <v>332</v>
      </c>
      <c r="K127" s="163">
        <v>45993</v>
      </c>
      <c r="L127" s="163">
        <v>8.5399999999999991</v>
      </c>
      <c r="M127" s="164" t="s">
        <v>313</v>
      </c>
    </row>
    <row r="128" spans="1:13">
      <c r="A128" s="167" t="s">
        <v>333</v>
      </c>
      <c r="B128" s="161" t="s">
        <v>2099</v>
      </c>
      <c r="C128" s="161" t="s">
        <v>335</v>
      </c>
      <c r="D128" s="172">
        <v>45682</v>
      </c>
      <c r="E128" s="172"/>
      <c r="F128" s="161" t="s">
        <v>16</v>
      </c>
      <c r="G128" s="173">
        <v>5276.37</v>
      </c>
      <c r="H128" s="161" t="s">
        <v>336</v>
      </c>
      <c r="I128" s="161" t="s">
        <v>337</v>
      </c>
      <c r="J128" s="161" t="s">
        <v>56</v>
      </c>
      <c r="K128" s="172"/>
      <c r="L128" s="161"/>
      <c r="M128" s="162"/>
    </row>
    <row r="129" spans="1:13">
      <c r="A129" s="166" t="s">
        <v>333</v>
      </c>
      <c r="B129" s="163" t="s">
        <v>2099</v>
      </c>
      <c r="C129" s="163" t="s">
        <v>338</v>
      </c>
      <c r="D129" s="170">
        <v>45680</v>
      </c>
      <c r="E129" s="170">
        <v>45682</v>
      </c>
      <c r="F129" s="163" t="s">
        <v>16</v>
      </c>
      <c r="G129" s="171">
        <v>6008.44</v>
      </c>
      <c r="H129" s="163" t="s">
        <v>339</v>
      </c>
      <c r="I129" s="163" t="s">
        <v>337</v>
      </c>
      <c r="J129" s="163" t="s">
        <v>66</v>
      </c>
      <c r="K129" s="163">
        <v>45681</v>
      </c>
      <c r="L129" s="163">
        <v>6008.44</v>
      </c>
      <c r="M129" s="164" t="s">
        <v>111</v>
      </c>
    </row>
    <row r="130" spans="1:13">
      <c r="A130" s="167" t="s">
        <v>333</v>
      </c>
      <c r="B130" s="161" t="s">
        <v>2099</v>
      </c>
      <c r="C130" s="161" t="s">
        <v>340</v>
      </c>
      <c r="D130" s="172">
        <v>45687</v>
      </c>
      <c r="E130" s="172"/>
      <c r="F130" s="161" t="s">
        <v>16</v>
      </c>
      <c r="G130" s="173">
        <v>5345.42</v>
      </c>
      <c r="H130" s="161" t="s">
        <v>341</v>
      </c>
      <c r="I130" s="161" t="s">
        <v>342</v>
      </c>
      <c r="J130" s="161" t="s">
        <v>56</v>
      </c>
      <c r="K130" s="172"/>
      <c r="L130" s="161"/>
      <c r="M130" s="162"/>
    </row>
    <row r="131" spans="1:13">
      <c r="A131" s="166" t="s">
        <v>316</v>
      </c>
      <c r="B131" s="163" t="s">
        <v>2099</v>
      </c>
      <c r="C131" s="163" t="s">
        <v>343</v>
      </c>
      <c r="D131" s="170">
        <v>45798</v>
      </c>
      <c r="E131" s="170"/>
      <c r="F131" s="163" t="s">
        <v>16</v>
      </c>
      <c r="G131" s="171">
        <v>5000</v>
      </c>
      <c r="H131" s="163" t="s">
        <v>344</v>
      </c>
      <c r="I131" s="163" t="s">
        <v>342</v>
      </c>
      <c r="J131" s="163" t="s">
        <v>56</v>
      </c>
      <c r="K131" s="163">
        <v>45800</v>
      </c>
      <c r="L131" s="163">
        <v>5000</v>
      </c>
      <c r="M131" s="164" t="s">
        <v>345</v>
      </c>
    </row>
    <row r="132" spans="1:13">
      <c r="A132" s="167" t="s">
        <v>219</v>
      </c>
      <c r="B132" s="161" t="s">
        <v>3205</v>
      </c>
      <c r="C132" s="161" t="s">
        <v>347</v>
      </c>
      <c r="D132" s="172">
        <v>45757</v>
      </c>
      <c r="E132" s="172">
        <v>45757</v>
      </c>
      <c r="F132" s="161" t="s">
        <v>16</v>
      </c>
      <c r="G132" s="173">
        <v>127.8</v>
      </c>
      <c r="H132" s="161" t="s">
        <v>348</v>
      </c>
      <c r="I132" s="161" t="s">
        <v>349</v>
      </c>
      <c r="J132" s="161" t="s">
        <v>350</v>
      </c>
      <c r="K132" s="172"/>
      <c r="L132" s="161"/>
      <c r="M132" s="162"/>
    </row>
    <row r="133" spans="1:13">
      <c r="A133" s="166" t="s">
        <v>316</v>
      </c>
      <c r="B133" s="163" t="s">
        <v>3206</v>
      </c>
      <c r="C133" s="163" t="s">
        <v>352</v>
      </c>
      <c r="D133" s="170">
        <v>45688</v>
      </c>
      <c r="E133" s="170">
        <v>45747</v>
      </c>
      <c r="F133" s="163" t="s">
        <v>16</v>
      </c>
      <c r="G133" s="171">
        <v>218.72</v>
      </c>
      <c r="H133" s="163" t="s">
        <v>353</v>
      </c>
      <c r="I133" s="163" t="s">
        <v>349</v>
      </c>
      <c r="J133" s="163" t="s">
        <v>354</v>
      </c>
      <c r="K133" s="163">
        <v>45868</v>
      </c>
      <c r="L133" s="163">
        <v>218.72</v>
      </c>
      <c r="M133" s="164" t="s">
        <v>19</v>
      </c>
    </row>
    <row r="134" spans="1:13">
      <c r="A134" s="167" t="s">
        <v>67</v>
      </c>
      <c r="B134" s="161" t="s">
        <v>3206</v>
      </c>
      <c r="C134" s="161" t="s">
        <v>355</v>
      </c>
      <c r="D134" s="172">
        <v>45716</v>
      </c>
      <c r="E134" s="172">
        <v>45716</v>
      </c>
      <c r="F134" s="161" t="s">
        <v>16</v>
      </c>
      <c r="G134" s="173">
        <v>4.7</v>
      </c>
      <c r="H134" s="161" t="s">
        <v>356</v>
      </c>
      <c r="I134" s="161" t="s">
        <v>349</v>
      </c>
      <c r="J134" s="161" t="s">
        <v>56</v>
      </c>
      <c r="K134" s="172"/>
      <c r="L134" s="161"/>
      <c r="M134" s="162"/>
    </row>
    <row r="135" spans="1:13">
      <c r="A135" s="166" t="s">
        <v>316</v>
      </c>
      <c r="B135" s="163" t="s">
        <v>3206</v>
      </c>
      <c r="C135" s="163" t="s">
        <v>357</v>
      </c>
      <c r="D135" s="170">
        <v>45771</v>
      </c>
      <c r="E135" s="170">
        <v>45771</v>
      </c>
      <c r="F135" s="163" t="s">
        <v>16</v>
      </c>
      <c r="G135" s="171">
        <v>21.2</v>
      </c>
      <c r="H135" s="163" t="s">
        <v>358</v>
      </c>
      <c r="I135" s="163" t="s">
        <v>349</v>
      </c>
      <c r="J135" s="163" t="s">
        <v>24</v>
      </c>
      <c r="K135" s="163">
        <v>45771</v>
      </c>
      <c r="L135" s="163">
        <v>21.2</v>
      </c>
      <c r="M135" s="164" t="s">
        <v>219</v>
      </c>
    </row>
    <row r="136" spans="1:13">
      <c r="A136" s="167" t="s">
        <v>316</v>
      </c>
      <c r="B136" s="161" t="s">
        <v>3206</v>
      </c>
      <c r="C136" s="161" t="s">
        <v>359</v>
      </c>
      <c r="D136" s="172">
        <v>45828</v>
      </c>
      <c r="E136" s="172">
        <v>45828</v>
      </c>
      <c r="F136" s="161" t="s">
        <v>16</v>
      </c>
      <c r="G136" s="173">
        <v>15.47</v>
      </c>
      <c r="H136" s="161" t="s">
        <v>360</v>
      </c>
      <c r="I136" s="161" t="s">
        <v>349</v>
      </c>
      <c r="J136" s="161" t="s">
        <v>219</v>
      </c>
      <c r="K136" s="161">
        <v>45828</v>
      </c>
      <c r="L136" s="161">
        <v>15.47</v>
      </c>
      <c r="M136" s="162" t="s">
        <v>361</v>
      </c>
    </row>
    <row r="137" spans="1:13">
      <c r="A137" s="166" t="s">
        <v>316</v>
      </c>
      <c r="B137" s="163" t="s">
        <v>3206</v>
      </c>
      <c r="C137" s="163" t="s">
        <v>362</v>
      </c>
      <c r="D137" s="170">
        <v>45831</v>
      </c>
      <c r="E137" s="170">
        <v>45831</v>
      </c>
      <c r="F137" s="163" t="s">
        <v>16</v>
      </c>
      <c r="G137" s="171">
        <v>37.94</v>
      </c>
      <c r="H137" s="163" t="s">
        <v>363</v>
      </c>
      <c r="I137" s="163" t="s">
        <v>364</v>
      </c>
      <c r="J137" s="163" t="s">
        <v>361</v>
      </c>
      <c r="K137" s="163">
        <v>45831</v>
      </c>
      <c r="L137" s="163">
        <v>37.94</v>
      </c>
      <c r="M137" s="164" t="s">
        <v>361</v>
      </c>
    </row>
    <row r="138" spans="1:13">
      <c r="A138" s="167" t="s">
        <v>365</v>
      </c>
      <c r="B138" s="161" t="s">
        <v>3206</v>
      </c>
      <c r="C138" s="161" t="s">
        <v>366</v>
      </c>
      <c r="D138" s="172">
        <v>45838</v>
      </c>
      <c r="E138" s="172">
        <v>45905</v>
      </c>
      <c r="F138" s="161" t="s">
        <v>16</v>
      </c>
      <c r="G138" s="173">
        <v>33.659999999999997</v>
      </c>
      <c r="H138" s="161" t="s">
        <v>367</v>
      </c>
      <c r="I138" s="161" t="s">
        <v>349</v>
      </c>
      <c r="J138" s="161"/>
      <c r="K138" s="172"/>
      <c r="L138" s="161"/>
      <c r="M138" s="162"/>
    </row>
    <row r="139" spans="1:13">
      <c r="A139" s="166" t="s">
        <v>90</v>
      </c>
      <c r="B139" s="163" t="s">
        <v>3206</v>
      </c>
      <c r="C139" s="163" t="s">
        <v>368</v>
      </c>
      <c r="D139" s="170">
        <v>45869</v>
      </c>
      <c r="E139" s="170"/>
      <c r="F139" s="163"/>
      <c r="G139" s="171">
        <v>11.24</v>
      </c>
      <c r="H139" s="163" t="s">
        <v>369</v>
      </c>
      <c r="I139" s="163" t="s">
        <v>349</v>
      </c>
      <c r="J139" s="163" t="s">
        <v>56</v>
      </c>
      <c r="K139" s="170"/>
      <c r="L139" s="163"/>
      <c r="M139" s="164"/>
    </row>
    <row r="140" spans="1:13">
      <c r="A140" s="167" t="s">
        <v>13</v>
      </c>
      <c r="B140" s="161" t="s">
        <v>2103</v>
      </c>
      <c r="C140" s="161" t="s">
        <v>2102</v>
      </c>
      <c r="D140" s="172">
        <v>45987</v>
      </c>
      <c r="E140" s="172">
        <v>45987</v>
      </c>
      <c r="F140" s="161" t="s">
        <v>16</v>
      </c>
      <c r="G140" s="173">
        <v>31.99</v>
      </c>
      <c r="H140" s="161"/>
      <c r="I140" s="161" t="s">
        <v>218</v>
      </c>
      <c r="J140" s="161" t="s">
        <v>219</v>
      </c>
      <c r="K140" s="161">
        <v>45987</v>
      </c>
      <c r="L140" s="161">
        <v>31.99</v>
      </c>
      <c r="M140" s="162" t="s">
        <v>219</v>
      </c>
    </row>
    <row r="141" spans="1:13">
      <c r="A141" s="166" t="s">
        <v>13</v>
      </c>
      <c r="B141" s="163" t="s">
        <v>2103</v>
      </c>
      <c r="C141" s="163" t="s">
        <v>372</v>
      </c>
      <c r="D141" s="170">
        <v>45991</v>
      </c>
      <c r="E141" s="170">
        <v>46053</v>
      </c>
      <c r="F141" s="163"/>
      <c r="G141" s="171">
        <v>92.92</v>
      </c>
      <c r="H141" s="163"/>
      <c r="I141" s="163" t="s">
        <v>373</v>
      </c>
      <c r="J141" s="163" t="s">
        <v>374</v>
      </c>
      <c r="K141" s="163">
        <v>46053</v>
      </c>
      <c r="L141" s="163">
        <v>92.92</v>
      </c>
      <c r="M141" s="164" t="s">
        <v>47</v>
      </c>
    </row>
    <row r="142" spans="1:13">
      <c r="A142" s="167" t="s">
        <v>13</v>
      </c>
      <c r="B142" s="161" t="s">
        <v>2108</v>
      </c>
      <c r="C142" s="161" t="s">
        <v>376</v>
      </c>
      <c r="D142" s="172">
        <v>45995</v>
      </c>
      <c r="E142" s="172">
        <v>45995</v>
      </c>
      <c r="F142" s="161" t="s">
        <v>49</v>
      </c>
      <c r="G142" s="173">
        <v>16</v>
      </c>
      <c r="H142" s="161"/>
      <c r="I142" s="161" t="s">
        <v>377</v>
      </c>
      <c r="J142" s="161" t="s">
        <v>18</v>
      </c>
      <c r="K142" s="161">
        <v>45995</v>
      </c>
      <c r="L142" s="161">
        <v>16</v>
      </c>
      <c r="M142" s="162" t="s">
        <v>345</v>
      </c>
    </row>
    <row r="143" spans="1:13">
      <c r="A143" s="166" t="s">
        <v>13</v>
      </c>
      <c r="B143" s="163" t="s">
        <v>2108</v>
      </c>
      <c r="C143" s="163" t="s">
        <v>378</v>
      </c>
      <c r="D143" s="170">
        <v>45995</v>
      </c>
      <c r="E143" s="170">
        <v>45995</v>
      </c>
      <c r="F143" s="163" t="s">
        <v>49</v>
      </c>
      <c r="G143" s="171">
        <v>8.33</v>
      </c>
      <c r="H143" s="163"/>
      <c r="I143" s="163" t="s">
        <v>379</v>
      </c>
      <c r="J143" s="163" t="s">
        <v>18</v>
      </c>
      <c r="K143" s="163">
        <v>45995</v>
      </c>
      <c r="L143" s="163">
        <v>8.33</v>
      </c>
      <c r="M143" s="164" t="s">
        <v>345</v>
      </c>
    </row>
    <row r="144" spans="1:13">
      <c r="A144" s="167" t="s">
        <v>13</v>
      </c>
      <c r="B144" s="161" t="s">
        <v>2108</v>
      </c>
      <c r="C144" s="161" t="s">
        <v>380</v>
      </c>
      <c r="D144" s="172">
        <v>45995</v>
      </c>
      <c r="E144" s="172">
        <v>45995</v>
      </c>
      <c r="F144" s="161" t="s">
        <v>49</v>
      </c>
      <c r="G144" s="173">
        <v>10.33</v>
      </c>
      <c r="H144" s="161"/>
      <c r="I144" s="161" t="s">
        <v>379</v>
      </c>
      <c r="J144" s="161" t="s">
        <v>18</v>
      </c>
      <c r="K144" s="161">
        <v>45995</v>
      </c>
      <c r="L144" s="161">
        <v>10.33</v>
      </c>
      <c r="M144" s="162" t="s">
        <v>345</v>
      </c>
    </row>
    <row r="145" spans="1:13">
      <c r="A145" s="166" t="s">
        <v>13</v>
      </c>
      <c r="B145" s="163" t="s">
        <v>2108</v>
      </c>
      <c r="C145" s="163" t="s">
        <v>381</v>
      </c>
      <c r="D145" s="170">
        <v>45995</v>
      </c>
      <c r="E145" s="170">
        <v>45995</v>
      </c>
      <c r="F145" s="163" t="s">
        <v>49</v>
      </c>
      <c r="G145" s="171">
        <v>18</v>
      </c>
      <c r="H145" s="163"/>
      <c r="I145" s="163" t="s">
        <v>379</v>
      </c>
      <c r="J145" s="163" t="s">
        <v>18</v>
      </c>
      <c r="K145" s="163">
        <v>45995</v>
      </c>
      <c r="L145" s="163">
        <v>18</v>
      </c>
      <c r="M145" s="164" t="s">
        <v>345</v>
      </c>
    </row>
    <row r="146" spans="1:13">
      <c r="A146" s="167" t="s">
        <v>13</v>
      </c>
      <c r="B146" s="161" t="s">
        <v>2108</v>
      </c>
      <c r="C146" s="161" t="s">
        <v>382</v>
      </c>
      <c r="D146" s="172">
        <v>46003</v>
      </c>
      <c r="E146" s="172">
        <v>46003</v>
      </c>
      <c r="F146" s="161" t="s">
        <v>49</v>
      </c>
      <c r="G146" s="173">
        <v>10</v>
      </c>
      <c r="H146" s="161"/>
      <c r="I146" s="161" t="s">
        <v>379</v>
      </c>
      <c r="J146" s="161" t="s">
        <v>18</v>
      </c>
      <c r="K146" s="161" t="s">
        <v>383</v>
      </c>
      <c r="L146" s="161">
        <v>10</v>
      </c>
      <c r="M146" s="162" t="s">
        <v>345</v>
      </c>
    </row>
    <row r="147" spans="1:13">
      <c r="A147" s="166" t="s">
        <v>13</v>
      </c>
      <c r="B147" s="163" t="s">
        <v>2108</v>
      </c>
      <c r="C147" s="163" t="s">
        <v>384</v>
      </c>
      <c r="D147" s="170">
        <v>46003</v>
      </c>
      <c r="E147" s="170">
        <v>46003</v>
      </c>
      <c r="F147" s="163" t="s">
        <v>49</v>
      </c>
      <c r="G147" s="171">
        <v>16</v>
      </c>
      <c r="H147" s="163"/>
      <c r="I147" s="163" t="s">
        <v>379</v>
      </c>
      <c r="J147" s="163" t="s">
        <v>18</v>
      </c>
      <c r="K147" s="163">
        <v>46003</v>
      </c>
      <c r="L147" s="163">
        <v>16</v>
      </c>
      <c r="M147" s="164" t="s">
        <v>345</v>
      </c>
    </row>
    <row r="148" spans="1:13">
      <c r="A148" s="167" t="s">
        <v>385</v>
      </c>
      <c r="B148" s="161" t="s">
        <v>3207</v>
      </c>
      <c r="C148" s="161" t="s">
        <v>387</v>
      </c>
      <c r="D148" s="172">
        <v>45673</v>
      </c>
      <c r="E148" s="172">
        <v>45716</v>
      </c>
      <c r="F148" s="161" t="s">
        <v>16</v>
      </c>
      <c r="G148" s="173">
        <v>16925.38</v>
      </c>
      <c r="H148" s="161" t="s">
        <v>388</v>
      </c>
      <c r="I148" s="161" t="s">
        <v>342</v>
      </c>
      <c r="J148" s="161" t="s">
        <v>389</v>
      </c>
      <c r="K148" s="161">
        <v>45685</v>
      </c>
      <c r="L148" s="161">
        <v>16925.38</v>
      </c>
      <c r="M148" s="162" t="s">
        <v>111</v>
      </c>
    </row>
    <row r="149" spans="1:13">
      <c r="A149" s="166" t="s">
        <v>385</v>
      </c>
      <c r="B149" s="163" t="s">
        <v>3207</v>
      </c>
      <c r="C149" s="163" t="s">
        <v>390</v>
      </c>
      <c r="D149" s="170">
        <v>45700</v>
      </c>
      <c r="E149" s="170">
        <v>45747</v>
      </c>
      <c r="F149" s="163" t="s">
        <v>16</v>
      </c>
      <c r="G149" s="171">
        <v>11766.72</v>
      </c>
      <c r="H149" s="163" t="s">
        <v>391</v>
      </c>
      <c r="I149" s="163" t="s">
        <v>312</v>
      </c>
      <c r="J149" s="163" t="s">
        <v>56</v>
      </c>
      <c r="K149" s="163">
        <v>45730</v>
      </c>
      <c r="L149" s="163">
        <v>11766.72</v>
      </c>
      <c r="M149" s="164" t="s">
        <v>111</v>
      </c>
    </row>
    <row r="150" spans="1:13">
      <c r="A150" s="167" t="s">
        <v>13</v>
      </c>
      <c r="B150" s="161" t="s">
        <v>3207</v>
      </c>
      <c r="C150" s="161" t="s">
        <v>392</v>
      </c>
      <c r="D150" s="172">
        <v>45716</v>
      </c>
      <c r="E150" s="172">
        <v>45777</v>
      </c>
      <c r="F150" s="161" t="s">
        <v>16</v>
      </c>
      <c r="G150" s="173">
        <v>12667.41</v>
      </c>
      <c r="H150" s="161" t="s">
        <v>393</v>
      </c>
      <c r="I150" s="161" t="s">
        <v>312</v>
      </c>
      <c r="J150" s="161" t="s">
        <v>110</v>
      </c>
      <c r="K150" s="161">
        <v>45853</v>
      </c>
      <c r="L150" s="161">
        <v>12667.41</v>
      </c>
      <c r="M150" s="162" t="s">
        <v>394</v>
      </c>
    </row>
    <row r="151" spans="1:13">
      <c r="A151" s="166" t="s">
        <v>316</v>
      </c>
      <c r="B151" s="163" t="s">
        <v>3208</v>
      </c>
      <c r="C151" s="163" t="s">
        <v>396</v>
      </c>
      <c r="D151" s="170">
        <v>45734</v>
      </c>
      <c r="E151" s="170">
        <v>45808</v>
      </c>
      <c r="F151" s="163" t="s">
        <v>16</v>
      </c>
      <c r="G151" s="171">
        <v>702.72</v>
      </c>
      <c r="H151" s="163" t="s">
        <v>397</v>
      </c>
      <c r="I151" s="163" t="s">
        <v>398</v>
      </c>
      <c r="J151" s="163" t="s">
        <v>399</v>
      </c>
      <c r="K151" s="163">
        <v>45811</v>
      </c>
      <c r="L151" s="163">
        <v>702.72</v>
      </c>
      <c r="M151" s="164"/>
    </row>
    <row r="152" spans="1:13">
      <c r="A152" s="167" t="s">
        <v>385</v>
      </c>
      <c r="B152" s="161" t="s">
        <v>2457</v>
      </c>
      <c r="C152" s="161" t="s">
        <v>401</v>
      </c>
      <c r="D152" s="172">
        <v>45694</v>
      </c>
      <c r="E152" s="172"/>
      <c r="F152" s="161" t="s">
        <v>16</v>
      </c>
      <c r="G152" s="173">
        <v>7481.6</v>
      </c>
      <c r="H152" s="161" t="s">
        <v>402</v>
      </c>
      <c r="I152" s="161" t="s">
        <v>312</v>
      </c>
      <c r="J152" s="161" t="s">
        <v>66</v>
      </c>
      <c r="K152" s="172"/>
      <c r="L152" s="161"/>
      <c r="M152" s="162"/>
    </row>
    <row r="153" spans="1:13">
      <c r="A153" s="166" t="s">
        <v>385</v>
      </c>
      <c r="B153" s="163" t="s">
        <v>2457</v>
      </c>
      <c r="C153" s="163" t="s">
        <v>401</v>
      </c>
      <c r="D153" s="170">
        <v>45694</v>
      </c>
      <c r="E153" s="170"/>
      <c r="F153" s="163" t="s">
        <v>16</v>
      </c>
      <c r="G153" s="171">
        <v>3500</v>
      </c>
      <c r="H153" s="163" t="s">
        <v>402</v>
      </c>
      <c r="I153" s="163" t="s">
        <v>312</v>
      </c>
      <c r="J153" s="163" t="s">
        <v>66</v>
      </c>
      <c r="K153" s="163">
        <v>45730</v>
      </c>
      <c r="L153" s="163">
        <v>3500</v>
      </c>
      <c r="M153" s="164" t="s">
        <v>111</v>
      </c>
    </row>
    <row r="154" spans="1:13">
      <c r="A154" s="167" t="s">
        <v>13</v>
      </c>
      <c r="B154" s="161" t="s">
        <v>2457</v>
      </c>
      <c r="C154" s="161" t="s">
        <v>401</v>
      </c>
      <c r="D154" s="172">
        <v>45694</v>
      </c>
      <c r="E154" s="172"/>
      <c r="F154" s="161"/>
      <c r="G154" s="173">
        <v>3981.6</v>
      </c>
      <c r="H154" s="161" t="s">
        <v>402</v>
      </c>
      <c r="I154" s="161" t="s">
        <v>312</v>
      </c>
      <c r="J154" s="161" t="s">
        <v>66</v>
      </c>
      <c r="K154" s="172"/>
      <c r="L154" s="161"/>
      <c r="M154" s="162"/>
    </row>
    <row r="155" spans="1:13">
      <c r="A155" s="166" t="s">
        <v>90</v>
      </c>
      <c r="B155" s="163" t="s">
        <v>2112</v>
      </c>
      <c r="C155" s="163" t="s">
        <v>2494</v>
      </c>
      <c r="D155" s="170">
        <v>46007</v>
      </c>
      <c r="E155" s="170">
        <v>46022</v>
      </c>
      <c r="F155" s="163"/>
      <c r="G155" s="171">
        <v>458</v>
      </c>
      <c r="H155" s="163"/>
      <c r="I155" s="163" t="s">
        <v>405</v>
      </c>
      <c r="J155" s="163" t="s">
        <v>354</v>
      </c>
      <c r="K155" s="170"/>
      <c r="L155" s="163">
        <v>458</v>
      </c>
      <c r="M155" s="164"/>
    </row>
    <row r="156" spans="1:13">
      <c r="A156" s="167" t="s">
        <v>90</v>
      </c>
      <c r="B156" s="161" t="s">
        <v>3209</v>
      </c>
      <c r="C156" s="161" t="s">
        <v>407</v>
      </c>
      <c r="D156" s="172">
        <v>45918</v>
      </c>
      <c r="E156" s="172">
        <v>45727</v>
      </c>
      <c r="F156" s="161"/>
      <c r="G156" s="173">
        <v>3933.18</v>
      </c>
      <c r="H156" s="161" t="s">
        <v>408</v>
      </c>
      <c r="I156" s="161" t="s">
        <v>409</v>
      </c>
      <c r="J156" s="161" t="s">
        <v>56</v>
      </c>
      <c r="K156" s="172"/>
      <c r="L156" s="161"/>
      <c r="M156" s="162"/>
    </row>
    <row r="157" spans="1:13">
      <c r="A157" s="166"/>
      <c r="B157" s="163" t="s">
        <v>2492</v>
      </c>
      <c r="C157" s="163" t="s">
        <v>411</v>
      </c>
      <c r="D157" s="170">
        <v>45896</v>
      </c>
      <c r="E157" s="170">
        <v>45896</v>
      </c>
      <c r="F157" s="163" t="s">
        <v>16</v>
      </c>
      <c r="G157" s="171">
        <v>406.94</v>
      </c>
      <c r="H157" s="163" t="s">
        <v>412</v>
      </c>
      <c r="I157" s="163" t="s">
        <v>413</v>
      </c>
      <c r="J157" s="163" t="s">
        <v>66</v>
      </c>
      <c r="K157" s="163">
        <v>45989</v>
      </c>
      <c r="L157" s="163" t="s">
        <v>394</v>
      </c>
      <c r="M157" s="164"/>
    </row>
    <row r="158" spans="1:13">
      <c r="A158" s="167" t="s">
        <v>47</v>
      </c>
      <c r="B158" s="161" t="s">
        <v>3210</v>
      </c>
      <c r="C158" s="161" t="s">
        <v>415</v>
      </c>
      <c r="D158" s="172">
        <v>45699</v>
      </c>
      <c r="E158" s="172"/>
      <c r="F158" s="161" t="s">
        <v>16</v>
      </c>
      <c r="G158" s="173">
        <v>63.42</v>
      </c>
      <c r="H158" s="161" t="s">
        <v>416</v>
      </c>
      <c r="I158" s="161" t="s">
        <v>417</v>
      </c>
      <c r="J158" s="161" t="s">
        <v>24</v>
      </c>
      <c r="K158" s="172"/>
      <c r="L158" s="161"/>
      <c r="M158" s="162"/>
    </row>
    <row r="159" spans="1:13">
      <c r="A159" s="166" t="s">
        <v>13</v>
      </c>
      <c r="B159" s="163" t="s">
        <v>2117</v>
      </c>
      <c r="C159" s="163" t="s">
        <v>419</v>
      </c>
      <c r="D159" s="170">
        <v>45873</v>
      </c>
      <c r="E159" s="170"/>
      <c r="F159" s="163" t="s">
        <v>16</v>
      </c>
      <c r="G159" s="171">
        <v>55.96</v>
      </c>
      <c r="H159" s="163" t="s">
        <v>420</v>
      </c>
      <c r="I159" s="163" t="s">
        <v>421</v>
      </c>
      <c r="J159" s="163" t="s">
        <v>215</v>
      </c>
      <c r="K159" s="163">
        <v>45873</v>
      </c>
      <c r="L159" s="163">
        <v>55.96</v>
      </c>
      <c r="M159" s="164" t="s">
        <v>422</v>
      </c>
    </row>
    <row r="160" spans="1:13">
      <c r="A160" s="167" t="s">
        <v>13</v>
      </c>
      <c r="B160" s="161" t="s">
        <v>2117</v>
      </c>
      <c r="C160" s="161" t="s">
        <v>423</v>
      </c>
      <c r="D160" s="172">
        <v>45903</v>
      </c>
      <c r="E160" s="172"/>
      <c r="F160" s="161" t="s">
        <v>49</v>
      </c>
      <c r="G160" s="173">
        <v>51.24</v>
      </c>
      <c r="H160" s="161" t="s">
        <v>424</v>
      </c>
      <c r="I160" s="161"/>
      <c r="J160" s="161" t="s">
        <v>425</v>
      </c>
      <c r="K160" s="172"/>
      <c r="L160" s="161"/>
      <c r="M160" s="162"/>
    </row>
    <row r="161" spans="1:13">
      <c r="A161" s="166" t="s">
        <v>13</v>
      </c>
      <c r="B161" s="163" t="s">
        <v>2117</v>
      </c>
      <c r="C161" s="163" t="s">
        <v>426</v>
      </c>
      <c r="D161" s="170">
        <v>45966</v>
      </c>
      <c r="E161" s="170">
        <v>45966</v>
      </c>
      <c r="F161" s="163" t="s">
        <v>49</v>
      </c>
      <c r="G161" s="171">
        <v>51.24</v>
      </c>
      <c r="H161" s="163"/>
      <c r="I161" s="163" t="s">
        <v>427</v>
      </c>
      <c r="J161" s="163" t="s">
        <v>428</v>
      </c>
      <c r="K161" s="170"/>
      <c r="L161" s="163">
        <v>51.24</v>
      </c>
      <c r="M161" s="164"/>
    </row>
    <row r="162" spans="1:13">
      <c r="A162" s="167" t="s">
        <v>13</v>
      </c>
      <c r="B162" s="161" t="s">
        <v>3211</v>
      </c>
      <c r="C162" s="161" t="s">
        <v>430</v>
      </c>
      <c r="D162" s="172">
        <v>45685</v>
      </c>
      <c r="E162" s="172">
        <v>45705</v>
      </c>
      <c r="F162" s="161" t="s">
        <v>16</v>
      </c>
      <c r="G162" s="173">
        <v>450.51</v>
      </c>
      <c r="H162" s="161" t="s">
        <v>431</v>
      </c>
      <c r="I162" s="161" t="s">
        <v>87</v>
      </c>
      <c r="J162" s="161" t="s">
        <v>150</v>
      </c>
      <c r="K162" s="161">
        <v>45705</v>
      </c>
      <c r="L162" s="161">
        <v>450.51</v>
      </c>
      <c r="M162" s="162" t="s">
        <v>345</v>
      </c>
    </row>
    <row r="163" spans="1:13">
      <c r="A163" s="166" t="s">
        <v>13</v>
      </c>
      <c r="B163" s="163" t="s">
        <v>3211</v>
      </c>
      <c r="C163" s="163" t="s">
        <v>432</v>
      </c>
      <c r="D163" s="170">
        <v>45714</v>
      </c>
      <c r="E163" s="170">
        <v>45734</v>
      </c>
      <c r="F163" s="163" t="s">
        <v>16</v>
      </c>
      <c r="G163" s="171">
        <v>1230.1500000000001</v>
      </c>
      <c r="H163" s="163" t="s">
        <v>433</v>
      </c>
      <c r="I163" s="163" t="s">
        <v>87</v>
      </c>
      <c r="J163" s="163" t="s">
        <v>150</v>
      </c>
      <c r="K163" s="163">
        <v>45734</v>
      </c>
      <c r="L163" s="163">
        <v>1230.1500000000001</v>
      </c>
      <c r="M163" s="164" t="s">
        <v>345</v>
      </c>
    </row>
    <row r="164" spans="1:13">
      <c r="A164" s="167" t="s">
        <v>13</v>
      </c>
      <c r="B164" s="161" t="s">
        <v>3211</v>
      </c>
      <c r="C164" s="161" t="s">
        <v>434</v>
      </c>
      <c r="D164" s="172">
        <v>45741</v>
      </c>
      <c r="E164" s="172">
        <v>45761</v>
      </c>
      <c r="F164" s="161" t="s">
        <v>16</v>
      </c>
      <c r="G164" s="173">
        <v>37.86</v>
      </c>
      <c r="H164" s="161" t="s">
        <v>435</v>
      </c>
      <c r="I164" s="161" t="s">
        <v>436</v>
      </c>
      <c r="J164" s="161" t="s">
        <v>150</v>
      </c>
      <c r="K164" s="161">
        <v>45761</v>
      </c>
      <c r="L164" s="161">
        <v>37.86</v>
      </c>
      <c r="M164" s="162" t="s">
        <v>345</v>
      </c>
    </row>
    <row r="165" spans="1:13">
      <c r="A165" s="166" t="s">
        <v>13</v>
      </c>
      <c r="B165" s="163" t="s">
        <v>3211</v>
      </c>
      <c r="C165" s="163" t="s">
        <v>437</v>
      </c>
      <c r="D165" s="170">
        <v>45741</v>
      </c>
      <c r="E165" s="170">
        <v>45761</v>
      </c>
      <c r="F165" s="163" t="s">
        <v>16</v>
      </c>
      <c r="G165" s="171">
        <v>225.75</v>
      </c>
      <c r="H165" s="163" t="s">
        <v>438</v>
      </c>
      <c r="I165" s="163" t="s">
        <v>87</v>
      </c>
      <c r="J165" s="163" t="s">
        <v>150</v>
      </c>
      <c r="K165" s="163">
        <v>45764</v>
      </c>
      <c r="L165" s="163">
        <v>225.75</v>
      </c>
      <c r="M165" s="164" t="s">
        <v>345</v>
      </c>
    </row>
    <row r="166" spans="1:13">
      <c r="A166" s="167" t="s">
        <v>13</v>
      </c>
      <c r="B166" s="161" t="s">
        <v>3211</v>
      </c>
      <c r="C166" s="161" t="s">
        <v>439</v>
      </c>
      <c r="D166" s="172">
        <v>45775</v>
      </c>
      <c r="E166" s="172">
        <v>45796</v>
      </c>
      <c r="F166" s="161" t="s">
        <v>16</v>
      </c>
      <c r="G166" s="173">
        <v>265.18</v>
      </c>
      <c r="H166" s="161" t="s">
        <v>440</v>
      </c>
      <c r="I166" s="161" t="s">
        <v>87</v>
      </c>
      <c r="J166" s="161" t="s">
        <v>150</v>
      </c>
      <c r="K166" s="161">
        <v>45796</v>
      </c>
      <c r="L166" s="161">
        <v>265.18</v>
      </c>
      <c r="M166" s="162" t="s">
        <v>345</v>
      </c>
    </row>
    <row r="167" spans="1:13">
      <c r="A167" s="166" t="s">
        <v>13</v>
      </c>
      <c r="B167" s="163" t="s">
        <v>3211</v>
      </c>
      <c r="C167" s="163" t="s">
        <v>441</v>
      </c>
      <c r="D167" s="170">
        <v>45804</v>
      </c>
      <c r="E167" s="170">
        <v>45824</v>
      </c>
      <c r="F167" s="163" t="s">
        <v>16</v>
      </c>
      <c r="G167" s="171">
        <v>37.49</v>
      </c>
      <c r="H167" s="163" t="s">
        <v>442</v>
      </c>
      <c r="I167" s="163" t="s">
        <v>87</v>
      </c>
      <c r="J167" s="163" t="s">
        <v>150</v>
      </c>
      <c r="K167" s="163">
        <v>45824</v>
      </c>
      <c r="L167" s="163">
        <v>37.49</v>
      </c>
      <c r="M167" s="164" t="s">
        <v>345</v>
      </c>
    </row>
    <row r="168" spans="1:13">
      <c r="A168" s="167" t="s">
        <v>13</v>
      </c>
      <c r="B168" s="161" t="s">
        <v>3211</v>
      </c>
      <c r="C168" s="161" t="s">
        <v>3212</v>
      </c>
      <c r="D168" s="172">
        <v>45804</v>
      </c>
      <c r="E168" s="172"/>
      <c r="F168" s="161" t="s">
        <v>16</v>
      </c>
      <c r="G168" s="173">
        <v>-82.19</v>
      </c>
      <c r="H168" s="161" t="s">
        <v>444</v>
      </c>
      <c r="I168" s="161" t="s">
        <v>87</v>
      </c>
      <c r="J168" s="161" t="s">
        <v>150</v>
      </c>
      <c r="K168" s="161" t="s">
        <v>80</v>
      </c>
      <c r="L168" s="161">
        <v>-82.19</v>
      </c>
      <c r="M168" s="162" t="s">
        <v>345</v>
      </c>
    </row>
    <row r="169" spans="1:13">
      <c r="A169" s="166" t="s">
        <v>13</v>
      </c>
      <c r="B169" s="163" t="s">
        <v>3211</v>
      </c>
      <c r="C169" s="163" t="s">
        <v>445</v>
      </c>
      <c r="D169" s="170">
        <v>45833</v>
      </c>
      <c r="E169" s="170">
        <v>45853</v>
      </c>
      <c r="F169" s="163" t="s">
        <v>16</v>
      </c>
      <c r="G169" s="171">
        <v>38.19</v>
      </c>
      <c r="H169" s="163" t="s">
        <v>446</v>
      </c>
      <c r="I169" s="163" t="s">
        <v>87</v>
      </c>
      <c r="J169" s="163" t="s">
        <v>150</v>
      </c>
      <c r="K169" s="163">
        <v>45853</v>
      </c>
      <c r="L169" s="163">
        <v>38.19</v>
      </c>
      <c r="M169" s="164" t="s">
        <v>345</v>
      </c>
    </row>
    <row r="170" spans="1:13">
      <c r="A170" s="167" t="s">
        <v>13</v>
      </c>
      <c r="B170" s="161" t="s">
        <v>3211</v>
      </c>
      <c r="C170" s="161" t="s">
        <v>447</v>
      </c>
      <c r="D170" s="172">
        <v>45864</v>
      </c>
      <c r="E170" s="172">
        <v>45887</v>
      </c>
      <c r="F170" s="161" t="s">
        <v>16</v>
      </c>
      <c r="G170" s="173">
        <v>145.81</v>
      </c>
      <c r="H170" s="161" t="s">
        <v>448</v>
      </c>
      <c r="I170" s="161" t="s">
        <v>436</v>
      </c>
      <c r="J170" s="161" t="s">
        <v>150</v>
      </c>
      <c r="K170" s="161">
        <v>45887</v>
      </c>
      <c r="L170" s="161">
        <v>145.81</v>
      </c>
      <c r="M170" s="162" t="s">
        <v>345</v>
      </c>
    </row>
    <row r="171" spans="1:13">
      <c r="A171" s="166" t="s">
        <v>13</v>
      </c>
      <c r="B171" s="163" t="s">
        <v>3211</v>
      </c>
      <c r="C171" s="163" t="s">
        <v>449</v>
      </c>
      <c r="D171" s="170">
        <v>45895</v>
      </c>
      <c r="E171" s="170">
        <v>45915</v>
      </c>
      <c r="F171" s="163" t="s">
        <v>49</v>
      </c>
      <c r="G171" s="171">
        <v>10.84</v>
      </c>
      <c r="H171" s="163" t="s">
        <v>450</v>
      </c>
      <c r="I171" s="163" t="s">
        <v>87</v>
      </c>
      <c r="J171" s="163" t="s">
        <v>150</v>
      </c>
      <c r="K171" s="163">
        <v>45915</v>
      </c>
      <c r="L171" s="163">
        <v>10.84</v>
      </c>
      <c r="M171" s="164" t="s">
        <v>345</v>
      </c>
    </row>
    <row r="172" spans="1:13">
      <c r="A172" s="167" t="s">
        <v>13</v>
      </c>
      <c r="B172" s="161" t="s">
        <v>2121</v>
      </c>
      <c r="C172" s="161" t="s">
        <v>452</v>
      </c>
      <c r="D172" s="172">
        <v>45978</v>
      </c>
      <c r="E172" s="172">
        <v>45978</v>
      </c>
      <c r="F172" s="161"/>
      <c r="G172" s="173">
        <v>1098</v>
      </c>
      <c r="H172" s="161"/>
      <c r="I172" s="161" t="s">
        <v>453</v>
      </c>
      <c r="J172" s="161" t="s">
        <v>354</v>
      </c>
      <c r="K172" s="172"/>
      <c r="L172" s="161"/>
      <c r="M172" s="162"/>
    </row>
    <row r="173" spans="1:13">
      <c r="A173" s="166" t="s">
        <v>13</v>
      </c>
      <c r="B173" s="163" t="s">
        <v>3213</v>
      </c>
      <c r="C173" s="163" t="s">
        <v>455</v>
      </c>
      <c r="D173" s="170">
        <v>45870</v>
      </c>
      <c r="E173" s="170">
        <v>45870</v>
      </c>
      <c r="F173" s="163" t="s">
        <v>16</v>
      </c>
      <c r="G173" s="171">
        <v>124</v>
      </c>
      <c r="H173" s="163" t="s">
        <v>456</v>
      </c>
      <c r="I173" s="163" t="s">
        <v>457</v>
      </c>
      <c r="J173" s="163" t="s">
        <v>215</v>
      </c>
      <c r="K173" s="170"/>
      <c r="L173" s="163"/>
      <c r="M173" s="164"/>
    </row>
    <row r="174" spans="1:13">
      <c r="A174" s="167" t="s">
        <v>13</v>
      </c>
      <c r="B174" s="161" t="s">
        <v>2119</v>
      </c>
      <c r="C174" s="161" t="s">
        <v>3214</v>
      </c>
      <c r="D174" s="172">
        <v>45974</v>
      </c>
      <c r="E174" s="172">
        <v>45974</v>
      </c>
      <c r="F174" s="161" t="s">
        <v>49</v>
      </c>
      <c r="G174" s="173">
        <v>176.5</v>
      </c>
      <c r="H174" s="161"/>
      <c r="I174" s="161" t="s">
        <v>460</v>
      </c>
      <c r="J174" s="161" t="s">
        <v>18</v>
      </c>
      <c r="K174" s="161">
        <v>45944</v>
      </c>
      <c r="L174" s="161">
        <v>176.5</v>
      </c>
      <c r="M174" s="162" t="s">
        <v>19</v>
      </c>
    </row>
    <row r="175" spans="1:13">
      <c r="A175" s="166"/>
      <c r="B175" s="163" t="s">
        <v>2120</v>
      </c>
      <c r="C175" s="163" t="s">
        <v>462</v>
      </c>
      <c r="D175" s="170">
        <v>45994</v>
      </c>
      <c r="E175" s="170">
        <v>46181</v>
      </c>
      <c r="F175" s="163" t="s">
        <v>49</v>
      </c>
      <c r="G175" s="171">
        <v>35</v>
      </c>
      <c r="H175" s="163"/>
      <c r="I175" s="163" t="s">
        <v>463</v>
      </c>
      <c r="J175" s="163" t="s">
        <v>18</v>
      </c>
      <c r="K175" s="163">
        <v>46006</v>
      </c>
      <c r="L175" s="163">
        <v>35</v>
      </c>
      <c r="M175" s="164" t="s">
        <v>19</v>
      </c>
    </row>
    <row r="176" spans="1:13">
      <c r="A176" s="167" t="s">
        <v>464</v>
      </c>
      <c r="B176" s="161" t="s">
        <v>2125</v>
      </c>
      <c r="C176" s="161" t="s">
        <v>317</v>
      </c>
      <c r="D176" s="172">
        <v>45860</v>
      </c>
      <c r="E176" s="172">
        <v>45860</v>
      </c>
      <c r="F176" s="161" t="s">
        <v>16</v>
      </c>
      <c r="G176" s="173">
        <v>1389.44</v>
      </c>
      <c r="H176" s="161" t="s">
        <v>466</v>
      </c>
      <c r="I176" s="161" t="s">
        <v>467</v>
      </c>
      <c r="J176" s="161" t="s">
        <v>56</v>
      </c>
      <c r="K176" s="161">
        <v>45824</v>
      </c>
      <c r="L176" s="161">
        <v>1068.8</v>
      </c>
      <c r="M176" s="162" t="s">
        <v>198</v>
      </c>
    </row>
    <row r="177" spans="1:13">
      <c r="A177" s="166" t="s">
        <v>316</v>
      </c>
      <c r="B177" s="163" t="s">
        <v>2125</v>
      </c>
      <c r="C177" s="163" t="s">
        <v>468</v>
      </c>
      <c r="D177" s="170">
        <v>45939</v>
      </c>
      <c r="E177" s="170">
        <v>45939</v>
      </c>
      <c r="F177" s="163" t="s">
        <v>16</v>
      </c>
      <c r="G177" s="171">
        <v>3206.4</v>
      </c>
      <c r="H177" s="163" t="s">
        <v>469</v>
      </c>
      <c r="I177" s="163" t="s">
        <v>470</v>
      </c>
      <c r="J177" s="163" t="s">
        <v>56</v>
      </c>
      <c r="K177" s="163">
        <v>45945</v>
      </c>
      <c r="L177" s="163">
        <v>3206.4</v>
      </c>
      <c r="M177" s="164" t="s">
        <v>246</v>
      </c>
    </row>
    <row r="178" spans="1:13">
      <c r="A178" s="167" t="s">
        <v>316</v>
      </c>
      <c r="B178" s="161" t="s">
        <v>2125</v>
      </c>
      <c r="C178" s="161" t="s">
        <v>396</v>
      </c>
      <c r="D178" s="172">
        <v>45939</v>
      </c>
      <c r="E178" s="172">
        <v>45939</v>
      </c>
      <c r="F178" s="161"/>
      <c r="G178" s="173">
        <v>1603.2</v>
      </c>
      <c r="H178" s="161" t="s">
        <v>471</v>
      </c>
      <c r="I178" s="161" t="s">
        <v>472</v>
      </c>
      <c r="J178" s="161" t="s">
        <v>66</v>
      </c>
      <c r="K178" s="172"/>
      <c r="L178" s="161"/>
      <c r="M178" s="162"/>
    </row>
    <row r="179" spans="1:13">
      <c r="A179" s="166" t="s">
        <v>316</v>
      </c>
      <c r="B179" s="163" t="s">
        <v>2125</v>
      </c>
      <c r="C179" s="163" t="s">
        <v>473</v>
      </c>
      <c r="D179" s="170">
        <v>45968</v>
      </c>
      <c r="E179" s="170">
        <v>45968</v>
      </c>
      <c r="F179" s="163"/>
      <c r="G179" s="171">
        <v>572.32000000000005</v>
      </c>
      <c r="H179" s="163"/>
      <c r="I179" s="163" t="s">
        <v>474</v>
      </c>
      <c r="J179" s="163" t="s">
        <v>83</v>
      </c>
      <c r="K179" s="170"/>
      <c r="L179" s="163">
        <v>572.32000000000005</v>
      </c>
      <c r="M179" s="164"/>
    </row>
    <row r="180" spans="1:13">
      <c r="A180" s="167" t="s">
        <v>475</v>
      </c>
      <c r="B180" s="161" t="s">
        <v>2453</v>
      </c>
      <c r="C180" s="161" t="s">
        <v>340</v>
      </c>
      <c r="D180" s="172">
        <v>45685</v>
      </c>
      <c r="E180" s="172">
        <v>45685</v>
      </c>
      <c r="F180" s="161" t="s">
        <v>16</v>
      </c>
      <c r="G180" s="173">
        <v>4998</v>
      </c>
      <c r="H180" s="161" t="s">
        <v>477</v>
      </c>
      <c r="I180" s="161" t="s">
        <v>342</v>
      </c>
      <c r="J180" s="161" t="s">
        <v>66</v>
      </c>
      <c r="K180" s="172"/>
      <c r="L180" s="161"/>
      <c r="M180" s="162"/>
    </row>
    <row r="181" spans="1:13">
      <c r="A181" s="166" t="s">
        <v>475</v>
      </c>
      <c r="B181" s="163" t="s">
        <v>3215</v>
      </c>
      <c r="C181" s="163" t="s">
        <v>479</v>
      </c>
      <c r="D181" s="170">
        <v>45705</v>
      </c>
      <c r="E181" s="170">
        <v>45810</v>
      </c>
      <c r="F181" s="163"/>
      <c r="G181" s="171">
        <v>3500</v>
      </c>
      <c r="H181" s="163" t="s">
        <v>480</v>
      </c>
      <c r="I181" s="163" t="s">
        <v>481</v>
      </c>
      <c r="J181" s="163" t="s">
        <v>56</v>
      </c>
      <c r="K181" s="170"/>
      <c r="L181" s="163"/>
      <c r="M181" s="164"/>
    </row>
    <row r="182" spans="1:13">
      <c r="A182" s="167" t="s">
        <v>475</v>
      </c>
      <c r="B182" s="161" t="s">
        <v>3215</v>
      </c>
      <c r="C182" s="161" t="s">
        <v>482</v>
      </c>
      <c r="D182" s="172">
        <v>45798</v>
      </c>
      <c r="E182" s="172">
        <v>45810</v>
      </c>
      <c r="F182" s="161"/>
      <c r="G182" s="173">
        <v>700</v>
      </c>
      <c r="H182" s="161" t="s">
        <v>483</v>
      </c>
      <c r="I182" s="161" t="s">
        <v>484</v>
      </c>
      <c r="J182" s="161" t="s">
        <v>56</v>
      </c>
      <c r="K182" s="161">
        <v>45910</v>
      </c>
      <c r="L182" s="161" t="s">
        <v>485</v>
      </c>
      <c r="M182" s="162" t="s">
        <v>71</v>
      </c>
    </row>
    <row r="183" spans="1:13">
      <c r="A183" s="166" t="s">
        <v>475</v>
      </c>
      <c r="B183" s="163" t="s">
        <v>3215</v>
      </c>
      <c r="C183" s="163" t="s">
        <v>482</v>
      </c>
      <c r="D183" s="170">
        <v>45798</v>
      </c>
      <c r="E183" s="170">
        <v>45810</v>
      </c>
      <c r="F183" s="163" t="s">
        <v>16</v>
      </c>
      <c r="G183" s="171">
        <v>8000</v>
      </c>
      <c r="H183" s="163" t="s">
        <v>483</v>
      </c>
      <c r="I183" s="163" t="s">
        <v>484</v>
      </c>
      <c r="J183" s="163" t="s">
        <v>56</v>
      </c>
      <c r="K183" s="163">
        <v>45910</v>
      </c>
      <c r="L183" s="163" t="s">
        <v>486</v>
      </c>
      <c r="M183" s="164" t="s">
        <v>71</v>
      </c>
    </row>
    <row r="184" spans="1:13">
      <c r="A184" s="167" t="s">
        <v>316</v>
      </c>
      <c r="B184" s="161" t="s">
        <v>3216</v>
      </c>
      <c r="C184" s="161" t="s">
        <v>488</v>
      </c>
      <c r="D184" s="172">
        <v>45775</v>
      </c>
      <c r="E184" s="172">
        <v>45848</v>
      </c>
      <c r="F184" s="161" t="s">
        <v>16</v>
      </c>
      <c r="G184" s="173">
        <v>1058</v>
      </c>
      <c r="H184" s="161" t="s">
        <v>489</v>
      </c>
      <c r="I184" s="161" t="s">
        <v>490</v>
      </c>
      <c r="J184" s="161" t="s">
        <v>491</v>
      </c>
      <c r="K184" s="161">
        <v>45880</v>
      </c>
      <c r="L184" s="161">
        <v>1058</v>
      </c>
      <c r="M184" s="162" t="s">
        <v>19</v>
      </c>
    </row>
    <row r="185" spans="1:13">
      <c r="A185" s="166" t="s">
        <v>492</v>
      </c>
      <c r="B185" s="163" t="s">
        <v>3216</v>
      </c>
      <c r="C185" s="163" t="s">
        <v>488</v>
      </c>
      <c r="D185" s="170">
        <v>45775</v>
      </c>
      <c r="E185" s="170">
        <v>45879</v>
      </c>
      <c r="F185" s="163" t="s">
        <v>16</v>
      </c>
      <c r="G185" s="171">
        <v>1058</v>
      </c>
      <c r="H185" s="163" t="s">
        <v>489</v>
      </c>
      <c r="I185" s="163" t="s">
        <v>490</v>
      </c>
      <c r="J185" s="163" t="s">
        <v>491</v>
      </c>
      <c r="K185" s="163">
        <v>45910</v>
      </c>
      <c r="L185" s="163">
        <v>1058</v>
      </c>
      <c r="M185" s="164" t="s">
        <v>19</v>
      </c>
    </row>
    <row r="186" spans="1:13">
      <c r="A186" s="167" t="s">
        <v>493</v>
      </c>
      <c r="B186" s="161" t="s">
        <v>2458</v>
      </c>
      <c r="C186" s="161" t="s">
        <v>495</v>
      </c>
      <c r="D186" s="172">
        <v>45698</v>
      </c>
      <c r="E186" s="172"/>
      <c r="F186" s="161" t="s">
        <v>16</v>
      </c>
      <c r="G186" s="173">
        <v>7139.52</v>
      </c>
      <c r="H186" s="161" t="s">
        <v>496</v>
      </c>
      <c r="I186" s="161" t="s">
        <v>312</v>
      </c>
      <c r="J186" s="161" t="s">
        <v>56</v>
      </c>
      <c r="K186" s="172"/>
      <c r="L186" s="161"/>
      <c r="M186" s="162"/>
    </row>
    <row r="187" spans="1:13">
      <c r="A187" s="166" t="s">
        <v>497</v>
      </c>
      <c r="B187" s="163" t="s">
        <v>2458</v>
      </c>
      <c r="C187" s="163" t="s">
        <v>482</v>
      </c>
      <c r="D187" s="170">
        <v>45897</v>
      </c>
      <c r="E187" s="170"/>
      <c r="F187" s="163" t="s">
        <v>16</v>
      </c>
      <c r="G187" s="171">
        <v>3000</v>
      </c>
      <c r="H187" s="163" t="s">
        <v>498</v>
      </c>
      <c r="I187" s="163" t="s">
        <v>499</v>
      </c>
      <c r="J187" s="163"/>
      <c r="K187" s="170"/>
      <c r="L187" s="163"/>
      <c r="M187" s="164"/>
    </row>
    <row r="188" spans="1:13">
      <c r="A188" s="167" t="s">
        <v>500</v>
      </c>
      <c r="B188" s="161" t="s">
        <v>2458</v>
      </c>
      <c r="C188" s="161" t="s">
        <v>3217</v>
      </c>
      <c r="D188" s="172">
        <v>45910</v>
      </c>
      <c r="E188" s="172"/>
      <c r="F188" s="161" t="s">
        <v>16</v>
      </c>
      <c r="G188" s="173">
        <v>-3000</v>
      </c>
      <c r="H188" s="161" t="s">
        <v>502</v>
      </c>
      <c r="I188" s="161" t="s">
        <v>503</v>
      </c>
      <c r="J188" s="161"/>
      <c r="K188" s="172"/>
      <c r="L188" s="161"/>
      <c r="M188" s="162"/>
    </row>
    <row r="189" spans="1:13">
      <c r="A189" s="166" t="s">
        <v>13</v>
      </c>
      <c r="B189" s="163" t="s">
        <v>2131</v>
      </c>
      <c r="C189" s="163" t="s">
        <v>505</v>
      </c>
      <c r="D189" s="170">
        <v>45835</v>
      </c>
      <c r="E189" s="170">
        <v>45869</v>
      </c>
      <c r="F189" s="163" t="s">
        <v>16</v>
      </c>
      <c r="G189" s="171">
        <v>36.659999999999997</v>
      </c>
      <c r="H189" s="163" t="s">
        <v>506</v>
      </c>
      <c r="I189" s="163" t="s">
        <v>279</v>
      </c>
      <c r="J189" s="163" t="s">
        <v>150</v>
      </c>
      <c r="K189" s="163">
        <v>45869</v>
      </c>
      <c r="L189" s="163">
        <v>36.659999999999997</v>
      </c>
      <c r="M189" s="164" t="s">
        <v>19</v>
      </c>
    </row>
    <row r="190" spans="1:13">
      <c r="A190" s="167" t="s">
        <v>13</v>
      </c>
      <c r="B190" s="161" t="s">
        <v>2131</v>
      </c>
      <c r="C190" s="161" t="s">
        <v>507</v>
      </c>
      <c r="D190" s="172">
        <v>45929</v>
      </c>
      <c r="E190" s="172">
        <v>45961</v>
      </c>
      <c r="F190" s="161" t="s">
        <v>16</v>
      </c>
      <c r="G190" s="173">
        <v>36.659999999999997</v>
      </c>
      <c r="H190" s="161" t="s">
        <v>508</v>
      </c>
      <c r="I190" s="161" t="s">
        <v>279</v>
      </c>
      <c r="J190" s="161" t="s">
        <v>150</v>
      </c>
      <c r="K190" s="161">
        <v>45961</v>
      </c>
      <c r="L190" s="161">
        <v>36.659999999999997</v>
      </c>
      <c r="M190" s="162" t="s">
        <v>509</v>
      </c>
    </row>
    <row r="191" spans="1:13">
      <c r="A191" s="166" t="s">
        <v>510</v>
      </c>
      <c r="B191" s="163" t="s">
        <v>2131</v>
      </c>
      <c r="C191" s="163" t="s">
        <v>511</v>
      </c>
      <c r="D191" s="170">
        <v>45988</v>
      </c>
      <c r="E191" s="170">
        <v>46022</v>
      </c>
      <c r="F191" s="163"/>
      <c r="G191" s="171">
        <v>111.58</v>
      </c>
      <c r="H191" s="163"/>
      <c r="I191" s="163" t="s">
        <v>512</v>
      </c>
      <c r="J191" s="163" t="s">
        <v>150</v>
      </c>
      <c r="K191" s="163">
        <v>46022</v>
      </c>
      <c r="L191" s="163">
        <v>111.58</v>
      </c>
      <c r="M191" s="164" t="s">
        <v>509</v>
      </c>
    </row>
    <row r="192" spans="1:13">
      <c r="A192" s="167" t="s">
        <v>316</v>
      </c>
      <c r="B192" s="161" t="s">
        <v>2469</v>
      </c>
      <c r="C192" s="161" t="s">
        <v>514</v>
      </c>
      <c r="D192" s="172">
        <v>45675</v>
      </c>
      <c r="E192" s="172">
        <v>45675</v>
      </c>
      <c r="F192" s="161" t="s">
        <v>16</v>
      </c>
      <c r="G192" s="173">
        <v>26</v>
      </c>
      <c r="H192" s="161" t="s">
        <v>515</v>
      </c>
      <c r="I192" s="161" t="s">
        <v>516</v>
      </c>
      <c r="J192" s="161"/>
      <c r="K192" s="172"/>
      <c r="L192" s="161"/>
      <c r="M192" s="162"/>
    </row>
    <row r="193" spans="1:13">
      <c r="A193" s="166" t="s">
        <v>316</v>
      </c>
      <c r="B193" s="163" t="s">
        <v>2469</v>
      </c>
      <c r="C193" s="163" t="s">
        <v>517</v>
      </c>
      <c r="D193" s="170">
        <v>45734</v>
      </c>
      <c r="E193" s="170"/>
      <c r="F193" s="163" t="s">
        <v>16</v>
      </c>
      <c r="G193" s="171">
        <v>26</v>
      </c>
      <c r="H193" s="163" t="s">
        <v>518</v>
      </c>
      <c r="I193" s="163" t="s">
        <v>519</v>
      </c>
      <c r="J193" s="163"/>
      <c r="K193" s="170"/>
      <c r="L193" s="163"/>
      <c r="M193" s="164"/>
    </row>
    <row r="194" spans="1:13">
      <c r="A194" s="167" t="s">
        <v>316</v>
      </c>
      <c r="B194" s="161" t="s">
        <v>2469</v>
      </c>
      <c r="C194" s="161" t="s">
        <v>520</v>
      </c>
      <c r="D194" s="172">
        <v>45738</v>
      </c>
      <c r="E194" s="172"/>
      <c r="F194" s="161" t="s">
        <v>16</v>
      </c>
      <c r="G194" s="173">
        <v>39</v>
      </c>
      <c r="H194" s="161" t="s">
        <v>521</v>
      </c>
      <c r="I194" s="161" t="s">
        <v>42</v>
      </c>
      <c r="J194" s="161"/>
      <c r="K194" s="172"/>
      <c r="L194" s="161"/>
      <c r="M194" s="162"/>
    </row>
    <row r="195" spans="1:13">
      <c r="A195" s="166" t="s">
        <v>316</v>
      </c>
      <c r="B195" s="163" t="s">
        <v>2469</v>
      </c>
      <c r="C195" s="163" t="s">
        <v>522</v>
      </c>
      <c r="D195" s="170">
        <v>45745</v>
      </c>
      <c r="E195" s="170"/>
      <c r="F195" s="163" t="s">
        <v>16</v>
      </c>
      <c r="G195" s="171">
        <v>26</v>
      </c>
      <c r="H195" s="163" t="s">
        <v>523</v>
      </c>
      <c r="I195" s="163" t="s">
        <v>42</v>
      </c>
      <c r="J195" s="163"/>
      <c r="K195" s="170"/>
      <c r="L195" s="163"/>
      <c r="M195" s="164"/>
    </row>
    <row r="196" spans="1:13">
      <c r="A196" s="167" t="s">
        <v>316</v>
      </c>
      <c r="B196" s="161" t="s">
        <v>2469</v>
      </c>
      <c r="C196" s="161" t="s">
        <v>524</v>
      </c>
      <c r="D196" s="172">
        <v>45752</v>
      </c>
      <c r="E196" s="172"/>
      <c r="F196" s="161" t="s">
        <v>16</v>
      </c>
      <c r="G196" s="173">
        <v>26</v>
      </c>
      <c r="H196" s="161" t="s">
        <v>525</v>
      </c>
      <c r="I196" s="161" t="s">
        <v>42</v>
      </c>
      <c r="J196" s="161"/>
      <c r="K196" s="172"/>
      <c r="L196" s="161"/>
      <c r="M196" s="162"/>
    </row>
    <row r="197" spans="1:13">
      <c r="A197" s="166" t="s">
        <v>316</v>
      </c>
      <c r="B197" s="163" t="s">
        <v>2469</v>
      </c>
      <c r="C197" s="163" t="s">
        <v>526</v>
      </c>
      <c r="D197" s="170">
        <v>45757</v>
      </c>
      <c r="E197" s="170"/>
      <c r="F197" s="163" t="s">
        <v>16</v>
      </c>
      <c r="G197" s="171">
        <v>26</v>
      </c>
      <c r="H197" s="163" t="s">
        <v>527</v>
      </c>
      <c r="I197" s="163" t="s">
        <v>42</v>
      </c>
      <c r="J197" s="163"/>
      <c r="K197" s="170"/>
      <c r="L197" s="163"/>
      <c r="M197" s="164"/>
    </row>
    <row r="198" spans="1:13">
      <c r="A198" s="167" t="s">
        <v>316</v>
      </c>
      <c r="B198" s="161" t="s">
        <v>2469</v>
      </c>
      <c r="C198" s="161" t="s">
        <v>528</v>
      </c>
      <c r="D198" s="172">
        <v>45758</v>
      </c>
      <c r="E198" s="172"/>
      <c r="F198" s="161" t="s">
        <v>16</v>
      </c>
      <c r="G198" s="173">
        <v>52</v>
      </c>
      <c r="H198" s="161" t="s">
        <v>529</v>
      </c>
      <c r="I198" s="161" t="s">
        <v>42</v>
      </c>
      <c r="J198" s="161"/>
      <c r="K198" s="172"/>
      <c r="L198" s="161"/>
      <c r="M198" s="162"/>
    </row>
    <row r="199" spans="1:13">
      <c r="A199" s="166" t="s">
        <v>316</v>
      </c>
      <c r="B199" s="163" t="s">
        <v>2469</v>
      </c>
      <c r="C199" s="163" t="s">
        <v>530</v>
      </c>
      <c r="D199" s="170">
        <v>45762</v>
      </c>
      <c r="E199" s="170"/>
      <c r="F199" s="163" t="s">
        <v>16</v>
      </c>
      <c r="G199" s="171">
        <v>52</v>
      </c>
      <c r="H199" s="163" t="s">
        <v>531</v>
      </c>
      <c r="I199" s="163" t="s">
        <v>457</v>
      </c>
      <c r="J199" s="163"/>
      <c r="K199" s="170"/>
      <c r="L199" s="163"/>
      <c r="M199" s="164"/>
    </row>
    <row r="200" spans="1:13">
      <c r="A200" s="167" t="s">
        <v>316</v>
      </c>
      <c r="B200" s="161" t="s">
        <v>2469</v>
      </c>
      <c r="C200" s="161" t="s">
        <v>532</v>
      </c>
      <c r="D200" s="172">
        <v>45763</v>
      </c>
      <c r="E200" s="172"/>
      <c r="F200" s="161" t="s">
        <v>16</v>
      </c>
      <c r="G200" s="173">
        <v>52</v>
      </c>
      <c r="H200" s="161" t="s">
        <v>533</v>
      </c>
      <c r="I200" s="161" t="s">
        <v>457</v>
      </c>
      <c r="J200" s="161"/>
      <c r="K200" s="172"/>
      <c r="L200" s="161"/>
      <c r="M200" s="162"/>
    </row>
    <row r="201" spans="1:13">
      <c r="A201" s="166" t="s">
        <v>316</v>
      </c>
      <c r="B201" s="163" t="s">
        <v>2469</v>
      </c>
      <c r="C201" s="163" t="s">
        <v>534</v>
      </c>
      <c r="D201" s="170">
        <v>45764</v>
      </c>
      <c r="E201" s="170"/>
      <c r="F201" s="163" t="s">
        <v>16</v>
      </c>
      <c r="G201" s="171">
        <v>63</v>
      </c>
      <c r="H201" s="163" t="s">
        <v>535</v>
      </c>
      <c r="I201" s="163" t="s">
        <v>457</v>
      </c>
      <c r="J201" s="163"/>
      <c r="K201" s="170"/>
      <c r="L201" s="163"/>
      <c r="M201" s="164"/>
    </row>
    <row r="202" spans="1:13">
      <c r="A202" s="167" t="s">
        <v>316</v>
      </c>
      <c r="B202" s="161" t="s">
        <v>2469</v>
      </c>
      <c r="C202" s="161" t="s">
        <v>536</v>
      </c>
      <c r="D202" s="172">
        <v>45765</v>
      </c>
      <c r="E202" s="172"/>
      <c r="F202" s="161" t="s">
        <v>16</v>
      </c>
      <c r="G202" s="173">
        <v>52</v>
      </c>
      <c r="H202" s="161" t="s">
        <v>537</v>
      </c>
      <c r="I202" s="161" t="s">
        <v>457</v>
      </c>
      <c r="J202" s="161"/>
      <c r="K202" s="172"/>
      <c r="L202" s="161"/>
      <c r="M202" s="162"/>
    </row>
    <row r="203" spans="1:13">
      <c r="A203" s="166" t="s">
        <v>316</v>
      </c>
      <c r="B203" s="163" t="s">
        <v>2469</v>
      </c>
      <c r="C203" s="163" t="s">
        <v>538</v>
      </c>
      <c r="D203" s="170">
        <v>45784</v>
      </c>
      <c r="E203" s="170"/>
      <c r="F203" s="163" t="s">
        <v>16</v>
      </c>
      <c r="G203" s="171">
        <v>26</v>
      </c>
      <c r="H203" s="163" t="s">
        <v>539</v>
      </c>
      <c r="I203" s="163" t="s">
        <v>457</v>
      </c>
      <c r="J203" s="163"/>
      <c r="K203" s="170"/>
      <c r="L203" s="163"/>
      <c r="M203" s="164"/>
    </row>
    <row r="204" spans="1:13">
      <c r="A204" s="167" t="s">
        <v>316</v>
      </c>
      <c r="B204" s="161" t="s">
        <v>2469</v>
      </c>
      <c r="C204" s="161" t="s">
        <v>540</v>
      </c>
      <c r="D204" s="172">
        <v>45785</v>
      </c>
      <c r="E204" s="172"/>
      <c r="F204" s="161" t="s">
        <v>16</v>
      </c>
      <c r="G204" s="173">
        <v>26</v>
      </c>
      <c r="H204" s="161" t="s">
        <v>541</v>
      </c>
      <c r="I204" s="161" t="s">
        <v>457</v>
      </c>
      <c r="J204" s="161"/>
      <c r="K204" s="172"/>
      <c r="L204" s="161"/>
      <c r="M204" s="162"/>
    </row>
    <row r="205" spans="1:13">
      <c r="A205" s="166" t="s">
        <v>316</v>
      </c>
      <c r="B205" s="163" t="s">
        <v>2469</v>
      </c>
      <c r="C205" s="163" t="s">
        <v>542</v>
      </c>
      <c r="D205" s="170">
        <v>45790</v>
      </c>
      <c r="E205" s="170"/>
      <c r="F205" s="163" t="s">
        <v>16</v>
      </c>
      <c r="G205" s="171">
        <v>39</v>
      </c>
      <c r="H205" s="163" t="s">
        <v>543</v>
      </c>
      <c r="I205" s="163" t="s">
        <v>42</v>
      </c>
      <c r="J205" s="163"/>
      <c r="K205" s="170"/>
      <c r="L205" s="163"/>
      <c r="M205" s="164"/>
    </row>
    <row r="206" spans="1:13">
      <c r="A206" s="167" t="s">
        <v>316</v>
      </c>
      <c r="B206" s="161" t="s">
        <v>2469</v>
      </c>
      <c r="C206" s="161" t="s">
        <v>544</v>
      </c>
      <c r="D206" s="172">
        <v>45791</v>
      </c>
      <c r="E206" s="172"/>
      <c r="F206" s="161" t="s">
        <v>16</v>
      </c>
      <c r="G206" s="173">
        <v>39</v>
      </c>
      <c r="H206" s="161" t="s">
        <v>545</v>
      </c>
      <c r="I206" s="161" t="s">
        <v>42</v>
      </c>
      <c r="J206" s="161"/>
      <c r="K206" s="172"/>
      <c r="L206" s="161"/>
      <c r="M206" s="162"/>
    </row>
    <row r="207" spans="1:13">
      <c r="A207" s="166" t="s">
        <v>316</v>
      </c>
      <c r="B207" s="163" t="s">
        <v>2469</v>
      </c>
      <c r="C207" s="163" t="s">
        <v>546</v>
      </c>
      <c r="D207" s="170">
        <v>45808</v>
      </c>
      <c r="E207" s="170"/>
      <c r="F207" s="163" t="s">
        <v>16</v>
      </c>
      <c r="G207" s="171">
        <v>13</v>
      </c>
      <c r="H207" s="163" t="s">
        <v>547</v>
      </c>
      <c r="I207" s="163" t="s">
        <v>42</v>
      </c>
      <c r="J207" s="163"/>
      <c r="K207" s="170"/>
      <c r="L207" s="163"/>
      <c r="M207" s="164"/>
    </row>
    <row r="208" spans="1:13">
      <c r="A208" s="167" t="s">
        <v>316</v>
      </c>
      <c r="B208" s="161" t="s">
        <v>2469</v>
      </c>
      <c r="C208" s="161" t="s">
        <v>548</v>
      </c>
      <c r="D208" s="172">
        <v>45839</v>
      </c>
      <c r="E208" s="172"/>
      <c r="F208" s="161" t="s">
        <v>16</v>
      </c>
      <c r="G208" s="173">
        <v>78</v>
      </c>
      <c r="H208" s="161" t="s">
        <v>549</v>
      </c>
      <c r="I208" s="161" t="s">
        <v>42</v>
      </c>
      <c r="J208" s="161"/>
      <c r="K208" s="172"/>
      <c r="L208" s="161"/>
      <c r="M208" s="162"/>
    </row>
    <row r="209" spans="1:13">
      <c r="A209" s="166" t="s">
        <v>316</v>
      </c>
      <c r="B209" s="163" t="s">
        <v>2469</v>
      </c>
      <c r="C209" s="163" t="s">
        <v>550</v>
      </c>
      <c r="D209" s="170">
        <v>45839</v>
      </c>
      <c r="E209" s="170"/>
      <c r="F209" s="163" t="s">
        <v>16</v>
      </c>
      <c r="G209" s="171">
        <v>78</v>
      </c>
      <c r="H209" s="163" t="s">
        <v>551</v>
      </c>
      <c r="I209" s="163" t="s">
        <v>42</v>
      </c>
      <c r="J209" s="163"/>
      <c r="K209" s="170"/>
      <c r="L209" s="163"/>
      <c r="M209" s="164"/>
    </row>
    <row r="210" spans="1:13">
      <c r="A210" s="167" t="s">
        <v>316</v>
      </c>
      <c r="B210" s="161" t="s">
        <v>2469</v>
      </c>
      <c r="C210" s="161" t="s">
        <v>3218</v>
      </c>
      <c r="D210" s="172">
        <v>45839</v>
      </c>
      <c r="E210" s="172"/>
      <c r="F210" s="161" t="s">
        <v>16</v>
      </c>
      <c r="G210" s="173">
        <v>-78</v>
      </c>
      <c r="H210" s="161" t="s">
        <v>553</v>
      </c>
      <c r="I210" s="161" t="s">
        <v>554</v>
      </c>
      <c r="J210" s="161"/>
      <c r="K210" s="172"/>
      <c r="L210" s="161"/>
      <c r="M210" s="162"/>
    </row>
    <row r="211" spans="1:13">
      <c r="A211" s="166" t="s">
        <v>316</v>
      </c>
      <c r="B211" s="163" t="s">
        <v>2469</v>
      </c>
      <c r="C211" s="163" t="s">
        <v>555</v>
      </c>
      <c r="D211" s="170">
        <v>45919</v>
      </c>
      <c r="E211" s="170"/>
      <c r="F211" s="163" t="s">
        <v>16</v>
      </c>
      <c r="G211" s="171">
        <v>26</v>
      </c>
      <c r="H211" s="163" t="s">
        <v>556</v>
      </c>
      <c r="I211" s="163" t="s">
        <v>457</v>
      </c>
      <c r="J211" s="163"/>
      <c r="K211" s="170"/>
      <c r="L211" s="163"/>
      <c r="M211" s="164"/>
    </row>
    <row r="212" spans="1:13">
      <c r="A212" s="167" t="s">
        <v>557</v>
      </c>
      <c r="B212" s="161" t="s">
        <v>2134</v>
      </c>
      <c r="C212" s="161"/>
      <c r="D212" s="172"/>
      <c r="E212" s="172"/>
      <c r="F212" s="161" t="s">
        <v>49</v>
      </c>
      <c r="G212" s="173">
        <v>2000</v>
      </c>
      <c r="H212" s="161"/>
      <c r="I212" s="161"/>
      <c r="J212" s="161" t="s">
        <v>83</v>
      </c>
      <c r="K212" s="161">
        <v>45957</v>
      </c>
      <c r="L212" s="161">
        <v>2000</v>
      </c>
      <c r="M212" s="162" t="s">
        <v>246</v>
      </c>
    </row>
    <row r="213" spans="1:13">
      <c r="A213" s="166" t="s">
        <v>316</v>
      </c>
      <c r="B213" s="163" t="s">
        <v>3219</v>
      </c>
      <c r="C213" s="163" t="s">
        <v>560</v>
      </c>
      <c r="D213" s="170">
        <v>45688</v>
      </c>
      <c r="E213" s="170">
        <v>45688</v>
      </c>
      <c r="F213" s="163" t="s">
        <v>16</v>
      </c>
      <c r="G213" s="171">
        <v>5000</v>
      </c>
      <c r="H213" s="163" t="s">
        <v>561</v>
      </c>
      <c r="I213" s="163" t="s">
        <v>312</v>
      </c>
      <c r="J213" s="163" t="s">
        <v>56</v>
      </c>
      <c r="K213" s="163">
        <v>45712</v>
      </c>
      <c r="L213" s="163">
        <v>5000</v>
      </c>
      <c r="M213" s="164" t="s">
        <v>111</v>
      </c>
    </row>
    <row r="214" spans="1:13">
      <c r="A214" s="167" t="s">
        <v>316</v>
      </c>
      <c r="B214" s="161" t="s">
        <v>3219</v>
      </c>
      <c r="C214" s="161" t="s">
        <v>560</v>
      </c>
      <c r="D214" s="172">
        <v>45688</v>
      </c>
      <c r="E214" s="172">
        <v>45688</v>
      </c>
      <c r="F214" s="161" t="s">
        <v>16</v>
      </c>
      <c r="G214" s="173">
        <v>4000</v>
      </c>
      <c r="H214" s="161" t="s">
        <v>561</v>
      </c>
      <c r="I214" s="161" t="s">
        <v>312</v>
      </c>
      <c r="J214" s="161" t="s">
        <v>56</v>
      </c>
      <c r="K214" s="161">
        <v>45791</v>
      </c>
      <c r="L214" s="161">
        <v>4000</v>
      </c>
      <c r="M214" s="162" t="s">
        <v>345</v>
      </c>
    </row>
    <row r="215" spans="1:13">
      <c r="A215" s="166" t="s">
        <v>316</v>
      </c>
      <c r="B215" s="163" t="s">
        <v>2486</v>
      </c>
      <c r="C215" s="163" t="s">
        <v>563</v>
      </c>
      <c r="D215" s="170">
        <v>45687</v>
      </c>
      <c r="E215" s="170">
        <v>45687</v>
      </c>
      <c r="F215" s="163" t="s">
        <v>16</v>
      </c>
      <c r="G215" s="171">
        <v>2.8</v>
      </c>
      <c r="H215" s="163" t="s">
        <v>564</v>
      </c>
      <c r="I215" s="163" t="s">
        <v>565</v>
      </c>
      <c r="J215" s="163" t="s">
        <v>150</v>
      </c>
      <c r="K215" s="163">
        <v>45687</v>
      </c>
      <c r="L215" s="163">
        <v>2.8</v>
      </c>
      <c r="M215" s="164" t="s">
        <v>151</v>
      </c>
    </row>
    <row r="216" spans="1:13">
      <c r="A216" s="167">
        <v>2024</v>
      </c>
      <c r="B216" s="161" t="s">
        <v>2140</v>
      </c>
      <c r="C216" s="161" t="s">
        <v>568</v>
      </c>
      <c r="D216" s="172">
        <v>45637</v>
      </c>
      <c r="E216" s="172">
        <v>45657</v>
      </c>
      <c r="F216" s="161" t="s">
        <v>16</v>
      </c>
      <c r="G216" s="173">
        <v>272.72000000000003</v>
      </c>
      <c r="H216" s="161" t="s">
        <v>569</v>
      </c>
      <c r="I216" s="161" t="s">
        <v>312</v>
      </c>
      <c r="J216" s="161" t="s">
        <v>570</v>
      </c>
      <c r="K216" s="172"/>
      <c r="L216" s="161"/>
      <c r="M216" s="162" t="s">
        <v>571</v>
      </c>
    </row>
    <row r="217" spans="1:13">
      <c r="A217" s="166"/>
      <c r="B217" s="163" t="s">
        <v>2140</v>
      </c>
      <c r="C217" s="163" t="s">
        <v>572</v>
      </c>
      <c r="D217" s="170">
        <v>45670</v>
      </c>
      <c r="E217" s="170">
        <v>45691</v>
      </c>
      <c r="F217" s="163" t="s">
        <v>16</v>
      </c>
      <c r="G217" s="171">
        <v>301.44</v>
      </c>
      <c r="H217" s="163" t="s">
        <v>573</v>
      </c>
      <c r="I217" s="163" t="s">
        <v>342</v>
      </c>
      <c r="J217" s="163" t="s">
        <v>570</v>
      </c>
      <c r="K217" s="170"/>
      <c r="L217" s="163"/>
      <c r="M217" s="164" t="s">
        <v>571</v>
      </c>
    </row>
    <row r="218" spans="1:13">
      <c r="A218" s="167"/>
      <c r="B218" s="161" t="s">
        <v>2140</v>
      </c>
      <c r="C218" s="161" t="s">
        <v>574</v>
      </c>
      <c r="D218" s="172">
        <v>45698</v>
      </c>
      <c r="E218" s="172">
        <v>45719</v>
      </c>
      <c r="F218" s="161" t="s">
        <v>16</v>
      </c>
      <c r="G218" s="173">
        <v>32.04</v>
      </c>
      <c r="H218" s="161" t="s">
        <v>575</v>
      </c>
      <c r="I218" s="161" t="s">
        <v>312</v>
      </c>
      <c r="J218" s="161" t="s">
        <v>570</v>
      </c>
      <c r="K218" s="172"/>
      <c r="L218" s="161"/>
      <c r="M218" s="162" t="s">
        <v>571</v>
      </c>
    </row>
    <row r="219" spans="1:13">
      <c r="A219" s="166" t="s">
        <v>576</v>
      </c>
      <c r="B219" s="163" t="s">
        <v>2140</v>
      </c>
      <c r="C219" s="163" t="s">
        <v>3220</v>
      </c>
      <c r="D219" s="170"/>
      <c r="E219" s="170"/>
      <c r="F219" s="163" t="s">
        <v>49</v>
      </c>
      <c r="G219" s="171">
        <v>400</v>
      </c>
      <c r="H219" s="163"/>
      <c r="I219" s="163" t="s">
        <v>577</v>
      </c>
      <c r="J219" s="163" t="s">
        <v>83</v>
      </c>
      <c r="K219" s="163">
        <v>45957</v>
      </c>
      <c r="L219" s="163">
        <v>400</v>
      </c>
      <c r="M219" s="164" t="s">
        <v>246</v>
      </c>
    </row>
    <row r="220" spans="1:13">
      <c r="A220" s="167" t="s">
        <v>90</v>
      </c>
      <c r="B220" s="161" t="s">
        <v>2140</v>
      </c>
      <c r="C220" s="161" t="s">
        <v>578</v>
      </c>
      <c r="D220" s="172">
        <v>46001</v>
      </c>
      <c r="E220" s="172">
        <v>46021</v>
      </c>
      <c r="F220" s="161"/>
      <c r="G220" s="173">
        <v>48.78</v>
      </c>
      <c r="H220" s="161"/>
      <c r="I220" s="161" t="s">
        <v>579</v>
      </c>
      <c r="J220" s="161" t="s">
        <v>83</v>
      </c>
      <c r="K220" s="172"/>
      <c r="L220" s="161">
        <v>48.78</v>
      </c>
      <c r="M220" s="162"/>
    </row>
    <row r="221" spans="1:13">
      <c r="A221" s="166"/>
      <c r="B221" s="163" t="s">
        <v>2460</v>
      </c>
      <c r="C221" s="163" t="s">
        <v>581</v>
      </c>
      <c r="D221" s="170">
        <v>45688</v>
      </c>
      <c r="E221" s="170">
        <v>45726</v>
      </c>
      <c r="F221" s="163" t="s">
        <v>16</v>
      </c>
      <c r="G221" s="171">
        <v>638.42999999999995</v>
      </c>
      <c r="H221" s="163" t="s">
        <v>582</v>
      </c>
      <c r="I221" s="163" t="s">
        <v>312</v>
      </c>
      <c r="J221" s="163" t="s">
        <v>66</v>
      </c>
      <c r="K221" s="163">
        <v>45730</v>
      </c>
      <c r="L221" s="163">
        <v>638.42999999999995</v>
      </c>
      <c r="M221" s="164" t="s">
        <v>111</v>
      </c>
    </row>
    <row r="222" spans="1:13">
      <c r="A222" s="167"/>
      <c r="B222" s="161" t="s">
        <v>2460</v>
      </c>
      <c r="C222" s="161" t="s">
        <v>583</v>
      </c>
      <c r="D222" s="172">
        <v>45716</v>
      </c>
      <c r="E222" s="172">
        <v>45757</v>
      </c>
      <c r="F222" s="161" t="s">
        <v>16</v>
      </c>
      <c r="G222" s="173">
        <v>489.71</v>
      </c>
      <c r="H222" s="161" t="s">
        <v>584</v>
      </c>
      <c r="I222" s="161" t="s">
        <v>436</v>
      </c>
      <c r="J222" s="161" t="s">
        <v>110</v>
      </c>
      <c r="K222" s="161">
        <v>45757</v>
      </c>
      <c r="L222" s="161">
        <v>489.71</v>
      </c>
      <c r="M222" s="162"/>
    </row>
    <row r="223" spans="1:13">
      <c r="A223" s="166"/>
      <c r="B223" s="163" t="s">
        <v>2460</v>
      </c>
      <c r="C223" s="163" t="s">
        <v>585</v>
      </c>
      <c r="D223" s="170">
        <v>45747</v>
      </c>
      <c r="E223" s="170"/>
      <c r="F223" s="163"/>
      <c r="G223" s="171">
        <v>573.77</v>
      </c>
      <c r="H223" s="163"/>
      <c r="I223" s="163"/>
      <c r="J223" s="163"/>
      <c r="K223" s="170"/>
      <c r="L223" s="163"/>
      <c r="M223" s="164"/>
    </row>
    <row r="224" spans="1:13">
      <c r="A224" s="167"/>
      <c r="B224" s="161" t="s">
        <v>2460</v>
      </c>
      <c r="C224" s="161" t="s">
        <v>586</v>
      </c>
      <c r="D224" s="172">
        <v>45808</v>
      </c>
      <c r="E224" s="172">
        <v>45848</v>
      </c>
      <c r="F224" s="161" t="s">
        <v>16</v>
      </c>
      <c r="G224" s="173">
        <v>1349.69</v>
      </c>
      <c r="H224" s="161" t="s">
        <v>587</v>
      </c>
      <c r="I224" s="161" t="s">
        <v>588</v>
      </c>
      <c r="J224" s="161" t="s">
        <v>83</v>
      </c>
      <c r="K224" s="161">
        <v>45945</v>
      </c>
      <c r="L224" s="161">
        <v>2065.71</v>
      </c>
      <c r="M224" s="162" t="s">
        <v>589</v>
      </c>
    </row>
    <row r="225" spans="1:13">
      <c r="A225" s="166"/>
      <c r="B225" s="163" t="s">
        <v>2460</v>
      </c>
      <c r="C225" s="163" t="s">
        <v>590</v>
      </c>
      <c r="D225" s="170">
        <v>45869</v>
      </c>
      <c r="E225" s="170">
        <v>45910</v>
      </c>
      <c r="F225" s="163" t="s">
        <v>16</v>
      </c>
      <c r="G225" s="171">
        <v>716.02</v>
      </c>
      <c r="H225" s="163" t="s">
        <v>591</v>
      </c>
      <c r="I225" s="163" t="s">
        <v>592</v>
      </c>
      <c r="J225" s="163" t="s">
        <v>83</v>
      </c>
      <c r="K225" s="163">
        <v>45945</v>
      </c>
      <c r="L225" s="163">
        <v>2065.71</v>
      </c>
      <c r="M225" s="164" t="s">
        <v>589</v>
      </c>
    </row>
    <row r="226" spans="1:13">
      <c r="A226" s="167" t="s">
        <v>13</v>
      </c>
      <c r="B226" s="161" t="s">
        <v>3221</v>
      </c>
      <c r="C226" s="161" t="s">
        <v>594</v>
      </c>
      <c r="D226" s="172">
        <v>45638</v>
      </c>
      <c r="E226" s="172">
        <v>45698</v>
      </c>
      <c r="F226" s="161" t="s">
        <v>16</v>
      </c>
      <c r="G226" s="173">
        <v>158.6</v>
      </c>
      <c r="H226" s="161" t="s">
        <v>595</v>
      </c>
      <c r="I226" s="161" t="s">
        <v>596</v>
      </c>
      <c r="J226" s="161" t="s">
        <v>597</v>
      </c>
      <c r="K226" s="172"/>
      <c r="L226" s="161"/>
      <c r="M226" s="162"/>
    </row>
    <row r="227" spans="1:13">
      <c r="A227" s="166" t="s">
        <v>13</v>
      </c>
      <c r="B227" s="163" t="s">
        <v>3221</v>
      </c>
      <c r="C227" s="163" t="s">
        <v>598</v>
      </c>
      <c r="D227" s="170">
        <v>45643</v>
      </c>
      <c r="E227" s="170">
        <v>45703</v>
      </c>
      <c r="F227" s="163" t="s">
        <v>16</v>
      </c>
      <c r="G227" s="171">
        <v>158.6</v>
      </c>
      <c r="H227" s="163" t="s">
        <v>599</v>
      </c>
      <c r="I227" s="163" t="s">
        <v>312</v>
      </c>
      <c r="J227" s="163" t="s">
        <v>56</v>
      </c>
      <c r="K227" s="170"/>
      <c r="L227" s="163"/>
      <c r="M227" s="164"/>
    </row>
    <row r="228" spans="1:13">
      <c r="A228" s="167" t="s">
        <v>13</v>
      </c>
      <c r="B228" s="161" t="s">
        <v>3221</v>
      </c>
      <c r="C228" s="161" t="s">
        <v>600</v>
      </c>
      <c r="D228" s="172">
        <v>45666</v>
      </c>
      <c r="E228" s="172">
        <v>45747</v>
      </c>
      <c r="F228" s="161" t="s">
        <v>16</v>
      </c>
      <c r="G228" s="173">
        <v>158.6</v>
      </c>
      <c r="H228" s="161" t="s">
        <v>601</v>
      </c>
      <c r="I228" s="161" t="s">
        <v>87</v>
      </c>
      <c r="J228" s="161" t="s">
        <v>56</v>
      </c>
      <c r="K228" s="172"/>
      <c r="L228" s="161"/>
      <c r="M228" s="162"/>
    </row>
    <row r="229" spans="1:13">
      <c r="A229" s="166" t="s">
        <v>13</v>
      </c>
      <c r="B229" s="163" t="s">
        <v>3221</v>
      </c>
      <c r="C229" s="163" t="s">
        <v>602</v>
      </c>
      <c r="D229" s="170">
        <v>45671</v>
      </c>
      <c r="E229" s="170">
        <v>45747</v>
      </c>
      <c r="F229" s="163" t="s">
        <v>16</v>
      </c>
      <c r="G229" s="171">
        <v>158.6</v>
      </c>
      <c r="H229" s="163" t="s">
        <v>603</v>
      </c>
      <c r="I229" s="163" t="s">
        <v>312</v>
      </c>
      <c r="J229" s="163" t="s">
        <v>56</v>
      </c>
      <c r="K229" s="170"/>
      <c r="L229" s="163"/>
      <c r="M229" s="164"/>
    </row>
    <row r="230" spans="1:13">
      <c r="A230" s="167" t="s">
        <v>13</v>
      </c>
      <c r="B230" s="161" t="s">
        <v>3221</v>
      </c>
      <c r="C230" s="161" t="s">
        <v>604</v>
      </c>
      <c r="D230" s="172">
        <v>45694</v>
      </c>
      <c r="E230" s="172"/>
      <c r="F230" s="161" t="s">
        <v>16</v>
      </c>
      <c r="G230" s="173">
        <v>158.6</v>
      </c>
      <c r="H230" s="161" t="s">
        <v>605</v>
      </c>
      <c r="I230" s="161" t="s">
        <v>87</v>
      </c>
      <c r="J230" s="161" t="s">
        <v>56</v>
      </c>
      <c r="K230" s="172"/>
      <c r="L230" s="161"/>
      <c r="M230" s="162"/>
    </row>
    <row r="231" spans="1:13">
      <c r="A231" s="166" t="s">
        <v>13</v>
      </c>
      <c r="B231" s="163" t="s">
        <v>3221</v>
      </c>
      <c r="C231" s="163" t="s">
        <v>606</v>
      </c>
      <c r="D231" s="170">
        <v>45699</v>
      </c>
      <c r="E231" s="170"/>
      <c r="F231" s="163" t="s">
        <v>16</v>
      </c>
      <c r="G231" s="171">
        <v>158.6</v>
      </c>
      <c r="H231" s="163" t="s">
        <v>607</v>
      </c>
      <c r="I231" s="163" t="s">
        <v>608</v>
      </c>
      <c r="J231" s="163" t="s">
        <v>56</v>
      </c>
      <c r="K231" s="170"/>
      <c r="L231" s="163"/>
      <c r="M231" s="164"/>
    </row>
    <row r="232" spans="1:13">
      <c r="A232" s="167" t="s">
        <v>13</v>
      </c>
      <c r="B232" s="161" t="s">
        <v>3221</v>
      </c>
      <c r="C232" s="161" t="s">
        <v>609</v>
      </c>
      <c r="D232" s="172">
        <v>45722</v>
      </c>
      <c r="E232" s="172"/>
      <c r="F232" s="161" t="s">
        <v>16</v>
      </c>
      <c r="G232" s="173">
        <v>158.6</v>
      </c>
      <c r="H232" s="161" t="s">
        <v>610</v>
      </c>
      <c r="I232" s="161" t="s">
        <v>87</v>
      </c>
      <c r="J232" s="161" t="s">
        <v>66</v>
      </c>
      <c r="K232" s="172"/>
      <c r="L232" s="161"/>
      <c r="M232" s="162"/>
    </row>
    <row r="233" spans="1:13">
      <c r="A233" s="166" t="s">
        <v>13</v>
      </c>
      <c r="B233" s="163" t="s">
        <v>3221</v>
      </c>
      <c r="C233" s="163" t="s">
        <v>611</v>
      </c>
      <c r="D233" s="170">
        <v>45750</v>
      </c>
      <c r="E233" s="170"/>
      <c r="F233" s="163" t="s">
        <v>49</v>
      </c>
      <c r="G233" s="171">
        <v>158.6</v>
      </c>
      <c r="H233" s="163" t="s">
        <v>612</v>
      </c>
      <c r="I233" s="163" t="s">
        <v>87</v>
      </c>
      <c r="J233" s="163" t="s">
        <v>56</v>
      </c>
      <c r="K233" s="163">
        <v>45968</v>
      </c>
      <c r="L233" s="163">
        <v>634.4</v>
      </c>
      <c r="M233" s="164" t="s">
        <v>613</v>
      </c>
    </row>
    <row r="234" spans="1:13">
      <c r="A234" s="167" t="s">
        <v>13</v>
      </c>
      <c r="B234" s="161" t="s">
        <v>3221</v>
      </c>
      <c r="C234" s="161" t="s">
        <v>614</v>
      </c>
      <c r="D234" s="172">
        <v>45778</v>
      </c>
      <c r="E234" s="172"/>
      <c r="F234" s="161" t="s">
        <v>49</v>
      </c>
      <c r="G234" s="173">
        <v>158.6</v>
      </c>
      <c r="H234" s="161" t="s">
        <v>615</v>
      </c>
      <c r="I234" s="161" t="s">
        <v>87</v>
      </c>
      <c r="J234" s="161" t="s">
        <v>56</v>
      </c>
      <c r="K234" s="161">
        <v>45968</v>
      </c>
      <c r="L234" s="161">
        <v>634.4</v>
      </c>
      <c r="M234" s="162" t="s">
        <v>613</v>
      </c>
    </row>
    <row r="235" spans="1:13">
      <c r="A235" s="166" t="s">
        <v>13</v>
      </c>
      <c r="B235" s="163" t="s">
        <v>3221</v>
      </c>
      <c r="C235" s="163" t="s">
        <v>616</v>
      </c>
      <c r="D235" s="170">
        <v>45806</v>
      </c>
      <c r="E235" s="170"/>
      <c r="F235" s="163" t="s">
        <v>49</v>
      </c>
      <c r="G235" s="171">
        <v>158.6</v>
      </c>
      <c r="H235" s="163" t="s">
        <v>617</v>
      </c>
      <c r="I235" s="163" t="s">
        <v>87</v>
      </c>
      <c r="J235" s="163" t="s">
        <v>56</v>
      </c>
      <c r="K235" s="163">
        <v>45968</v>
      </c>
      <c r="L235" s="163">
        <v>634.4</v>
      </c>
      <c r="M235" s="164" t="s">
        <v>613</v>
      </c>
    </row>
    <row r="236" spans="1:13">
      <c r="A236" s="167" t="s">
        <v>13</v>
      </c>
      <c r="B236" s="161" t="s">
        <v>3221</v>
      </c>
      <c r="C236" s="161" t="s">
        <v>618</v>
      </c>
      <c r="D236" s="172">
        <v>45834</v>
      </c>
      <c r="E236" s="172"/>
      <c r="F236" s="161" t="s">
        <v>49</v>
      </c>
      <c r="G236" s="173">
        <v>158.6</v>
      </c>
      <c r="H236" s="161" t="s">
        <v>446</v>
      </c>
      <c r="I236" s="161" t="s">
        <v>436</v>
      </c>
      <c r="J236" s="161" t="s">
        <v>56</v>
      </c>
      <c r="K236" s="161">
        <v>45968</v>
      </c>
      <c r="L236" s="161">
        <v>634.4</v>
      </c>
      <c r="M236" s="162" t="s">
        <v>613</v>
      </c>
    </row>
    <row r="237" spans="1:13">
      <c r="A237" s="166"/>
      <c r="B237" s="163" t="s">
        <v>2151</v>
      </c>
      <c r="C237" s="163" t="s">
        <v>3222</v>
      </c>
      <c r="D237" s="170"/>
      <c r="E237" s="170"/>
      <c r="F237" s="163" t="s">
        <v>16</v>
      </c>
      <c r="G237" s="171">
        <v>6400</v>
      </c>
      <c r="H237" s="163" t="s">
        <v>621</v>
      </c>
      <c r="I237" s="163"/>
      <c r="J237" s="163" t="s">
        <v>622</v>
      </c>
      <c r="K237" s="170"/>
      <c r="L237" s="163"/>
      <c r="M237" s="164"/>
    </row>
    <row r="238" spans="1:13">
      <c r="A238" s="167"/>
      <c r="B238" s="161" t="s">
        <v>2151</v>
      </c>
      <c r="C238" s="161"/>
      <c r="D238" s="172"/>
      <c r="E238" s="172">
        <v>45713</v>
      </c>
      <c r="F238" s="161" t="s">
        <v>16</v>
      </c>
      <c r="G238" s="173">
        <v>2757.9</v>
      </c>
      <c r="H238" s="161" t="s">
        <v>623</v>
      </c>
      <c r="I238" s="161"/>
      <c r="J238" s="161" t="s">
        <v>56</v>
      </c>
      <c r="K238" s="161">
        <v>45826</v>
      </c>
      <c r="L238" s="161">
        <v>4000</v>
      </c>
      <c r="M238" s="162" t="s">
        <v>345</v>
      </c>
    </row>
    <row r="239" spans="1:13">
      <c r="A239" s="166"/>
      <c r="B239" s="163" t="s">
        <v>2151</v>
      </c>
      <c r="C239" s="163"/>
      <c r="D239" s="170"/>
      <c r="E239" s="170">
        <v>45736</v>
      </c>
      <c r="F239" s="163" t="s">
        <v>16</v>
      </c>
      <c r="G239" s="171">
        <v>1985.2</v>
      </c>
      <c r="H239" s="163"/>
      <c r="I239" s="163"/>
      <c r="J239" s="163" t="s">
        <v>56</v>
      </c>
      <c r="K239" s="163">
        <v>45826</v>
      </c>
      <c r="L239" s="163">
        <v>4000</v>
      </c>
      <c r="M239" s="164" t="s">
        <v>345</v>
      </c>
    </row>
    <row r="240" spans="1:13">
      <c r="A240" s="167"/>
      <c r="B240" s="161" t="s">
        <v>2151</v>
      </c>
      <c r="C240" s="161"/>
      <c r="D240" s="172"/>
      <c r="E240" s="172">
        <v>45769</v>
      </c>
      <c r="F240" s="161" t="s">
        <v>16</v>
      </c>
      <c r="G240" s="173">
        <v>2014.8</v>
      </c>
      <c r="H240" s="161"/>
      <c r="I240" s="161"/>
      <c r="J240" s="161" t="s">
        <v>66</v>
      </c>
      <c r="K240" s="161">
        <v>45826</v>
      </c>
      <c r="L240" s="161">
        <v>2175.13</v>
      </c>
      <c r="M240" s="162" t="s">
        <v>111</v>
      </c>
    </row>
    <row r="241" spans="1:13">
      <c r="A241" s="166"/>
      <c r="B241" s="163" t="s">
        <v>2151</v>
      </c>
      <c r="C241" s="163"/>
      <c r="D241" s="170"/>
      <c r="E241" s="170">
        <v>45769</v>
      </c>
      <c r="F241" s="163" t="s">
        <v>16</v>
      </c>
      <c r="G241" s="171">
        <v>56.489999999999782</v>
      </c>
      <c r="H241" s="163"/>
      <c r="I241" s="163"/>
      <c r="J241" s="163" t="s">
        <v>66</v>
      </c>
      <c r="K241" s="163">
        <v>45826</v>
      </c>
      <c r="L241" s="163">
        <v>2175.13</v>
      </c>
      <c r="M241" s="164" t="s">
        <v>111</v>
      </c>
    </row>
    <row r="242" spans="1:13">
      <c r="A242" s="167"/>
      <c r="B242" s="161" t="s">
        <v>2151</v>
      </c>
      <c r="C242" s="161"/>
      <c r="D242" s="172"/>
      <c r="E242" s="172">
        <v>45797</v>
      </c>
      <c r="F242" s="161" t="s">
        <v>16</v>
      </c>
      <c r="G242" s="173">
        <v>2118.64</v>
      </c>
      <c r="H242" s="161"/>
      <c r="I242" s="161"/>
      <c r="J242" s="161" t="s">
        <v>56</v>
      </c>
      <c r="K242" s="172"/>
      <c r="L242" s="161"/>
      <c r="M242" s="162"/>
    </row>
    <row r="243" spans="1:13">
      <c r="A243" s="166"/>
      <c r="B243" s="163" t="s">
        <v>2151</v>
      </c>
      <c r="C243" s="163"/>
      <c r="D243" s="170"/>
      <c r="E243" s="170">
        <v>45797</v>
      </c>
      <c r="F243" s="163"/>
      <c r="G243" s="171">
        <v>2433.0100000000002</v>
      </c>
      <c r="H243" s="163"/>
      <c r="I243" s="163"/>
      <c r="J243" s="163" t="s">
        <v>56</v>
      </c>
      <c r="K243" s="170"/>
      <c r="L243" s="163"/>
      <c r="M243" s="164"/>
    </row>
    <row r="244" spans="1:13">
      <c r="A244" s="167"/>
      <c r="B244" s="161" t="s">
        <v>2151</v>
      </c>
      <c r="C244" s="161"/>
      <c r="D244" s="172"/>
      <c r="E244" s="172">
        <v>45859</v>
      </c>
      <c r="F244" s="161"/>
      <c r="G244" s="173">
        <v>2219.64</v>
      </c>
      <c r="H244" s="161"/>
      <c r="I244" s="161"/>
      <c r="J244" s="161" t="s">
        <v>56</v>
      </c>
      <c r="K244" s="172"/>
      <c r="L244" s="161"/>
      <c r="M244" s="162"/>
    </row>
    <row r="245" spans="1:13">
      <c r="A245" s="166" t="s">
        <v>90</v>
      </c>
      <c r="B245" s="163" t="s">
        <v>2151</v>
      </c>
      <c r="C245" s="163"/>
      <c r="D245" s="170"/>
      <c r="E245" s="170"/>
      <c r="F245" s="163"/>
      <c r="G245" s="171"/>
      <c r="H245" s="163"/>
      <c r="I245" s="163" t="s">
        <v>2375</v>
      </c>
      <c r="J245" s="163"/>
      <c r="K245" s="170"/>
      <c r="L245" s="163"/>
      <c r="M245" s="164"/>
    </row>
    <row r="246" spans="1:13">
      <c r="A246" s="167"/>
      <c r="B246" s="161" t="s">
        <v>2151</v>
      </c>
      <c r="C246" s="161" t="s">
        <v>624</v>
      </c>
      <c r="D246" s="172"/>
      <c r="E246" s="172">
        <v>45981</v>
      </c>
      <c r="F246" s="161" t="s">
        <v>49</v>
      </c>
      <c r="G246" s="173">
        <v>1423.22</v>
      </c>
      <c r="H246" s="161"/>
      <c r="I246" s="161" t="s">
        <v>625</v>
      </c>
      <c r="J246" s="161" t="s">
        <v>83</v>
      </c>
      <c r="K246" s="161">
        <v>45978</v>
      </c>
      <c r="L246" s="161">
        <v>1423</v>
      </c>
      <c r="M246" s="162" t="s">
        <v>19</v>
      </c>
    </row>
    <row r="247" spans="1:13">
      <c r="A247" s="166"/>
      <c r="B247" s="163" t="s">
        <v>2151</v>
      </c>
      <c r="C247" s="163"/>
      <c r="D247" s="170"/>
      <c r="E247" s="170"/>
      <c r="F247" s="163" t="s">
        <v>16</v>
      </c>
      <c r="G247" s="171">
        <v>2458.96</v>
      </c>
      <c r="H247" s="163"/>
      <c r="I247" s="163"/>
      <c r="J247" s="163" t="s">
        <v>56</v>
      </c>
      <c r="K247" s="163">
        <v>45945</v>
      </c>
      <c r="L247" s="163">
        <v>2458.96</v>
      </c>
      <c r="M247" s="164" t="s">
        <v>71</v>
      </c>
    </row>
    <row r="248" spans="1:13">
      <c r="A248" s="167" t="s">
        <v>2376</v>
      </c>
      <c r="B248" s="161" t="s">
        <v>2151</v>
      </c>
      <c r="C248" s="161"/>
      <c r="D248" s="172"/>
      <c r="E248" s="172"/>
      <c r="F248" s="161"/>
      <c r="G248" s="173">
        <v>5700</v>
      </c>
      <c r="H248" s="161"/>
      <c r="I248" s="161" t="s">
        <v>2377</v>
      </c>
      <c r="J248" s="161" t="s">
        <v>622</v>
      </c>
      <c r="K248" s="172"/>
      <c r="L248" s="161"/>
      <c r="M248" s="162"/>
    </row>
    <row r="249" spans="1:13">
      <c r="A249" s="166" t="s">
        <v>626</v>
      </c>
      <c r="B249" s="163" t="s">
        <v>2151</v>
      </c>
      <c r="C249" s="163"/>
      <c r="D249" s="170"/>
      <c r="E249" s="170"/>
      <c r="F249" s="163"/>
      <c r="G249" s="171"/>
      <c r="H249" s="163"/>
      <c r="I249" s="163"/>
      <c r="J249" s="163" t="s">
        <v>622</v>
      </c>
      <c r="K249" s="163">
        <v>45992</v>
      </c>
      <c r="L249" s="163">
        <v>1140</v>
      </c>
      <c r="M249" s="164" t="s">
        <v>627</v>
      </c>
    </row>
    <row r="250" spans="1:13">
      <c r="A250" s="167" t="s">
        <v>628</v>
      </c>
      <c r="B250" s="161" t="s">
        <v>2151</v>
      </c>
      <c r="C250" s="161"/>
      <c r="D250" s="172"/>
      <c r="E250" s="172"/>
      <c r="F250" s="161"/>
      <c r="G250" s="173"/>
      <c r="H250" s="161"/>
      <c r="I250" s="161"/>
      <c r="J250" s="161" t="s">
        <v>622</v>
      </c>
      <c r="K250" s="161">
        <v>46020</v>
      </c>
      <c r="L250" s="161">
        <v>1140</v>
      </c>
      <c r="M250" s="162" t="s">
        <v>627</v>
      </c>
    </row>
    <row r="251" spans="1:13">
      <c r="A251" s="166" t="s">
        <v>629</v>
      </c>
      <c r="B251" s="163" t="s">
        <v>2151</v>
      </c>
      <c r="C251" s="163"/>
      <c r="D251" s="170"/>
      <c r="E251" s="170"/>
      <c r="F251" s="163"/>
      <c r="G251" s="171"/>
      <c r="H251" s="163"/>
      <c r="I251" s="163"/>
      <c r="J251" s="163" t="s">
        <v>622</v>
      </c>
      <c r="K251" s="163">
        <v>46052</v>
      </c>
      <c r="L251" s="163">
        <v>1140</v>
      </c>
      <c r="M251" s="164" t="s">
        <v>627</v>
      </c>
    </row>
    <row r="252" spans="1:13">
      <c r="A252" s="167" t="s">
        <v>630</v>
      </c>
      <c r="B252" s="161" t="s">
        <v>2151</v>
      </c>
      <c r="C252" s="161"/>
      <c r="D252" s="172"/>
      <c r="E252" s="172"/>
      <c r="F252" s="161"/>
      <c r="G252" s="173"/>
      <c r="H252" s="161"/>
      <c r="I252" s="161"/>
      <c r="J252" s="161" t="s">
        <v>622</v>
      </c>
      <c r="K252" s="161">
        <v>46080</v>
      </c>
      <c r="L252" s="161">
        <v>1140</v>
      </c>
      <c r="M252" s="162" t="s">
        <v>627</v>
      </c>
    </row>
    <row r="253" spans="1:13">
      <c r="A253" s="166" t="s">
        <v>631</v>
      </c>
      <c r="B253" s="163" t="s">
        <v>2151</v>
      </c>
      <c r="C253" s="163"/>
      <c r="D253" s="170"/>
      <c r="E253" s="170"/>
      <c r="F253" s="163"/>
      <c r="G253" s="171"/>
      <c r="H253" s="163"/>
      <c r="I253" s="163"/>
      <c r="J253" s="163" t="s">
        <v>622</v>
      </c>
      <c r="K253" s="163">
        <v>46112</v>
      </c>
      <c r="L253" s="163">
        <v>1140</v>
      </c>
      <c r="M253" s="164" t="s">
        <v>627</v>
      </c>
    </row>
    <row r="254" spans="1:13">
      <c r="A254" s="167" t="s">
        <v>90</v>
      </c>
      <c r="B254" s="161" t="s">
        <v>2151</v>
      </c>
      <c r="C254" s="161" t="s">
        <v>632</v>
      </c>
      <c r="D254" s="172"/>
      <c r="E254" s="172"/>
      <c r="F254" s="161"/>
      <c r="G254" s="173">
        <v>1644.89</v>
      </c>
      <c r="H254" s="161"/>
      <c r="I254" s="161" t="s">
        <v>633</v>
      </c>
      <c r="J254" s="161"/>
      <c r="K254" s="172"/>
      <c r="L254" s="161"/>
      <c r="M254" s="162"/>
    </row>
    <row r="255" spans="1:13">
      <c r="A255" s="166" t="s">
        <v>634</v>
      </c>
      <c r="B255" s="163" t="s">
        <v>3223</v>
      </c>
      <c r="C255" s="163" t="s">
        <v>468</v>
      </c>
      <c r="D255" s="170">
        <v>45672</v>
      </c>
      <c r="E255" s="170"/>
      <c r="F255" s="163" t="s">
        <v>16</v>
      </c>
      <c r="G255" s="171">
        <v>9901.9500000000007</v>
      </c>
      <c r="H255" s="163" t="s">
        <v>636</v>
      </c>
      <c r="I255" s="163"/>
      <c r="J255" s="163" t="s">
        <v>637</v>
      </c>
      <c r="K255" s="163" t="s">
        <v>638</v>
      </c>
      <c r="L255" s="163"/>
      <c r="M255" s="164"/>
    </row>
    <row r="256" spans="1:13">
      <c r="A256" s="167" t="s">
        <v>634</v>
      </c>
      <c r="B256" s="161" t="s">
        <v>3223</v>
      </c>
      <c r="C256" s="161" t="s">
        <v>468</v>
      </c>
      <c r="D256" s="172">
        <v>45672</v>
      </c>
      <c r="E256" s="172"/>
      <c r="F256" s="161" t="s">
        <v>16</v>
      </c>
      <c r="G256" s="173">
        <v>2145.2099999999991</v>
      </c>
      <c r="H256" s="161" t="s">
        <v>636</v>
      </c>
      <c r="I256" s="161"/>
      <c r="J256" s="161" t="s">
        <v>637</v>
      </c>
      <c r="K256" s="161" t="s">
        <v>639</v>
      </c>
      <c r="L256" s="161"/>
      <c r="M256" s="162" t="s">
        <v>640</v>
      </c>
    </row>
    <row r="257" spans="1:13">
      <c r="A257" s="166" t="s">
        <v>634</v>
      </c>
      <c r="B257" s="163" t="s">
        <v>3223</v>
      </c>
      <c r="C257" s="163" t="s">
        <v>641</v>
      </c>
      <c r="D257" s="170">
        <v>45688</v>
      </c>
      <c r="E257" s="170"/>
      <c r="F257" s="163" t="s">
        <v>16</v>
      </c>
      <c r="G257" s="171">
        <v>5655.13</v>
      </c>
      <c r="H257" s="163" t="s">
        <v>642</v>
      </c>
      <c r="I257" s="163"/>
      <c r="J257" s="163" t="s">
        <v>637</v>
      </c>
      <c r="K257" s="163" t="s">
        <v>638</v>
      </c>
      <c r="L257" s="163"/>
      <c r="M257" s="164"/>
    </row>
    <row r="258" spans="1:13">
      <c r="A258" s="167" t="s">
        <v>634</v>
      </c>
      <c r="B258" s="161" t="s">
        <v>3223</v>
      </c>
      <c r="C258" s="161" t="s">
        <v>641</v>
      </c>
      <c r="D258" s="172">
        <v>45688</v>
      </c>
      <c r="E258" s="172"/>
      <c r="F258" s="161" t="s">
        <v>16</v>
      </c>
      <c r="G258" s="173">
        <v>1244.1300000000001</v>
      </c>
      <c r="H258" s="161" t="s">
        <v>642</v>
      </c>
      <c r="I258" s="161"/>
      <c r="J258" s="161" t="s">
        <v>637</v>
      </c>
      <c r="K258" s="161" t="s">
        <v>643</v>
      </c>
      <c r="L258" s="161"/>
      <c r="M258" s="162"/>
    </row>
    <row r="259" spans="1:13">
      <c r="A259" s="166" t="s">
        <v>634</v>
      </c>
      <c r="B259" s="163" t="s">
        <v>3223</v>
      </c>
      <c r="C259" s="163" t="s">
        <v>644</v>
      </c>
      <c r="D259" s="170">
        <v>45580</v>
      </c>
      <c r="E259" s="170">
        <v>45580</v>
      </c>
      <c r="F259" s="163" t="s">
        <v>16</v>
      </c>
      <c r="G259" s="171">
        <v>5104.53</v>
      </c>
      <c r="H259" s="163" t="s">
        <v>645</v>
      </c>
      <c r="I259" s="163" t="s">
        <v>646</v>
      </c>
      <c r="J259" s="163" t="s">
        <v>637</v>
      </c>
      <c r="K259" s="163" t="s">
        <v>643</v>
      </c>
      <c r="L259" s="163"/>
      <c r="M259" s="164"/>
    </row>
    <row r="260" spans="1:13">
      <c r="A260" s="167" t="s">
        <v>634</v>
      </c>
      <c r="B260" s="161" t="s">
        <v>3223</v>
      </c>
      <c r="C260" s="161" t="s">
        <v>647</v>
      </c>
      <c r="D260" s="172">
        <v>45596</v>
      </c>
      <c r="E260" s="172">
        <v>45596</v>
      </c>
      <c r="F260" s="161" t="s">
        <v>16</v>
      </c>
      <c r="G260" s="173">
        <v>4437.7700000000004</v>
      </c>
      <c r="H260" s="161" t="s">
        <v>648</v>
      </c>
      <c r="I260" s="161" t="s">
        <v>649</v>
      </c>
      <c r="J260" s="161" t="s">
        <v>637</v>
      </c>
      <c r="K260" s="161" t="s">
        <v>650</v>
      </c>
      <c r="L260" s="161"/>
      <c r="M260" s="162"/>
    </row>
    <row r="261" spans="1:13">
      <c r="A261" s="166" t="s">
        <v>634</v>
      </c>
      <c r="B261" s="163" t="s">
        <v>3223</v>
      </c>
      <c r="C261" s="163" t="s">
        <v>651</v>
      </c>
      <c r="D261" s="170">
        <v>45626</v>
      </c>
      <c r="E261" s="170">
        <v>45757</v>
      </c>
      <c r="F261" s="163" t="s">
        <v>16</v>
      </c>
      <c r="G261" s="171">
        <v>3065.47</v>
      </c>
      <c r="H261" s="163" t="s">
        <v>652</v>
      </c>
      <c r="I261" s="163"/>
      <c r="J261" s="163" t="s">
        <v>637</v>
      </c>
      <c r="K261" s="163" t="s">
        <v>650</v>
      </c>
      <c r="L261" s="163"/>
      <c r="M261" s="164"/>
    </row>
    <row r="262" spans="1:13">
      <c r="A262" s="167" t="s">
        <v>634</v>
      </c>
      <c r="B262" s="161" t="s">
        <v>3223</v>
      </c>
      <c r="C262" s="161" t="s">
        <v>653</v>
      </c>
      <c r="D262" s="172">
        <v>45612</v>
      </c>
      <c r="E262" s="172">
        <v>45757</v>
      </c>
      <c r="F262" s="161" t="s">
        <v>16</v>
      </c>
      <c r="G262" s="173">
        <v>2536.9899999999998</v>
      </c>
      <c r="H262" s="161" t="s">
        <v>654</v>
      </c>
      <c r="I262" s="161" t="s">
        <v>655</v>
      </c>
      <c r="J262" s="161" t="s">
        <v>637</v>
      </c>
      <c r="K262" s="161" t="s">
        <v>650</v>
      </c>
      <c r="L262" s="161"/>
      <c r="M262" s="162"/>
    </row>
    <row r="263" spans="1:13">
      <c r="A263" s="166" t="s">
        <v>634</v>
      </c>
      <c r="B263" s="163" t="s">
        <v>3223</v>
      </c>
      <c r="C263" s="163" t="s">
        <v>656</v>
      </c>
      <c r="D263" s="170">
        <v>45646</v>
      </c>
      <c r="E263" s="170">
        <v>45757</v>
      </c>
      <c r="F263" s="163" t="s">
        <v>16</v>
      </c>
      <c r="G263" s="171">
        <v>3395.75</v>
      </c>
      <c r="H263" s="163" t="s">
        <v>657</v>
      </c>
      <c r="I263" s="163" t="s">
        <v>658</v>
      </c>
      <c r="J263" s="163" t="s">
        <v>637</v>
      </c>
      <c r="K263" s="163" t="s">
        <v>659</v>
      </c>
      <c r="L263" s="163"/>
      <c r="M263" s="164" t="s">
        <v>660</v>
      </c>
    </row>
    <row r="264" spans="1:13">
      <c r="A264" s="167" t="s">
        <v>634</v>
      </c>
      <c r="B264" s="161" t="s">
        <v>3223</v>
      </c>
      <c r="C264" s="161" t="s">
        <v>661</v>
      </c>
      <c r="D264" s="172">
        <v>45731</v>
      </c>
      <c r="E264" s="172">
        <v>45879</v>
      </c>
      <c r="F264" s="161" t="s">
        <v>16</v>
      </c>
      <c r="G264" s="173">
        <v>469.6</v>
      </c>
      <c r="H264" s="161" t="s">
        <v>662</v>
      </c>
      <c r="I264" s="161"/>
      <c r="J264" s="161" t="s">
        <v>637</v>
      </c>
      <c r="K264" s="161" t="s">
        <v>663</v>
      </c>
      <c r="L264" s="161"/>
      <c r="M264" s="162"/>
    </row>
    <row r="265" spans="1:13">
      <c r="A265" s="166" t="s">
        <v>634</v>
      </c>
      <c r="B265" s="163" t="s">
        <v>3223</v>
      </c>
      <c r="C265" s="163" t="s">
        <v>661</v>
      </c>
      <c r="D265" s="170">
        <v>45731</v>
      </c>
      <c r="E265" s="170">
        <v>45879</v>
      </c>
      <c r="F265" s="163" t="s">
        <v>16</v>
      </c>
      <c r="G265" s="171">
        <v>103.3099999999999</v>
      </c>
      <c r="H265" s="163" t="s">
        <v>662</v>
      </c>
      <c r="I265" s="163"/>
      <c r="J265" s="163" t="s">
        <v>637</v>
      </c>
      <c r="K265" s="163" t="s">
        <v>663</v>
      </c>
      <c r="L265" s="163"/>
      <c r="M265" s="164"/>
    </row>
    <row r="266" spans="1:13">
      <c r="A266" s="167" t="s">
        <v>634</v>
      </c>
      <c r="B266" s="161" t="s">
        <v>3223</v>
      </c>
      <c r="C266" s="161" t="s">
        <v>664</v>
      </c>
      <c r="D266" s="172">
        <v>45747</v>
      </c>
      <c r="E266" s="172">
        <v>45879</v>
      </c>
      <c r="F266" s="161" t="s">
        <v>49</v>
      </c>
      <c r="G266" s="173">
        <v>24053.599999999999</v>
      </c>
      <c r="H266" s="161" t="s">
        <v>665</v>
      </c>
      <c r="I266" s="161"/>
      <c r="J266" s="161" t="s">
        <v>637</v>
      </c>
      <c r="K266" s="161" t="s">
        <v>666</v>
      </c>
      <c r="L266" s="161"/>
      <c r="M266" s="162"/>
    </row>
    <row r="267" spans="1:13">
      <c r="A267" s="166" t="s">
        <v>634</v>
      </c>
      <c r="B267" s="163" t="s">
        <v>3223</v>
      </c>
      <c r="C267" s="163" t="s">
        <v>667</v>
      </c>
      <c r="D267" s="170">
        <v>45762</v>
      </c>
      <c r="E267" s="170">
        <v>45910</v>
      </c>
      <c r="F267" s="163" t="s">
        <v>49</v>
      </c>
      <c r="G267" s="171">
        <v>8688.33</v>
      </c>
      <c r="H267" s="163" t="s">
        <v>668</v>
      </c>
      <c r="I267" s="163" t="s">
        <v>669</v>
      </c>
      <c r="J267" s="163"/>
      <c r="K267" s="163" t="s">
        <v>666</v>
      </c>
      <c r="L267" s="163"/>
      <c r="M267" s="164"/>
    </row>
    <row r="268" spans="1:13">
      <c r="A268" s="167" t="s">
        <v>634</v>
      </c>
      <c r="B268" s="161" t="s">
        <v>3223</v>
      </c>
      <c r="C268" s="161" t="s">
        <v>670</v>
      </c>
      <c r="D268" s="172">
        <v>45777</v>
      </c>
      <c r="E268" s="172">
        <v>45910</v>
      </c>
      <c r="F268" s="161" t="s">
        <v>49</v>
      </c>
      <c r="G268" s="173">
        <v>1340.39</v>
      </c>
      <c r="H268" s="161" t="s">
        <v>671</v>
      </c>
      <c r="I268" s="161" t="s">
        <v>669</v>
      </c>
      <c r="J268" s="161"/>
      <c r="K268" s="161" t="s">
        <v>666</v>
      </c>
      <c r="L268" s="161"/>
      <c r="M268" s="162"/>
    </row>
    <row r="269" spans="1:13">
      <c r="A269" s="166" t="s">
        <v>634</v>
      </c>
      <c r="B269" s="163" t="s">
        <v>3223</v>
      </c>
      <c r="C269" s="163" t="s">
        <v>672</v>
      </c>
      <c r="D269" s="170">
        <v>45792</v>
      </c>
      <c r="E269" s="170">
        <v>45940</v>
      </c>
      <c r="F269" s="163" t="s">
        <v>16</v>
      </c>
      <c r="G269" s="171">
        <v>2129.91</v>
      </c>
      <c r="H269" s="163" t="s">
        <v>673</v>
      </c>
      <c r="I269" s="163" t="s">
        <v>674</v>
      </c>
      <c r="J269" s="163"/>
      <c r="K269" s="163" t="s">
        <v>675</v>
      </c>
      <c r="L269" s="163"/>
      <c r="M269" s="164"/>
    </row>
    <row r="270" spans="1:13">
      <c r="A270" s="167" t="s">
        <v>634</v>
      </c>
      <c r="B270" s="161" t="s">
        <v>3223</v>
      </c>
      <c r="C270" s="161" t="s">
        <v>676</v>
      </c>
      <c r="D270" s="172">
        <v>45808</v>
      </c>
      <c r="E270" s="172">
        <v>45940</v>
      </c>
      <c r="F270" s="161" t="s">
        <v>16</v>
      </c>
      <c r="G270" s="173">
        <v>392.45</v>
      </c>
      <c r="H270" s="161" t="s">
        <v>677</v>
      </c>
      <c r="I270" s="161" t="s">
        <v>678</v>
      </c>
      <c r="J270" s="161"/>
      <c r="K270" s="161" t="s">
        <v>679</v>
      </c>
      <c r="L270" s="161"/>
      <c r="M270" s="162"/>
    </row>
    <row r="271" spans="1:13">
      <c r="A271" s="166" t="s">
        <v>634</v>
      </c>
      <c r="B271" s="163" t="s">
        <v>3223</v>
      </c>
      <c r="C271" s="163" t="s">
        <v>680</v>
      </c>
      <c r="D271" s="170">
        <v>45823</v>
      </c>
      <c r="E271" s="170">
        <v>45960</v>
      </c>
      <c r="F271" s="163" t="s">
        <v>16</v>
      </c>
      <c r="G271" s="171">
        <v>388.48</v>
      </c>
      <c r="H271" s="163" t="s">
        <v>681</v>
      </c>
      <c r="I271" s="163" t="s">
        <v>682</v>
      </c>
      <c r="J271" s="163" t="s">
        <v>637</v>
      </c>
      <c r="K271" s="163">
        <v>45957</v>
      </c>
      <c r="L271" s="163">
        <v>388.48</v>
      </c>
      <c r="M271" s="164" t="s">
        <v>683</v>
      </c>
    </row>
    <row r="272" spans="1:13">
      <c r="A272" s="167" t="s">
        <v>634</v>
      </c>
      <c r="B272" s="161" t="s">
        <v>3223</v>
      </c>
      <c r="C272" s="161" t="s">
        <v>684</v>
      </c>
      <c r="D272" s="172">
        <v>45838</v>
      </c>
      <c r="E272" s="172">
        <v>45960</v>
      </c>
      <c r="F272" s="161" t="s">
        <v>16</v>
      </c>
      <c r="G272" s="173">
        <v>10148.11</v>
      </c>
      <c r="H272" s="161" t="s">
        <v>685</v>
      </c>
      <c r="I272" s="161" t="s">
        <v>349</v>
      </c>
      <c r="J272" s="161" t="s">
        <v>637</v>
      </c>
      <c r="K272" s="161">
        <v>45957</v>
      </c>
      <c r="L272" s="161">
        <v>10148.11</v>
      </c>
      <c r="M272" s="162" t="s">
        <v>71</v>
      </c>
    </row>
    <row r="273" spans="1:13">
      <c r="A273" s="166" t="s">
        <v>634</v>
      </c>
      <c r="B273" s="163" t="s">
        <v>3223</v>
      </c>
      <c r="C273" s="163" t="s">
        <v>686</v>
      </c>
      <c r="D273" s="170">
        <v>45853</v>
      </c>
      <c r="E273" s="170"/>
      <c r="F273" s="163"/>
      <c r="G273" s="171">
        <v>659.76</v>
      </c>
      <c r="H273" s="163" t="s">
        <v>687</v>
      </c>
      <c r="I273" s="163" t="s">
        <v>218</v>
      </c>
      <c r="J273" s="163" t="s">
        <v>637</v>
      </c>
      <c r="K273" s="163" t="s">
        <v>688</v>
      </c>
      <c r="L273" s="163">
        <v>3068</v>
      </c>
      <c r="M273" s="164" t="s">
        <v>689</v>
      </c>
    </row>
    <row r="274" spans="1:13">
      <c r="A274" s="167" t="s">
        <v>634</v>
      </c>
      <c r="B274" s="161" t="s">
        <v>3223</v>
      </c>
      <c r="C274" s="161" t="s">
        <v>690</v>
      </c>
      <c r="D274" s="172">
        <v>45869</v>
      </c>
      <c r="E274" s="172"/>
      <c r="F274" s="161"/>
      <c r="G274" s="173">
        <v>42.55</v>
      </c>
      <c r="H274" s="161" t="s">
        <v>691</v>
      </c>
      <c r="I274" s="161" t="s">
        <v>692</v>
      </c>
      <c r="J274" s="161" t="s">
        <v>637</v>
      </c>
      <c r="K274" s="161" t="s">
        <v>688</v>
      </c>
      <c r="L274" s="161">
        <v>3068</v>
      </c>
      <c r="M274" s="162" t="s">
        <v>689</v>
      </c>
    </row>
    <row r="275" spans="1:13">
      <c r="A275" s="166" t="s">
        <v>634</v>
      </c>
      <c r="B275" s="163" t="s">
        <v>3223</v>
      </c>
      <c r="C275" s="163" t="s">
        <v>693</v>
      </c>
      <c r="D275" s="170">
        <v>45900</v>
      </c>
      <c r="E275" s="170"/>
      <c r="F275" s="163"/>
      <c r="G275" s="171">
        <v>137.69999999999999</v>
      </c>
      <c r="H275" s="163" t="s">
        <v>694</v>
      </c>
      <c r="I275" s="163" t="s">
        <v>349</v>
      </c>
      <c r="J275" s="163" t="s">
        <v>637</v>
      </c>
      <c r="K275" s="163" t="s">
        <v>688</v>
      </c>
      <c r="L275" s="163">
        <v>3068</v>
      </c>
      <c r="M275" s="164" t="s">
        <v>689</v>
      </c>
    </row>
    <row r="276" spans="1:13">
      <c r="A276" s="167" t="s">
        <v>634</v>
      </c>
      <c r="B276" s="161" t="s">
        <v>3223</v>
      </c>
      <c r="C276" s="161" t="s">
        <v>695</v>
      </c>
      <c r="D276" s="172">
        <v>45915</v>
      </c>
      <c r="E276" s="172"/>
      <c r="F276" s="161"/>
      <c r="G276" s="173">
        <v>339.44</v>
      </c>
      <c r="H276" s="161" t="s">
        <v>696</v>
      </c>
      <c r="I276" s="161" t="s">
        <v>697</v>
      </c>
      <c r="J276" s="161" t="s">
        <v>637</v>
      </c>
      <c r="K276" s="161" t="s">
        <v>688</v>
      </c>
      <c r="L276" s="161">
        <v>3068</v>
      </c>
      <c r="M276" s="162" t="s">
        <v>689</v>
      </c>
    </row>
    <row r="277" spans="1:13">
      <c r="A277" s="166" t="s">
        <v>634</v>
      </c>
      <c r="B277" s="163" t="s">
        <v>3223</v>
      </c>
      <c r="C277" s="163" t="s">
        <v>698</v>
      </c>
      <c r="D277" s="170">
        <v>45930</v>
      </c>
      <c r="E277" s="170"/>
      <c r="F277" s="163"/>
      <c r="G277" s="171">
        <v>1888.18</v>
      </c>
      <c r="H277" s="163"/>
      <c r="I277" s="163" t="s">
        <v>697</v>
      </c>
      <c r="J277" s="163" t="s">
        <v>637</v>
      </c>
      <c r="K277" s="163" t="s">
        <v>688</v>
      </c>
      <c r="L277" s="163">
        <v>3068</v>
      </c>
      <c r="M277" s="164" t="s">
        <v>689</v>
      </c>
    </row>
    <row r="278" spans="1:13">
      <c r="A278" s="167" t="s">
        <v>699</v>
      </c>
      <c r="B278" s="161" t="s">
        <v>3223</v>
      </c>
      <c r="C278" s="161" t="s">
        <v>700</v>
      </c>
      <c r="D278" s="172">
        <v>45945</v>
      </c>
      <c r="E278" s="172">
        <v>45945</v>
      </c>
      <c r="F278" s="161"/>
      <c r="G278" s="173">
        <v>1064.95</v>
      </c>
      <c r="H278" s="161"/>
      <c r="I278" s="161" t="s">
        <v>701</v>
      </c>
      <c r="J278" s="161" t="s">
        <v>702</v>
      </c>
      <c r="K278" s="161" t="s">
        <v>703</v>
      </c>
      <c r="L278" s="161"/>
      <c r="M278" s="162"/>
    </row>
    <row r="279" spans="1:13">
      <c r="A279" s="166" t="s">
        <v>90</v>
      </c>
      <c r="B279" s="163" t="s">
        <v>3223</v>
      </c>
      <c r="C279" s="163" t="s">
        <v>704</v>
      </c>
      <c r="D279" s="170">
        <v>45991</v>
      </c>
      <c r="E279" s="170">
        <v>45991</v>
      </c>
      <c r="F279" s="163"/>
      <c r="G279" s="171">
        <v>1804.47</v>
      </c>
      <c r="H279" s="163"/>
      <c r="I279" s="163" t="s">
        <v>705</v>
      </c>
      <c r="J279" s="163" t="s">
        <v>83</v>
      </c>
      <c r="K279" s="170"/>
      <c r="L279" s="163">
        <v>1804.47</v>
      </c>
      <c r="M279" s="164"/>
    </row>
    <row r="280" spans="1:13">
      <c r="A280" s="167"/>
      <c r="B280" s="161" t="s">
        <v>2155</v>
      </c>
      <c r="C280" s="161" t="s">
        <v>707</v>
      </c>
      <c r="D280" s="172">
        <v>45991</v>
      </c>
      <c r="E280" s="172">
        <v>46032</v>
      </c>
      <c r="F280" s="161"/>
      <c r="G280" s="173">
        <v>189.1</v>
      </c>
      <c r="H280" s="161"/>
      <c r="I280" s="161" t="s">
        <v>708</v>
      </c>
      <c r="J280" s="161" t="s">
        <v>374</v>
      </c>
      <c r="K280" s="161">
        <v>45667</v>
      </c>
      <c r="L280" s="161">
        <v>189.1</v>
      </c>
      <c r="M280" s="162" t="s">
        <v>345</v>
      </c>
    </row>
    <row r="281" spans="1:13">
      <c r="A281" s="166" t="s">
        <v>13</v>
      </c>
      <c r="B281" s="163" t="s">
        <v>3224</v>
      </c>
      <c r="C281" s="163" t="s">
        <v>710</v>
      </c>
      <c r="D281" s="170">
        <v>45596</v>
      </c>
      <c r="E281" s="170">
        <v>45656</v>
      </c>
      <c r="F281" s="163" t="s">
        <v>49</v>
      </c>
      <c r="G281" s="171">
        <v>392.84</v>
      </c>
      <c r="H281" s="163" t="s">
        <v>711</v>
      </c>
      <c r="I281" s="163" t="s">
        <v>55</v>
      </c>
      <c r="J281" s="163" t="s">
        <v>425</v>
      </c>
      <c r="K281" s="170"/>
      <c r="L281" s="163"/>
      <c r="M281" s="164"/>
    </row>
    <row r="282" spans="1:13">
      <c r="A282" s="167" t="s">
        <v>13</v>
      </c>
      <c r="B282" s="161" t="s">
        <v>2489</v>
      </c>
      <c r="C282" s="161" t="s">
        <v>713</v>
      </c>
      <c r="D282" s="172">
        <v>45718</v>
      </c>
      <c r="E282" s="172"/>
      <c r="F282" s="161" t="s">
        <v>16</v>
      </c>
      <c r="G282" s="173">
        <v>58090.98</v>
      </c>
      <c r="H282" s="161" t="s">
        <v>714</v>
      </c>
      <c r="I282" s="161" t="s">
        <v>312</v>
      </c>
      <c r="J282" s="161" t="s">
        <v>56</v>
      </c>
      <c r="K282" s="172"/>
      <c r="L282" s="161"/>
      <c r="M282" s="162" t="s">
        <v>715</v>
      </c>
    </row>
    <row r="283" spans="1:13">
      <c r="A283" s="166" t="s">
        <v>716</v>
      </c>
      <c r="B283" s="163" t="s">
        <v>2489</v>
      </c>
      <c r="C283" s="163" t="s">
        <v>3225</v>
      </c>
      <c r="D283" s="170">
        <v>45777</v>
      </c>
      <c r="E283" s="170"/>
      <c r="F283" s="163" t="s">
        <v>16</v>
      </c>
      <c r="G283" s="171">
        <v>7283.5</v>
      </c>
      <c r="H283" s="163"/>
      <c r="I283" s="163"/>
      <c r="J283" s="163" t="s">
        <v>66</v>
      </c>
      <c r="K283" s="170"/>
      <c r="L283" s="163"/>
      <c r="M283" s="164" t="s">
        <v>718</v>
      </c>
    </row>
    <row r="284" spans="1:13">
      <c r="A284" s="167" t="s">
        <v>13</v>
      </c>
      <c r="B284" s="161" t="s">
        <v>2489</v>
      </c>
      <c r="C284" s="161" t="s">
        <v>719</v>
      </c>
      <c r="D284" s="172">
        <v>45803</v>
      </c>
      <c r="E284" s="172"/>
      <c r="F284" s="161" t="s">
        <v>16</v>
      </c>
      <c r="G284" s="173">
        <v>7000</v>
      </c>
      <c r="H284" s="161" t="s">
        <v>720</v>
      </c>
      <c r="I284" s="161" t="s">
        <v>721</v>
      </c>
      <c r="J284" s="161" t="s">
        <v>56</v>
      </c>
      <c r="K284" s="161">
        <v>45945</v>
      </c>
      <c r="L284" s="161">
        <v>7000</v>
      </c>
      <c r="M284" s="162" t="s">
        <v>71</v>
      </c>
    </row>
    <row r="285" spans="1:13">
      <c r="A285" s="166" t="s">
        <v>90</v>
      </c>
      <c r="B285" s="163" t="s">
        <v>2489</v>
      </c>
      <c r="C285" s="163" t="s">
        <v>719</v>
      </c>
      <c r="D285" s="170">
        <v>45803</v>
      </c>
      <c r="E285" s="170"/>
      <c r="F285" s="163"/>
      <c r="G285" s="171">
        <v>11000</v>
      </c>
      <c r="H285" s="163" t="s">
        <v>720</v>
      </c>
      <c r="I285" s="163" t="s">
        <v>721</v>
      </c>
      <c r="J285" s="163" t="s">
        <v>56</v>
      </c>
      <c r="K285" s="170"/>
      <c r="L285" s="163"/>
      <c r="M285" s="164"/>
    </row>
    <row r="286" spans="1:13">
      <c r="A286" s="167" t="s">
        <v>13</v>
      </c>
      <c r="B286" s="161" t="s">
        <v>2489</v>
      </c>
      <c r="C286" s="161" t="s">
        <v>722</v>
      </c>
      <c r="D286" s="172">
        <v>45803</v>
      </c>
      <c r="E286" s="172">
        <v>45803</v>
      </c>
      <c r="F286" s="161" t="s">
        <v>49</v>
      </c>
      <c r="G286" s="173">
        <v>11000</v>
      </c>
      <c r="H286" s="161" t="s">
        <v>724</v>
      </c>
      <c r="I286" s="161" t="s">
        <v>342</v>
      </c>
      <c r="J286" s="161" t="s">
        <v>56</v>
      </c>
      <c r="K286" s="161">
        <v>45968</v>
      </c>
      <c r="L286" s="161">
        <v>11000</v>
      </c>
      <c r="M286" s="162" t="s">
        <v>19</v>
      </c>
    </row>
    <row r="287" spans="1:13">
      <c r="A287" s="166"/>
      <c r="B287" s="163" t="s">
        <v>2461</v>
      </c>
      <c r="C287" s="163" t="s">
        <v>726</v>
      </c>
      <c r="D287" s="170">
        <v>45679</v>
      </c>
      <c r="E287" s="170">
        <v>45739</v>
      </c>
      <c r="F287" s="163" t="s">
        <v>16</v>
      </c>
      <c r="G287" s="171">
        <v>207.4</v>
      </c>
      <c r="H287" s="163" t="s">
        <v>727</v>
      </c>
      <c r="I287" s="163" t="s">
        <v>728</v>
      </c>
      <c r="J287" s="163" t="s">
        <v>56</v>
      </c>
      <c r="K287" s="163">
        <v>45775</v>
      </c>
      <c r="L287" s="163">
        <v>576.08000000000004</v>
      </c>
      <c r="M287" s="164"/>
    </row>
    <row r="288" spans="1:13">
      <c r="A288" s="167"/>
      <c r="B288" s="161" t="s">
        <v>2461</v>
      </c>
      <c r="C288" s="161" t="s">
        <v>729</v>
      </c>
      <c r="D288" s="172">
        <v>45638</v>
      </c>
      <c r="E288" s="172">
        <v>45716</v>
      </c>
      <c r="F288" s="161" t="s">
        <v>16</v>
      </c>
      <c r="G288" s="173">
        <v>368.68</v>
      </c>
      <c r="H288" s="161" t="s">
        <v>730</v>
      </c>
      <c r="I288" s="161" t="s">
        <v>731</v>
      </c>
      <c r="J288" s="161" t="s">
        <v>56</v>
      </c>
      <c r="K288" s="161">
        <v>45775</v>
      </c>
      <c r="L288" s="161">
        <v>576.08000000000004</v>
      </c>
      <c r="M288" s="162"/>
    </row>
    <row r="289" spans="1:13">
      <c r="A289" s="166"/>
      <c r="B289" s="163" t="s">
        <v>2379</v>
      </c>
      <c r="C289" s="163" t="s">
        <v>733</v>
      </c>
      <c r="D289" s="170"/>
      <c r="E289" s="170"/>
      <c r="F289" s="163" t="s">
        <v>49</v>
      </c>
      <c r="G289" s="171">
        <v>3885</v>
      </c>
      <c r="H289" s="163"/>
      <c r="I289" s="163"/>
      <c r="J289" s="163" t="s">
        <v>56</v>
      </c>
      <c r="K289" s="170"/>
      <c r="L289" s="163">
        <v>3885</v>
      </c>
      <c r="M289" s="164" t="s">
        <v>345</v>
      </c>
    </row>
    <row r="290" spans="1:13">
      <c r="A290" s="167"/>
      <c r="B290" s="161" t="s">
        <v>2379</v>
      </c>
      <c r="C290" s="161" t="s">
        <v>734</v>
      </c>
      <c r="D290" s="172"/>
      <c r="E290" s="172"/>
      <c r="F290" s="161" t="s">
        <v>49</v>
      </c>
      <c r="G290" s="173">
        <v>115</v>
      </c>
      <c r="H290" s="161"/>
      <c r="I290" s="161"/>
      <c r="J290" s="161" t="s">
        <v>56</v>
      </c>
      <c r="K290" s="172"/>
      <c r="L290" s="161">
        <v>115</v>
      </c>
      <c r="M290" s="162" t="s">
        <v>345</v>
      </c>
    </row>
    <row r="291" spans="1:13">
      <c r="A291" s="166"/>
      <c r="B291" s="163" t="s">
        <v>2379</v>
      </c>
      <c r="C291" s="163" t="s">
        <v>735</v>
      </c>
      <c r="D291" s="170"/>
      <c r="E291" s="170"/>
      <c r="F291" s="163"/>
      <c r="G291" s="171">
        <v>2540</v>
      </c>
      <c r="H291" s="163"/>
      <c r="I291" s="163"/>
      <c r="J291" s="163" t="s">
        <v>56</v>
      </c>
      <c r="K291" s="170"/>
      <c r="L291" s="163">
        <v>2656</v>
      </c>
      <c r="M291" s="164"/>
    </row>
    <row r="292" spans="1:13">
      <c r="A292" s="167"/>
      <c r="B292" s="161" t="s">
        <v>2379</v>
      </c>
      <c r="C292" s="161" t="s">
        <v>736</v>
      </c>
      <c r="D292" s="172"/>
      <c r="E292" s="172"/>
      <c r="F292" s="161"/>
      <c r="G292" s="173">
        <v>555</v>
      </c>
      <c r="H292" s="161"/>
      <c r="I292" s="161"/>
      <c r="J292" s="161" t="s">
        <v>56</v>
      </c>
      <c r="K292" s="172"/>
      <c r="L292" s="161">
        <v>555</v>
      </c>
      <c r="M292" s="162"/>
    </row>
    <row r="293" spans="1:13">
      <c r="A293" s="166"/>
      <c r="B293" s="163" t="s">
        <v>2379</v>
      </c>
      <c r="C293" s="163" t="s">
        <v>737</v>
      </c>
      <c r="D293" s="170"/>
      <c r="E293" s="170"/>
      <c r="F293" s="163"/>
      <c r="G293" s="171">
        <v>3387</v>
      </c>
      <c r="H293" s="163"/>
      <c r="I293" s="163"/>
      <c r="J293" s="163" t="s">
        <v>56</v>
      </c>
      <c r="K293" s="170"/>
      <c r="L293" s="163">
        <v>3387</v>
      </c>
      <c r="M293" s="164"/>
    </row>
    <row r="294" spans="1:13">
      <c r="A294" s="167"/>
      <c r="B294" s="161" t="s">
        <v>2379</v>
      </c>
      <c r="C294" s="161" t="s">
        <v>738</v>
      </c>
      <c r="D294" s="172"/>
      <c r="E294" s="172"/>
      <c r="F294" s="161"/>
      <c r="G294" s="173">
        <v>5740</v>
      </c>
      <c r="H294" s="161"/>
      <c r="I294" s="161"/>
      <c r="J294" s="161" t="s">
        <v>56</v>
      </c>
      <c r="K294" s="172"/>
      <c r="L294" s="161">
        <v>5740</v>
      </c>
      <c r="M294" s="162"/>
    </row>
    <row r="295" spans="1:13">
      <c r="A295" s="166"/>
      <c r="B295" s="163" t="s">
        <v>2379</v>
      </c>
      <c r="C295" s="163" t="s">
        <v>739</v>
      </c>
      <c r="D295" s="170"/>
      <c r="E295" s="170"/>
      <c r="F295" s="163"/>
      <c r="G295" s="171">
        <v>7265</v>
      </c>
      <c r="H295" s="163"/>
      <c r="I295" s="163"/>
      <c r="J295" s="163" t="s">
        <v>56</v>
      </c>
      <c r="K295" s="170"/>
      <c r="L295" s="163">
        <v>7265</v>
      </c>
      <c r="M295" s="164"/>
    </row>
    <row r="296" spans="1:13">
      <c r="A296" s="167"/>
      <c r="B296" s="161" t="s">
        <v>2141</v>
      </c>
      <c r="C296" s="161" t="s">
        <v>741</v>
      </c>
      <c r="D296" s="172">
        <v>45748</v>
      </c>
      <c r="E296" s="172"/>
      <c r="F296" s="161" t="s">
        <v>16</v>
      </c>
      <c r="G296" s="173">
        <v>77</v>
      </c>
      <c r="H296" s="161" t="s">
        <v>742</v>
      </c>
      <c r="I296" s="161"/>
      <c r="J296" s="161" t="s">
        <v>150</v>
      </c>
      <c r="K296" s="161">
        <v>45776</v>
      </c>
      <c r="L296" s="161"/>
      <c r="M296" s="162"/>
    </row>
    <row r="297" spans="1:13">
      <c r="A297" s="166"/>
      <c r="B297" s="163" t="s">
        <v>2141</v>
      </c>
      <c r="C297" s="163" t="s">
        <v>743</v>
      </c>
      <c r="D297" s="170">
        <v>45870</v>
      </c>
      <c r="E297" s="170"/>
      <c r="F297" s="163" t="s">
        <v>16</v>
      </c>
      <c r="G297" s="171">
        <v>77</v>
      </c>
      <c r="H297" s="163" t="s">
        <v>744</v>
      </c>
      <c r="I297" s="163"/>
      <c r="J297" s="163" t="s">
        <v>150</v>
      </c>
      <c r="K297" s="170"/>
      <c r="L297" s="163"/>
      <c r="M297" s="164"/>
    </row>
    <row r="298" spans="1:13">
      <c r="A298" s="167" t="s">
        <v>745</v>
      </c>
      <c r="B298" s="161" t="s">
        <v>2141</v>
      </c>
      <c r="C298" s="161" t="s">
        <v>746</v>
      </c>
      <c r="D298" s="172">
        <v>45992</v>
      </c>
      <c r="E298" s="172">
        <v>46022</v>
      </c>
      <c r="F298" s="161"/>
      <c r="G298" s="173">
        <v>81</v>
      </c>
      <c r="H298" s="161"/>
      <c r="I298" s="161" t="s">
        <v>747</v>
      </c>
      <c r="J298" s="161" t="s">
        <v>150</v>
      </c>
      <c r="K298" s="161">
        <v>46022</v>
      </c>
      <c r="L298" s="161">
        <v>81</v>
      </c>
      <c r="M298" s="162" t="s">
        <v>100</v>
      </c>
    </row>
    <row r="299" spans="1:13">
      <c r="A299" s="166"/>
      <c r="B299" s="163" t="s">
        <v>3226</v>
      </c>
      <c r="C299" s="163" t="s">
        <v>749</v>
      </c>
      <c r="D299" s="170">
        <v>45698</v>
      </c>
      <c r="E299" s="170">
        <v>45698</v>
      </c>
      <c r="F299" s="163" t="s">
        <v>16</v>
      </c>
      <c r="G299" s="171">
        <v>48.5</v>
      </c>
      <c r="H299" s="163" t="s">
        <v>750</v>
      </c>
      <c r="I299" s="163" t="s">
        <v>279</v>
      </c>
      <c r="J299" s="163" t="s">
        <v>751</v>
      </c>
      <c r="K299" s="170"/>
      <c r="L299" s="163"/>
      <c r="M299" s="164"/>
    </row>
    <row r="300" spans="1:13">
      <c r="A300" s="167"/>
      <c r="B300" s="161" t="s">
        <v>2482</v>
      </c>
      <c r="C300" s="161" t="s">
        <v>753</v>
      </c>
      <c r="D300" s="172">
        <v>45873</v>
      </c>
      <c r="E300" s="172"/>
      <c r="F300" s="161"/>
      <c r="G300" s="173">
        <v>88.72</v>
      </c>
      <c r="H300" s="161" t="s">
        <v>754</v>
      </c>
      <c r="I300" s="161"/>
      <c r="J300" s="161" t="s">
        <v>215</v>
      </c>
      <c r="K300" s="172"/>
      <c r="L300" s="161"/>
      <c r="M300" s="162"/>
    </row>
    <row r="301" spans="1:13">
      <c r="A301" s="166"/>
      <c r="B301" s="163" t="s">
        <v>2163</v>
      </c>
      <c r="C301" s="163" t="s">
        <v>756</v>
      </c>
      <c r="D301" s="170">
        <v>45988</v>
      </c>
      <c r="E301" s="170">
        <v>45988</v>
      </c>
      <c r="F301" s="163"/>
      <c r="G301" s="171">
        <v>2787</v>
      </c>
      <c r="H301" s="163"/>
      <c r="I301" s="163" t="s">
        <v>757</v>
      </c>
      <c r="J301" s="163" t="s">
        <v>354</v>
      </c>
      <c r="K301" s="170"/>
      <c r="L301" s="163"/>
      <c r="M301" s="164"/>
    </row>
    <row r="302" spans="1:13">
      <c r="A302" s="167"/>
      <c r="B302" s="161" t="s">
        <v>2172</v>
      </c>
      <c r="C302" s="161" t="s">
        <v>759</v>
      </c>
      <c r="D302" s="172">
        <v>45991</v>
      </c>
      <c r="E302" s="172">
        <v>45991</v>
      </c>
      <c r="F302" s="161"/>
      <c r="G302" s="173">
        <v>139.08000000000001</v>
      </c>
      <c r="H302" s="161"/>
      <c r="I302" s="161" t="s">
        <v>760</v>
      </c>
      <c r="J302" s="161" t="s">
        <v>83</v>
      </c>
      <c r="K302" s="172"/>
      <c r="L302" s="161">
        <v>139.08000000000001</v>
      </c>
      <c r="M302" s="162"/>
    </row>
    <row r="303" spans="1:13">
      <c r="A303" s="166"/>
      <c r="B303" s="163" t="s">
        <v>2170</v>
      </c>
      <c r="C303" s="163" t="s">
        <v>762</v>
      </c>
      <c r="D303" s="170">
        <v>45290</v>
      </c>
      <c r="E303" s="170">
        <v>45392</v>
      </c>
      <c r="F303" s="163" t="s">
        <v>16</v>
      </c>
      <c r="G303" s="171">
        <v>2098.7399999999998</v>
      </c>
      <c r="H303" s="163"/>
      <c r="I303" s="163" t="s">
        <v>763</v>
      </c>
      <c r="J303" s="163" t="s">
        <v>56</v>
      </c>
      <c r="K303" s="170"/>
      <c r="L303" s="163"/>
      <c r="M303" s="164"/>
    </row>
    <row r="304" spans="1:13">
      <c r="A304" s="167"/>
      <c r="B304" s="161" t="s">
        <v>2170</v>
      </c>
      <c r="C304" s="161" t="s">
        <v>764</v>
      </c>
      <c r="D304" s="172">
        <v>45322</v>
      </c>
      <c r="E304" s="172">
        <v>45392</v>
      </c>
      <c r="F304" s="161" t="s">
        <v>16</v>
      </c>
      <c r="G304" s="173">
        <v>-2098.7400000000021</v>
      </c>
      <c r="H304" s="161" t="s">
        <v>765</v>
      </c>
      <c r="I304" s="161" t="s">
        <v>763</v>
      </c>
      <c r="J304" s="161" t="s">
        <v>56</v>
      </c>
      <c r="K304" s="161">
        <v>45817</v>
      </c>
      <c r="L304" s="161">
        <v>5000</v>
      </c>
      <c r="M304" s="162" t="s">
        <v>111</v>
      </c>
    </row>
    <row r="305" spans="1:13">
      <c r="A305" s="166"/>
      <c r="B305" s="163" t="s">
        <v>2170</v>
      </c>
      <c r="C305" s="163" t="s">
        <v>764</v>
      </c>
      <c r="D305" s="170">
        <v>45322</v>
      </c>
      <c r="E305" s="170">
        <v>45392</v>
      </c>
      <c r="F305" s="163" t="s">
        <v>49</v>
      </c>
      <c r="G305" s="171">
        <v>34596.83</v>
      </c>
      <c r="H305" s="163" t="s">
        <v>765</v>
      </c>
      <c r="I305" s="163" t="s">
        <v>763</v>
      </c>
      <c r="J305" s="163" t="s">
        <v>56</v>
      </c>
      <c r="K305" s="170"/>
      <c r="L305" s="163"/>
      <c r="M305" s="164"/>
    </row>
    <row r="306" spans="1:13">
      <c r="A306" s="167"/>
      <c r="B306" s="161" t="s">
        <v>2170</v>
      </c>
      <c r="C306" s="161" t="s">
        <v>766</v>
      </c>
      <c r="D306" s="172">
        <v>45442</v>
      </c>
      <c r="E306" s="172">
        <v>45545</v>
      </c>
      <c r="F306" s="161" t="s">
        <v>49</v>
      </c>
      <c r="G306" s="173">
        <v>761.89</v>
      </c>
      <c r="H306" s="161" t="s">
        <v>767</v>
      </c>
      <c r="I306" s="161" t="s">
        <v>337</v>
      </c>
      <c r="J306" s="161" t="s">
        <v>110</v>
      </c>
      <c r="K306" s="172"/>
      <c r="L306" s="161"/>
      <c r="M306" s="162"/>
    </row>
    <row r="307" spans="1:13">
      <c r="A307" s="166"/>
      <c r="B307" s="163" t="s">
        <v>2170</v>
      </c>
      <c r="C307" s="163" t="s">
        <v>768</v>
      </c>
      <c r="D307" s="170">
        <v>45535</v>
      </c>
      <c r="E307" s="170">
        <v>45606</v>
      </c>
      <c r="F307" s="163" t="s">
        <v>49</v>
      </c>
      <c r="G307" s="171">
        <v>7308.41</v>
      </c>
      <c r="H307" s="163" t="s">
        <v>769</v>
      </c>
      <c r="I307" s="163" t="s">
        <v>770</v>
      </c>
      <c r="J307" s="163" t="s">
        <v>110</v>
      </c>
      <c r="K307" s="163">
        <v>45728</v>
      </c>
      <c r="L307" s="163">
        <v>9794.4599999999991</v>
      </c>
      <c r="M307" s="164" t="s">
        <v>111</v>
      </c>
    </row>
    <row r="308" spans="1:13">
      <c r="A308" s="167"/>
      <c r="B308" s="161" t="s">
        <v>2170</v>
      </c>
      <c r="C308" s="161" t="s">
        <v>771</v>
      </c>
      <c r="D308" s="172">
        <v>45626</v>
      </c>
      <c r="E308" s="172">
        <v>45726</v>
      </c>
      <c r="F308" s="161" t="s">
        <v>49</v>
      </c>
      <c r="G308" s="173">
        <v>2930.44</v>
      </c>
      <c r="H308" s="161" t="s">
        <v>772</v>
      </c>
      <c r="I308" s="161" t="s">
        <v>773</v>
      </c>
      <c r="J308" s="161" t="s">
        <v>110</v>
      </c>
      <c r="K308" s="161">
        <v>45728</v>
      </c>
      <c r="L308" s="161">
        <v>9794.4599999999991</v>
      </c>
      <c r="M308" s="162" t="s">
        <v>111</v>
      </c>
    </row>
    <row r="309" spans="1:13">
      <c r="A309" s="166"/>
      <c r="B309" s="163" t="s">
        <v>2170</v>
      </c>
      <c r="C309" s="163" t="s">
        <v>774</v>
      </c>
      <c r="D309" s="170">
        <v>45645</v>
      </c>
      <c r="E309" s="170">
        <v>45726</v>
      </c>
      <c r="F309" s="163" t="s">
        <v>16</v>
      </c>
      <c r="G309" s="171">
        <v>2175.87</v>
      </c>
      <c r="H309" s="163" t="s">
        <v>775</v>
      </c>
      <c r="I309" s="163" t="s">
        <v>588</v>
      </c>
      <c r="J309" s="163" t="s">
        <v>110</v>
      </c>
      <c r="K309" s="170"/>
      <c r="L309" s="163"/>
      <c r="M309" s="164"/>
    </row>
    <row r="310" spans="1:13">
      <c r="A310" s="167"/>
      <c r="B310" s="161" t="s">
        <v>2170</v>
      </c>
      <c r="C310" s="161" t="s">
        <v>774</v>
      </c>
      <c r="D310" s="172">
        <v>45645</v>
      </c>
      <c r="E310" s="172">
        <v>45757</v>
      </c>
      <c r="F310" s="161" t="s">
        <v>49</v>
      </c>
      <c r="G310" s="173">
        <v>2175.87</v>
      </c>
      <c r="H310" s="161" t="s">
        <v>775</v>
      </c>
      <c r="I310" s="161" t="s">
        <v>588</v>
      </c>
      <c r="J310" s="161" t="s">
        <v>110</v>
      </c>
      <c r="K310" s="161">
        <v>45728</v>
      </c>
      <c r="L310" s="161">
        <v>9794.4599999999991</v>
      </c>
      <c r="M310" s="162" t="s">
        <v>111</v>
      </c>
    </row>
    <row r="311" spans="1:13">
      <c r="A311" s="166"/>
      <c r="B311" s="163" t="s">
        <v>2170</v>
      </c>
      <c r="C311" s="163" t="s">
        <v>776</v>
      </c>
      <c r="D311" s="170">
        <v>45657</v>
      </c>
      <c r="E311" s="170">
        <v>45726</v>
      </c>
      <c r="F311" s="163" t="s">
        <v>49</v>
      </c>
      <c r="G311" s="171">
        <v>4688.1499999999996</v>
      </c>
      <c r="H311" s="163" t="s">
        <v>777</v>
      </c>
      <c r="I311" s="163" t="s">
        <v>588</v>
      </c>
      <c r="J311" s="163" t="s">
        <v>110</v>
      </c>
      <c r="K311" s="170"/>
      <c r="L311" s="163"/>
      <c r="M311" s="164"/>
    </row>
    <row r="312" spans="1:13">
      <c r="A312" s="167"/>
      <c r="B312" s="161" t="s">
        <v>2170</v>
      </c>
      <c r="C312" s="161" t="s">
        <v>776</v>
      </c>
      <c r="D312" s="172">
        <v>45657</v>
      </c>
      <c r="E312" s="172">
        <v>45757</v>
      </c>
      <c r="F312" s="161" t="s">
        <v>49</v>
      </c>
      <c r="G312" s="173">
        <v>4688.16</v>
      </c>
      <c r="H312" s="161" t="s">
        <v>777</v>
      </c>
      <c r="I312" s="161" t="s">
        <v>592</v>
      </c>
      <c r="J312" s="161" t="s">
        <v>110</v>
      </c>
      <c r="K312" s="172"/>
      <c r="L312" s="161"/>
      <c r="M312" s="162"/>
    </row>
    <row r="313" spans="1:13">
      <c r="A313" s="166"/>
      <c r="B313" s="163" t="s">
        <v>2170</v>
      </c>
      <c r="C313" s="163" t="s">
        <v>778</v>
      </c>
      <c r="D313" s="170">
        <v>45688</v>
      </c>
      <c r="E313" s="170">
        <v>45757</v>
      </c>
      <c r="F313" s="163" t="s">
        <v>49</v>
      </c>
      <c r="G313" s="171">
        <v>2737.38</v>
      </c>
      <c r="H313" s="163" t="s">
        <v>779</v>
      </c>
      <c r="I313" s="163" t="s">
        <v>592</v>
      </c>
      <c r="J313" s="163" t="s">
        <v>110</v>
      </c>
      <c r="K313" s="170"/>
      <c r="L313" s="163"/>
      <c r="M313" s="164"/>
    </row>
    <row r="314" spans="1:13">
      <c r="A314" s="167"/>
      <c r="B314" s="161" t="s">
        <v>2170</v>
      </c>
      <c r="C314" s="161" t="s">
        <v>778</v>
      </c>
      <c r="D314" s="172">
        <v>45688</v>
      </c>
      <c r="E314" s="172">
        <v>45787</v>
      </c>
      <c r="F314" s="161" t="s">
        <v>16</v>
      </c>
      <c r="G314" s="173">
        <v>2737.37</v>
      </c>
      <c r="H314" s="161" t="s">
        <v>779</v>
      </c>
      <c r="I314" s="161" t="s">
        <v>592</v>
      </c>
      <c r="J314" s="161" t="s">
        <v>56</v>
      </c>
      <c r="K314" s="161">
        <v>45792</v>
      </c>
      <c r="L314" s="161">
        <v>79.13</v>
      </c>
      <c r="M314" s="162" t="s">
        <v>345</v>
      </c>
    </row>
    <row r="315" spans="1:13">
      <c r="A315" s="166" t="s">
        <v>780</v>
      </c>
      <c r="B315" s="163" t="s">
        <v>2170</v>
      </c>
      <c r="C315" s="163" t="s">
        <v>781</v>
      </c>
      <c r="D315" s="170"/>
      <c r="E315" s="170"/>
      <c r="F315" s="163" t="s">
        <v>49</v>
      </c>
      <c r="G315" s="171">
        <v>48000</v>
      </c>
      <c r="H315" s="163"/>
      <c r="I315" s="163" t="s">
        <v>782</v>
      </c>
      <c r="J315" s="163" t="s">
        <v>783</v>
      </c>
      <c r="K315" s="170"/>
      <c r="L315" s="163">
        <v>48000</v>
      </c>
      <c r="M315" s="164" t="s">
        <v>784</v>
      </c>
    </row>
    <row r="316" spans="1:13">
      <c r="A316" s="167" t="s">
        <v>785</v>
      </c>
      <c r="B316" s="161" t="s">
        <v>2170</v>
      </c>
      <c r="C316" s="161" t="s">
        <v>786</v>
      </c>
      <c r="D316" s="172">
        <v>45990</v>
      </c>
      <c r="E316" s="172">
        <v>46063</v>
      </c>
      <c r="F316" s="161"/>
      <c r="G316" s="173">
        <v>3852.15</v>
      </c>
      <c r="H316" s="161"/>
      <c r="I316" s="161" t="s">
        <v>787</v>
      </c>
      <c r="J316" s="161" t="s">
        <v>374</v>
      </c>
      <c r="K316" s="161">
        <v>46063</v>
      </c>
      <c r="L316" s="161">
        <v>3852.15</v>
      </c>
      <c r="M316" s="162"/>
    </row>
    <row r="317" spans="1:13">
      <c r="A317" s="166" t="s">
        <v>788</v>
      </c>
      <c r="B317" s="163" t="s">
        <v>2170</v>
      </c>
      <c r="C317" s="163" t="s">
        <v>789</v>
      </c>
      <c r="D317" s="170">
        <v>45990</v>
      </c>
      <c r="E317" s="170">
        <v>46091</v>
      </c>
      <c r="F317" s="163"/>
      <c r="G317" s="171">
        <v>3852.15</v>
      </c>
      <c r="H317" s="163"/>
      <c r="I317" s="163" t="s">
        <v>790</v>
      </c>
      <c r="J317" s="163" t="s">
        <v>374</v>
      </c>
      <c r="K317" s="163">
        <v>46091</v>
      </c>
      <c r="L317" s="163">
        <v>3852.15</v>
      </c>
      <c r="M317" s="164"/>
    </row>
    <row r="318" spans="1:13">
      <c r="A318" s="167"/>
      <c r="B318" s="161" t="s">
        <v>3227</v>
      </c>
      <c r="C318" s="161" t="s">
        <v>792</v>
      </c>
      <c r="D318" s="172">
        <v>45777</v>
      </c>
      <c r="E318" s="172">
        <v>45777</v>
      </c>
      <c r="F318" s="161" t="s">
        <v>16</v>
      </c>
      <c r="G318" s="173">
        <v>79.13</v>
      </c>
      <c r="H318" s="161" t="s">
        <v>793</v>
      </c>
      <c r="I318" s="161"/>
      <c r="J318" s="161" t="s">
        <v>794</v>
      </c>
      <c r="K318" s="161">
        <v>45709</v>
      </c>
      <c r="L318" s="161"/>
      <c r="M318" s="162" t="s">
        <v>111</v>
      </c>
    </row>
    <row r="319" spans="1:13">
      <c r="A319" s="166"/>
      <c r="B319" s="163" t="s">
        <v>3228</v>
      </c>
      <c r="C319" s="163" t="s">
        <v>796</v>
      </c>
      <c r="D319" s="170">
        <v>45713</v>
      </c>
      <c r="E319" s="170">
        <v>45713</v>
      </c>
      <c r="F319" s="163" t="s">
        <v>16</v>
      </c>
      <c r="G319" s="171">
        <v>737.47</v>
      </c>
      <c r="H319" s="163" t="s">
        <v>797</v>
      </c>
      <c r="I319" s="163" t="s">
        <v>798</v>
      </c>
      <c r="J319" s="163" t="s">
        <v>66</v>
      </c>
      <c r="K319" s="170"/>
      <c r="L319" s="163"/>
      <c r="M319" s="164"/>
    </row>
    <row r="320" spans="1:13">
      <c r="A320" s="167"/>
      <c r="B320" s="161" t="s">
        <v>3228</v>
      </c>
      <c r="C320" s="161" t="s">
        <v>796</v>
      </c>
      <c r="D320" s="172">
        <v>45713</v>
      </c>
      <c r="E320" s="172">
        <v>45732</v>
      </c>
      <c r="F320" s="161"/>
      <c r="G320" s="173">
        <v>138</v>
      </c>
      <c r="H320" s="161" t="s">
        <v>797</v>
      </c>
      <c r="I320" s="161" t="s">
        <v>798</v>
      </c>
      <c r="J320" s="161" t="s">
        <v>799</v>
      </c>
      <c r="K320" s="172"/>
      <c r="L320" s="161"/>
      <c r="M320" s="162"/>
    </row>
    <row r="321" spans="1:13">
      <c r="A321" s="166" t="s">
        <v>13</v>
      </c>
      <c r="B321" s="163" t="s">
        <v>3229</v>
      </c>
      <c r="C321" s="163" t="s">
        <v>801</v>
      </c>
      <c r="D321" s="170">
        <v>45808</v>
      </c>
      <c r="E321" s="170">
        <v>45869</v>
      </c>
      <c r="F321" s="163" t="s">
        <v>49</v>
      </c>
      <c r="G321" s="171">
        <v>1944.92</v>
      </c>
      <c r="H321" s="163" t="s">
        <v>802</v>
      </c>
      <c r="I321" s="163"/>
      <c r="J321" s="163" t="s">
        <v>75</v>
      </c>
      <c r="K321" s="163">
        <v>45945</v>
      </c>
      <c r="L321" s="163">
        <v>1100</v>
      </c>
      <c r="M321" s="164" t="s">
        <v>345</v>
      </c>
    </row>
    <row r="322" spans="1:13">
      <c r="A322" s="167" t="s">
        <v>13</v>
      </c>
      <c r="B322" s="161" t="s">
        <v>3229</v>
      </c>
      <c r="C322" s="161" t="s">
        <v>801</v>
      </c>
      <c r="D322" s="172">
        <v>45808</v>
      </c>
      <c r="E322" s="172">
        <v>45869</v>
      </c>
      <c r="F322" s="161" t="s">
        <v>49</v>
      </c>
      <c r="G322" s="173">
        <v>844.92000000000007</v>
      </c>
      <c r="H322" s="161"/>
      <c r="I322" s="161"/>
      <c r="J322" s="161" t="s">
        <v>83</v>
      </c>
      <c r="K322" s="161">
        <v>45960</v>
      </c>
      <c r="L322" s="161">
        <v>844.92</v>
      </c>
      <c r="M322" s="162" t="s">
        <v>246</v>
      </c>
    </row>
    <row r="323" spans="1:13">
      <c r="A323" s="166">
        <v>2024</v>
      </c>
      <c r="B323" s="163" t="s">
        <v>3229</v>
      </c>
      <c r="C323" s="163" t="s">
        <v>803</v>
      </c>
      <c r="D323" s="170">
        <v>45626</v>
      </c>
      <c r="E323" s="170">
        <v>45698</v>
      </c>
      <c r="F323" s="163" t="s">
        <v>16</v>
      </c>
      <c r="G323" s="171">
        <v>513.34</v>
      </c>
      <c r="H323" s="163" t="s">
        <v>804</v>
      </c>
      <c r="I323" s="163"/>
      <c r="J323" s="163" t="s">
        <v>110</v>
      </c>
      <c r="K323" s="163">
        <v>45709</v>
      </c>
      <c r="L323" s="163">
        <v>513.34</v>
      </c>
      <c r="M323" s="164" t="s">
        <v>111</v>
      </c>
    </row>
    <row r="324" spans="1:13">
      <c r="A324" s="167" t="s">
        <v>13</v>
      </c>
      <c r="B324" s="161" t="s">
        <v>3229</v>
      </c>
      <c r="C324" s="161" t="s">
        <v>805</v>
      </c>
      <c r="D324" s="172">
        <v>45899</v>
      </c>
      <c r="E324" s="172">
        <v>45899</v>
      </c>
      <c r="F324" s="161" t="s">
        <v>49</v>
      </c>
      <c r="G324" s="173">
        <v>331.46</v>
      </c>
      <c r="H324" s="161" t="s">
        <v>806</v>
      </c>
      <c r="I324" s="161"/>
      <c r="J324" s="161" t="s">
        <v>110</v>
      </c>
      <c r="K324" s="161">
        <v>45960</v>
      </c>
      <c r="L324" s="161">
        <v>331.46</v>
      </c>
      <c r="M324" s="162" t="s">
        <v>19</v>
      </c>
    </row>
    <row r="325" spans="1:13">
      <c r="A325" s="166">
        <v>2024</v>
      </c>
      <c r="B325" s="163" t="s">
        <v>3230</v>
      </c>
      <c r="C325" s="163" t="s">
        <v>808</v>
      </c>
      <c r="D325" s="170">
        <v>45457</v>
      </c>
      <c r="E325" s="170">
        <v>45536</v>
      </c>
      <c r="F325" s="163" t="s">
        <v>16</v>
      </c>
      <c r="G325" s="171">
        <v>292.8</v>
      </c>
      <c r="H325" s="163"/>
      <c r="I325" s="163" t="s">
        <v>69</v>
      </c>
      <c r="J325" s="163" t="s">
        <v>354</v>
      </c>
      <c r="K325" s="163">
        <v>45950</v>
      </c>
      <c r="L325" s="163"/>
      <c r="M325" s="164" t="s">
        <v>809</v>
      </c>
    </row>
    <row r="326" spans="1:13">
      <c r="A326" s="167">
        <v>2024</v>
      </c>
      <c r="B326" s="161" t="s">
        <v>3230</v>
      </c>
      <c r="C326" s="161" t="s">
        <v>810</v>
      </c>
      <c r="D326" s="172">
        <v>45433</v>
      </c>
      <c r="E326" s="172">
        <v>45514</v>
      </c>
      <c r="F326" s="161" t="s">
        <v>16</v>
      </c>
      <c r="G326" s="173">
        <v>474.96</v>
      </c>
      <c r="H326" s="161"/>
      <c r="I326" s="161" t="s">
        <v>69</v>
      </c>
      <c r="J326" s="161" t="s">
        <v>354</v>
      </c>
      <c r="K326" s="161">
        <v>45950</v>
      </c>
      <c r="L326" s="161"/>
      <c r="M326" s="162" t="s">
        <v>809</v>
      </c>
    </row>
    <row r="327" spans="1:13">
      <c r="A327" s="166" t="s">
        <v>13</v>
      </c>
      <c r="B327" s="163" t="s">
        <v>2173</v>
      </c>
      <c r="C327" s="163" t="s">
        <v>812</v>
      </c>
      <c r="D327" s="170">
        <v>45968</v>
      </c>
      <c r="E327" s="170">
        <v>45968</v>
      </c>
      <c r="F327" s="163" t="s">
        <v>49</v>
      </c>
      <c r="G327" s="171">
        <v>137.6</v>
      </c>
      <c r="H327" s="163"/>
      <c r="I327" s="163" t="s">
        <v>813</v>
      </c>
      <c r="J327" s="163" t="s">
        <v>422</v>
      </c>
      <c r="K327" s="163">
        <v>45968</v>
      </c>
      <c r="L327" s="163">
        <v>137.6</v>
      </c>
      <c r="M327" s="164" t="s">
        <v>47</v>
      </c>
    </row>
    <row r="328" spans="1:13">
      <c r="A328" s="167" t="s">
        <v>13</v>
      </c>
      <c r="B328" s="161" t="s">
        <v>2173</v>
      </c>
      <c r="C328" s="161" t="s">
        <v>814</v>
      </c>
      <c r="D328" s="172">
        <v>45982</v>
      </c>
      <c r="E328" s="172">
        <v>45982</v>
      </c>
      <c r="F328" s="161" t="s">
        <v>49</v>
      </c>
      <c r="G328" s="173">
        <v>53.7</v>
      </c>
      <c r="H328" s="161"/>
      <c r="I328" s="161" t="s">
        <v>813</v>
      </c>
      <c r="J328" s="161" t="s">
        <v>422</v>
      </c>
      <c r="K328" s="161">
        <v>45982</v>
      </c>
      <c r="L328" s="161">
        <v>53.7</v>
      </c>
      <c r="M328" s="162" t="s">
        <v>47</v>
      </c>
    </row>
    <row r="329" spans="1:13">
      <c r="A329" s="166" t="s">
        <v>13</v>
      </c>
      <c r="B329" s="163" t="s">
        <v>2177</v>
      </c>
      <c r="C329" s="163" t="s">
        <v>816</v>
      </c>
      <c r="D329" s="170">
        <v>45936</v>
      </c>
      <c r="E329" s="170">
        <v>45936</v>
      </c>
      <c r="F329" s="163" t="s">
        <v>49</v>
      </c>
      <c r="G329" s="171">
        <v>6000</v>
      </c>
      <c r="H329" s="163" t="s">
        <v>817</v>
      </c>
      <c r="I329" s="163" t="s">
        <v>818</v>
      </c>
      <c r="J329" s="163" t="s">
        <v>56</v>
      </c>
      <c r="K329" s="163">
        <v>45945</v>
      </c>
      <c r="L329" s="163">
        <v>6000</v>
      </c>
      <c r="M329" s="164" t="s">
        <v>819</v>
      </c>
    </row>
    <row r="330" spans="1:13">
      <c r="A330" s="167" t="s">
        <v>13</v>
      </c>
      <c r="B330" s="161" t="s">
        <v>2177</v>
      </c>
      <c r="C330" s="161" t="s">
        <v>816</v>
      </c>
      <c r="D330" s="172">
        <v>45936</v>
      </c>
      <c r="E330" s="172">
        <v>45936</v>
      </c>
      <c r="F330" s="161" t="s">
        <v>49</v>
      </c>
      <c r="G330" s="173">
        <v>4000</v>
      </c>
      <c r="H330" s="161"/>
      <c r="I330" s="161"/>
      <c r="J330" s="161" t="s">
        <v>83</v>
      </c>
      <c r="K330" s="161">
        <v>45959</v>
      </c>
      <c r="L330" s="161">
        <v>4000</v>
      </c>
      <c r="M330" s="162" t="s">
        <v>313</v>
      </c>
    </row>
    <row r="331" spans="1:13">
      <c r="A331" s="166" t="s">
        <v>13</v>
      </c>
      <c r="B331" s="163" t="s">
        <v>2177</v>
      </c>
      <c r="C331" s="163" t="s">
        <v>820</v>
      </c>
      <c r="D331" s="170">
        <v>45979</v>
      </c>
      <c r="E331" s="170">
        <v>45979</v>
      </c>
      <c r="F331" s="163"/>
      <c r="G331" s="171">
        <v>20000</v>
      </c>
      <c r="H331" s="163"/>
      <c r="I331" s="163" t="s">
        <v>787</v>
      </c>
      <c r="J331" s="163" t="s">
        <v>83</v>
      </c>
      <c r="K331" s="163">
        <v>45989</v>
      </c>
      <c r="L331" s="163">
        <v>10000</v>
      </c>
      <c r="M331" s="164" t="s">
        <v>313</v>
      </c>
    </row>
    <row r="332" spans="1:13">
      <c r="A332" s="167" t="s">
        <v>13</v>
      </c>
      <c r="B332" s="161" t="s">
        <v>2177</v>
      </c>
      <c r="C332" s="161" t="s">
        <v>820</v>
      </c>
      <c r="D332" s="172">
        <v>45979</v>
      </c>
      <c r="E332" s="172"/>
      <c r="F332" s="161"/>
      <c r="G332" s="173">
        <v>10000</v>
      </c>
      <c r="H332" s="161"/>
      <c r="I332" s="161" t="s">
        <v>821</v>
      </c>
      <c r="J332" s="161"/>
      <c r="K332" s="172"/>
      <c r="L332" s="161"/>
      <c r="M332" s="162"/>
    </row>
    <row r="333" spans="1:13">
      <c r="A333" s="166" t="s">
        <v>13</v>
      </c>
      <c r="B333" s="163" t="s">
        <v>2384</v>
      </c>
      <c r="C333" s="163" t="s">
        <v>823</v>
      </c>
      <c r="D333" s="170">
        <v>45957</v>
      </c>
      <c r="E333" s="170">
        <v>45957</v>
      </c>
      <c r="F333" s="163" t="s">
        <v>49</v>
      </c>
      <c r="G333" s="171">
        <v>109.56</v>
      </c>
      <c r="H333" s="163"/>
      <c r="I333" s="163" t="s">
        <v>824</v>
      </c>
      <c r="J333" s="163" t="s">
        <v>47</v>
      </c>
      <c r="K333" s="163" t="s">
        <v>28</v>
      </c>
      <c r="L333" s="163">
        <v>109.56</v>
      </c>
      <c r="M333" s="164" t="s">
        <v>825</v>
      </c>
    </row>
    <row r="334" spans="1:13">
      <c r="A334" s="167" t="s">
        <v>13</v>
      </c>
      <c r="B334" s="161" t="s">
        <v>2183</v>
      </c>
      <c r="C334" s="161" t="s">
        <v>335</v>
      </c>
      <c r="D334" s="172">
        <v>45968</v>
      </c>
      <c r="E334" s="172">
        <v>45968</v>
      </c>
      <c r="F334" s="161" t="s">
        <v>49</v>
      </c>
      <c r="G334" s="173">
        <v>9000</v>
      </c>
      <c r="H334" s="161"/>
      <c r="I334" s="161" t="s">
        <v>2184</v>
      </c>
      <c r="J334" s="161" t="s">
        <v>83</v>
      </c>
      <c r="K334" s="172"/>
      <c r="L334" s="161"/>
      <c r="M334" s="162" t="s">
        <v>3231</v>
      </c>
    </row>
    <row r="335" spans="1:13">
      <c r="A335" s="166" t="s">
        <v>13</v>
      </c>
      <c r="B335" s="163" t="s">
        <v>2183</v>
      </c>
      <c r="C335" s="163" t="s">
        <v>335</v>
      </c>
      <c r="D335" s="170">
        <v>45968</v>
      </c>
      <c r="E335" s="170">
        <v>45968</v>
      </c>
      <c r="F335" s="163" t="s">
        <v>49</v>
      </c>
      <c r="G335" s="171">
        <v>4500</v>
      </c>
      <c r="H335" s="163"/>
      <c r="I335" s="163" t="s">
        <v>827</v>
      </c>
      <c r="J335" s="163" t="s">
        <v>83</v>
      </c>
      <c r="K335" s="163">
        <v>45972</v>
      </c>
      <c r="L335" s="163">
        <v>4500</v>
      </c>
      <c r="M335" s="164" t="s">
        <v>326</v>
      </c>
    </row>
    <row r="336" spans="1:13">
      <c r="A336" s="167" t="s">
        <v>13</v>
      </c>
      <c r="B336" s="161" t="s">
        <v>2183</v>
      </c>
      <c r="C336" s="161" t="s">
        <v>335</v>
      </c>
      <c r="D336" s="172">
        <v>45968</v>
      </c>
      <c r="E336" s="172">
        <v>45968</v>
      </c>
      <c r="F336" s="161" t="s">
        <v>49</v>
      </c>
      <c r="G336" s="173">
        <v>4500</v>
      </c>
      <c r="H336" s="161"/>
      <c r="I336" s="161" t="s">
        <v>828</v>
      </c>
      <c r="J336" s="161" t="s">
        <v>83</v>
      </c>
      <c r="K336" s="161">
        <v>45996</v>
      </c>
      <c r="L336" s="161">
        <v>4500</v>
      </c>
      <c r="M336" s="162" t="s">
        <v>19</v>
      </c>
    </row>
    <row r="337" spans="1:13">
      <c r="A337" s="166"/>
      <c r="B337" s="163" t="s">
        <v>2186</v>
      </c>
      <c r="C337" s="163" t="s">
        <v>830</v>
      </c>
      <c r="D337" s="170">
        <v>45657</v>
      </c>
      <c r="E337" s="170">
        <v>45726</v>
      </c>
      <c r="F337" s="163"/>
      <c r="G337" s="171">
        <v>3575</v>
      </c>
      <c r="H337" s="163" t="s">
        <v>831</v>
      </c>
      <c r="I337" s="163" t="s">
        <v>87</v>
      </c>
      <c r="J337" s="163" t="s">
        <v>110</v>
      </c>
      <c r="K337" s="170"/>
      <c r="L337" s="163"/>
      <c r="M337" s="164"/>
    </row>
    <row r="338" spans="1:13">
      <c r="A338" s="167"/>
      <c r="B338" s="161" t="s">
        <v>2180</v>
      </c>
      <c r="C338" s="161" t="s">
        <v>833</v>
      </c>
      <c r="D338" s="172">
        <v>45715</v>
      </c>
      <c r="E338" s="172">
        <v>45709</v>
      </c>
      <c r="F338" s="161" t="s">
        <v>16</v>
      </c>
      <c r="G338" s="173">
        <v>10000</v>
      </c>
      <c r="H338" s="161" t="s">
        <v>834</v>
      </c>
      <c r="I338" s="161" t="s">
        <v>55</v>
      </c>
      <c r="J338" s="161" t="s">
        <v>56</v>
      </c>
      <c r="K338" s="161">
        <v>45709</v>
      </c>
      <c r="L338" s="161">
        <v>10000</v>
      </c>
      <c r="M338" s="162" t="s">
        <v>111</v>
      </c>
    </row>
    <row r="339" spans="1:13">
      <c r="A339" s="166"/>
      <c r="B339" s="163" t="s">
        <v>2180</v>
      </c>
      <c r="C339" s="163" t="s">
        <v>835</v>
      </c>
      <c r="D339" s="170">
        <v>45991</v>
      </c>
      <c r="E339" s="170">
        <v>45991</v>
      </c>
      <c r="F339" s="163" t="s">
        <v>49</v>
      </c>
      <c r="G339" s="171">
        <v>10000</v>
      </c>
      <c r="H339" s="163"/>
      <c r="I339" s="163" t="s">
        <v>836</v>
      </c>
      <c r="J339" s="163" t="s">
        <v>56</v>
      </c>
      <c r="K339" s="163">
        <v>45989</v>
      </c>
      <c r="L339" s="163">
        <v>10000</v>
      </c>
      <c r="M339" s="164" t="s">
        <v>19</v>
      </c>
    </row>
    <row r="340" spans="1:13">
      <c r="A340" s="167"/>
      <c r="B340" s="161" t="s">
        <v>2451</v>
      </c>
      <c r="C340" s="161" t="s">
        <v>838</v>
      </c>
      <c r="D340" s="172">
        <v>45667</v>
      </c>
      <c r="E340" s="172"/>
      <c r="F340" s="161" t="s">
        <v>16</v>
      </c>
      <c r="G340" s="173">
        <v>3459.2</v>
      </c>
      <c r="H340" s="161" t="s">
        <v>839</v>
      </c>
      <c r="I340" s="161" t="s">
        <v>840</v>
      </c>
      <c r="J340" s="161" t="s">
        <v>66</v>
      </c>
      <c r="K340" s="161">
        <v>45684</v>
      </c>
      <c r="L340" s="161">
        <v>3459.2</v>
      </c>
      <c r="M340" s="162" t="s">
        <v>111</v>
      </c>
    </row>
    <row r="341" spans="1:13">
      <c r="A341" s="166"/>
      <c r="B341" s="163" t="s">
        <v>2451</v>
      </c>
      <c r="C341" s="163" t="s">
        <v>838</v>
      </c>
      <c r="D341" s="170">
        <v>45667</v>
      </c>
      <c r="E341" s="170">
        <v>45704</v>
      </c>
      <c r="F341" s="163" t="s">
        <v>16</v>
      </c>
      <c r="G341" s="171">
        <v>640</v>
      </c>
      <c r="H341" s="163" t="s">
        <v>839</v>
      </c>
      <c r="I341" s="163" t="s">
        <v>840</v>
      </c>
      <c r="J341" s="163" t="s">
        <v>799</v>
      </c>
      <c r="K341" s="170"/>
      <c r="L341" s="163"/>
      <c r="M341" s="164"/>
    </row>
    <row r="342" spans="1:13">
      <c r="A342" s="167"/>
      <c r="B342" s="161" t="s">
        <v>3232</v>
      </c>
      <c r="C342" s="161" t="s">
        <v>842</v>
      </c>
      <c r="D342" s="172">
        <v>45825</v>
      </c>
      <c r="E342" s="172"/>
      <c r="F342" s="161" t="s">
        <v>16</v>
      </c>
      <c r="G342" s="173">
        <v>196.24</v>
      </c>
      <c r="H342" s="161" t="s">
        <v>843</v>
      </c>
      <c r="I342" s="161" t="s">
        <v>844</v>
      </c>
      <c r="J342" s="161" t="s">
        <v>66</v>
      </c>
      <c r="K342" s="161">
        <v>45817</v>
      </c>
      <c r="L342" s="161">
        <v>196.24</v>
      </c>
      <c r="M342" s="162" t="s">
        <v>111</v>
      </c>
    </row>
    <row r="343" spans="1:13">
      <c r="A343" s="166"/>
      <c r="B343" s="163" t="s">
        <v>3232</v>
      </c>
      <c r="C343" s="163" t="s">
        <v>842</v>
      </c>
      <c r="D343" s="170">
        <v>45825</v>
      </c>
      <c r="E343" s="170">
        <v>45854</v>
      </c>
      <c r="F343" s="163"/>
      <c r="G343" s="171">
        <v>36.72</v>
      </c>
      <c r="H343" s="163" t="s">
        <v>843</v>
      </c>
      <c r="I343" s="163" t="s">
        <v>844</v>
      </c>
      <c r="J343" s="163" t="s">
        <v>799</v>
      </c>
      <c r="K343" s="170"/>
      <c r="L343" s="163"/>
      <c r="M343" s="164"/>
    </row>
    <row r="344" spans="1:13">
      <c r="A344" s="167"/>
      <c r="B344" s="161" t="s">
        <v>3233</v>
      </c>
      <c r="C344" s="161" t="s">
        <v>314</v>
      </c>
      <c r="D344" s="172">
        <v>45684</v>
      </c>
      <c r="E344" s="172"/>
      <c r="F344" s="161" t="s">
        <v>16</v>
      </c>
      <c r="G344" s="173">
        <v>1153.4000000000001</v>
      </c>
      <c r="H344" s="161" t="s">
        <v>846</v>
      </c>
      <c r="I344" s="161" t="s">
        <v>847</v>
      </c>
      <c r="J344" s="161"/>
      <c r="K344" s="161">
        <v>45385</v>
      </c>
      <c r="L344" s="161"/>
      <c r="M344" s="162"/>
    </row>
    <row r="345" spans="1:13">
      <c r="A345" s="166"/>
      <c r="B345" s="163" t="s">
        <v>3233</v>
      </c>
      <c r="C345" s="163" t="s">
        <v>848</v>
      </c>
      <c r="D345" s="170">
        <v>45716</v>
      </c>
      <c r="E345" s="170">
        <v>45747</v>
      </c>
      <c r="F345" s="163" t="s">
        <v>16</v>
      </c>
      <c r="G345" s="171">
        <v>1812.44</v>
      </c>
      <c r="H345" s="163" t="s">
        <v>849</v>
      </c>
      <c r="I345" s="163" t="s">
        <v>847</v>
      </c>
      <c r="J345" s="163" t="s">
        <v>56</v>
      </c>
      <c r="K345" s="170"/>
      <c r="L345" s="163"/>
      <c r="M345" s="164"/>
    </row>
    <row r="346" spans="1:13">
      <c r="A346" s="167" t="s">
        <v>13</v>
      </c>
      <c r="B346" s="161" t="s">
        <v>3233</v>
      </c>
      <c r="C346" s="161" t="s">
        <v>850</v>
      </c>
      <c r="D346" s="172">
        <v>45758</v>
      </c>
      <c r="E346" s="172">
        <v>45808</v>
      </c>
      <c r="F346" s="161" t="s">
        <v>16</v>
      </c>
      <c r="G346" s="173">
        <v>1162.73</v>
      </c>
      <c r="H346" s="161" t="s">
        <v>851</v>
      </c>
      <c r="I346" s="161" t="s">
        <v>847</v>
      </c>
      <c r="J346" s="161" t="s">
        <v>110</v>
      </c>
      <c r="K346" s="161">
        <v>45945</v>
      </c>
      <c r="L346" s="161">
        <v>1162</v>
      </c>
      <c r="M346" s="162" t="s">
        <v>819</v>
      </c>
    </row>
    <row r="347" spans="1:13">
      <c r="A347" s="166"/>
      <c r="B347" s="163" t="s">
        <v>3234</v>
      </c>
      <c r="C347" s="163" t="s">
        <v>853</v>
      </c>
      <c r="D347" s="170">
        <v>45897</v>
      </c>
      <c r="E347" s="170">
        <v>45897</v>
      </c>
      <c r="F347" s="163" t="s">
        <v>16</v>
      </c>
      <c r="G347" s="171">
        <v>310</v>
      </c>
      <c r="H347" s="163" t="s">
        <v>854</v>
      </c>
      <c r="I347" s="163" t="s">
        <v>855</v>
      </c>
      <c r="J347" s="163"/>
      <c r="K347" s="170"/>
      <c r="L347" s="163"/>
      <c r="M347" s="164"/>
    </row>
    <row r="348" spans="1:13">
      <c r="A348" s="167"/>
      <c r="B348" s="161" t="s">
        <v>2464</v>
      </c>
      <c r="C348" s="161" t="s">
        <v>857</v>
      </c>
      <c r="D348" s="172">
        <v>45742</v>
      </c>
      <c r="E348" s="172">
        <v>45742</v>
      </c>
      <c r="F348" s="161" t="s">
        <v>16</v>
      </c>
      <c r="G348" s="173">
        <v>11.61</v>
      </c>
      <c r="H348" s="161" t="s">
        <v>858</v>
      </c>
      <c r="I348" s="161" t="s">
        <v>349</v>
      </c>
      <c r="J348" s="161" t="s">
        <v>215</v>
      </c>
      <c r="K348" s="172"/>
      <c r="L348" s="161"/>
      <c r="M348" s="162"/>
    </row>
    <row r="349" spans="1:13">
      <c r="A349" s="166"/>
      <c r="B349" s="163" t="s">
        <v>2480</v>
      </c>
      <c r="C349" s="163" t="s">
        <v>860</v>
      </c>
      <c r="D349" s="170">
        <v>45835</v>
      </c>
      <c r="E349" s="170"/>
      <c r="F349" s="163" t="s">
        <v>16</v>
      </c>
      <c r="G349" s="171">
        <v>42.6</v>
      </c>
      <c r="H349" s="163" t="s">
        <v>861</v>
      </c>
      <c r="I349" s="163" t="s">
        <v>457</v>
      </c>
      <c r="J349" s="163" t="s">
        <v>794</v>
      </c>
      <c r="K349" s="170"/>
      <c r="L349" s="163"/>
      <c r="M349" s="164" t="s">
        <v>862</v>
      </c>
    </row>
    <row r="350" spans="1:13">
      <c r="A350" s="167"/>
      <c r="B350" s="161" t="s">
        <v>2194</v>
      </c>
      <c r="C350" s="161" t="s">
        <v>864</v>
      </c>
      <c r="D350" s="172">
        <v>45699</v>
      </c>
      <c r="E350" s="172">
        <v>45699</v>
      </c>
      <c r="F350" s="161" t="s">
        <v>16</v>
      </c>
      <c r="G350" s="173">
        <v>488</v>
      </c>
      <c r="H350" s="161" t="s">
        <v>865</v>
      </c>
      <c r="I350" s="161" t="s">
        <v>866</v>
      </c>
      <c r="J350" s="161" t="s">
        <v>66</v>
      </c>
      <c r="K350" s="172"/>
      <c r="L350" s="161"/>
      <c r="M350" s="162" t="s">
        <v>862</v>
      </c>
    </row>
    <row r="351" spans="1:13">
      <c r="A351" s="166"/>
      <c r="B351" s="163" t="s">
        <v>2194</v>
      </c>
      <c r="C351" s="163" t="s">
        <v>867</v>
      </c>
      <c r="D351" s="170">
        <v>45700</v>
      </c>
      <c r="E351" s="170"/>
      <c r="F351" s="163" t="s">
        <v>16</v>
      </c>
      <c r="G351" s="171">
        <v>488</v>
      </c>
      <c r="H351" s="163" t="s">
        <v>868</v>
      </c>
      <c r="I351" s="163" t="s">
        <v>866</v>
      </c>
      <c r="J351" s="163" t="s">
        <v>66</v>
      </c>
      <c r="K351" s="170"/>
      <c r="L351" s="163"/>
      <c r="M351" s="164" t="s">
        <v>862</v>
      </c>
    </row>
    <row r="352" spans="1:13">
      <c r="A352" s="167"/>
      <c r="B352" s="161" t="s">
        <v>2194</v>
      </c>
      <c r="C352" s="161" t="s">
        <v>869</v>
      </c>
      <c r="D352" s="172">
        <v>45762</v>
      </c>
      <c r="E352" s="172"/>
      <c r="F352" s="161" t="s">
        <v>16</v>
      </c>
      <c r="G352" s="173">
        <v>-8000</v>
      </c>
      <c r="H352" s="161" t="s">
        <v>870</v>
      </c>
      <c r="I352" s="161" t="s">
        <v>871</v>
      </c>
      <c r="J352" s="161" t="s">
        <v>66</v>
      </c>
      <c r="K352" s="172"/>
      <c r="L352" s="161"/>
      <c r="M352" s="162"/>
    </row>
    <row r="353" spans="1:13">
      <c r="A353" s="166"/>
      <c r="B353" s="163" t="s">
        <v>2194</v>
      </c>
      <c r="C353" s="163" t="s">
        <v>872</v>
      </c>
      <c r="D353" s="170">
        <v>46007</v>
      </c>
      <c r="E353" s="170">
        <v>46007</v>
      </c>
      <c r="F353" s="163" t="s">
        <v>49</v>
      </c>
      <c r="G353" s="171">
        <v>1858.75</v>
      </c>
      <c r="H353" s="163"/>
      <c r="I353" s="163" t="s">
        <v>873</v>
      </c>
      <c r="J353" s="163" t="s">
        <v>83</v>
      </c>
      <c r="K353" s="163">
        <v>46007</v>
      </c>
      <c r="L353" s="163">
        <v>1858.75</v>
      </c>
      <c r="M353" s="164" t="s">
        <v>313</v>
      </c>
    </row>
    <row r="354" spans="1:13">
      <c r="A354" s="167"/>
      <c r="B354" s="161" t="s">
        <v>3235</v>
      </c>
      <c r="C354" s="161" t="s">
        <v>875</v>
      </c>
      <c r="D354" s="172">
        <v>45770</v>
      </c>
      <c r="E354" s="172"/>
      <c r="F354" s="161" t="s">
        <v>16</v>
      </c>
      <c r="G354" s="173">
        <v>9.69</v>
      </c>
      <c r="H354" s="161" t="s">
        <v>876</v>
      </c>
      <c r="I354" s="161"/>
      <c r="J354" s="161" t="s">
        <v>24</v>
      </c>
      <c r="K354" s="172"/>
      <c r="L354" s="161"/>
      <c r="M354" s="162"/>
    </row>
    <row r="355" spans="1:13">
      <c r="A355" s="166" t="s">
        <v>13</v>
      </c>
      <c r="B355" s="163" t="s">
        <v>2196</v>
      </c>
      <c r="C355" s="163" t="s">
        <v>878</v>
      </c>
      <c r="D355" s="170">
        <v>45969</v>
      </c>
      <c r="E355" s="170">
        <v>45983</v>
      </c>
      <c r="F355" s="163" t="s">
        <v>49</v>
      </c>
      <c r="G355" s="171">
        <v>2837</v>
      </c>
      <c r="H355" s="163"/>
      <c r="I355" s="163" t="s">
        <v>879</v>
      </c>
      <c r="J355" s="163" t="s">
        <v>354</v>
      </c>
      <c r="K355" s="163">
        <v>45989</v>
      </c>
      <c r="L355" s="163">
        <v>2837</v>
      </c>
      <c r="M355" s="164" t="s">
        <v>313</v>
      </c>
    </row>
    <row r="356" spans="1:13">
      <c r="A356" s="167" t="s">
        <v>13</v>
      </c>
      <c r="B356" s="161" t="s">
        <v>2196</v>
      </c>
      <c r="C356" s="161" t="s">
        <v>880</v>
      </c>
      <c r="D356" s="172">
        <v>45996</v>
      </c>
      <c r="E356" s="172">
        <v>46010</v>
      </c>
      <c r="F356" s="161"/>
      <c r="G356" s="173">
        <v>410</v>
      </c>
      <c r="H356" s="161"/>
      <c r="I356" s="161" t="s">
        <v>881</v>
      </c>
      <c r="J356" s="161" t="s">
        <v>83</v>
      </c>
      <c r="K356" s="161">
        <v>46010</v>
      </c>
      <c r="L356" s="161">
        <v>410</v>
      </c>
      <c r="M356" s="162"/>
    </row>
    <row r="357" spans="1:13">
      <c r="A357" s="166" t="s">
        <v>13</v>
      </c>
      <c r="B357" s="163" t="s">
        <v>2199</v>
      </c>
      <c r="C357" s="163" t="s">
        <v>883</v>
      </c>
      <c r="D357" s="170">
        <v>45858</v>
      </c>
      <c r="E357" s="170"/>
      <c r="F357" s="163" t="s">
        <v>16</v>
      </c>
      <c r="G357" s="171">
        <v>530.65</v>
      </c>
      <c r="H357" s="163" t="s">
        <v>884</v>
      </c>
      <c r="I357" s="163" t="s">
        <v>885</v>
      </c>
      <c r="J357" s="163" t="s">
        <v>886</v>
      </c>
      <c r="K357" s="170"/>
      <c r="L357" s="163"/>
      <c r="M357" s="164"/>
    </row>
    <row r="358" spans="1:13">
      <c r="A358" s="167" t="s">
        <v>13</v>
      </c>
      <c r="B358" s="161" t="s">
        <v>2199</v>
      </c>
      <c r="C358" s="161" t="s">
        <v>887</v>
      </c>
      <c r="D358" s="172">
        <v>45896</v>
      </c>
      <c r="E358" s="172"/>
      <c r="F358" s="161" t="s">
        <v>16</v>
      </c>
      <c r="G358" s="173">
        <v>229.15</v>
      </c>
      <c r="H358" s="161" t="s">
        <v>888</v>
      </c>
      <c r="I358" s="161" t="s">
        <v>889</v>
      </c>
      <c r="J358" s="161" t="s">
        <v>794</v>
      </c>
      <c r="K358" s="172"/>
      <c r="L358" s="161"/>
      <c r="M358" s="162"/>
    </row>
    <row r="359" spans="1:13">
      <c r="A359" s="166" t="s">
        <v>13</v>
      </c>
      <c r="B359" s="163" t="s">
        <v>2199</v>
      </c>
      <c r="C359" s="163" t="s">
        <v>890</v>
      </c>
      <c r="D359" s="170">
        <v>45955</v>
      </c>
      <c r="E359" s="170"/>
      <c r="F359" s="163" t="s">
        <v>49</v>
      </c>
      <c r="G359" s="171">
        <v>122.4</v>
      </c>
      <c r="H359" s="163"/>
      <c r="I359" s="163" t="s">
        <v>891</v>
      </c>
      <c r="J359" s="163" t="s">
        <v>422</v>
      </c>
      <c r="K359" s="170"/>
      <c r="L359" s="163"/>
      <c r="M359" s="164"/>
    </row>
    <row r="360" spans="1:13">
      <c r="A360" s="167" t="s">
        <v>13</v>
      </c>
      <c r="B360" s="161" t="s">
        <v>2199</v>
      </c>
      <c r="C360" s="161" t="s">
        <v>892</v>
      </c>
      <c r="D360" s="172">
        <v>45977</v>
      </c>
      <c r="E360" s="172">
        <v>45977</v>
      </c>
      <c r="F360" s="161" t="s">
        <v>49</v>
      </c>
      <c r="G360" s="173">
        <v>183.45</v>
      </c>
      <c r="H360" s="161"/>
      <c r="I360" s="161" t="s">
        <v>889</v>
      </c>
      <c r="J360" s="161" t="s">
        <v>47</v>
      </c>
      <c r="K360" s="172"/>
      <c r="L360" s="161"/>
      <c r="M360" s="162"/>
    </row>
    <row r="361" spans="1:13">
      <c r="A361" s="166"/>
      <c r="B361" s="163" t="s">
        <v>2455</v>
      </c>
      <c r="C361" s="163" t="s">
        <v>893</v>
      </c>
      <c r="D361" s="170">
        <v>45730</v>
      </c>
      <c r="E361" s="170">
        <v>45730</v>
      </c>
      <c r="F361" s="163" t="s">
        <v>16</v>
      </c>
      <c r="G361" s="171">
        <v>3000</v>
      </c>
      <c r="H361" s="163" t="s">
        <v>894</v>
      </c>
      <c r="I361" s="163" t="s">
        <v>312</v>
      </c>
      <c r="J361" s="163" t="s">
        <v>66</v>
      </c>
      <c r="K361" s="170"/>
      <c r="L361" s="163"/>
      <c r="M361" s="164"/>
    </row>
    <row r="362" spans="1:13">
      <c r="A362" s="167"/>
      <c r="B362" s="161" t="s">
        <v>2455</v>
      </c>
      <c r="C362" s="161" t="s">
        <v>893</v>
      </c>
      <c r="D362" s="172">
        <v>45730</v>
      </c>
      <c r="E362" s="172">
        <v>45763</v>
      </c>
      <c r="F362" s="161"/>
      <c r="G362" s="173">
        <v>555.04</v>
      </c>
      <c r="H362" s="161" t="s">
        <v>894</v>
      </c>
      <c r="I362" s="161" t="s">
        <v>312</v>
      </c>
      <c r="J362" s="161" t="s">
        <v>799</v>
      </c>
      <c r="K362" s="172"/>
      <c r="L362" s="161"/>
      <c r="M362" s="162"/>
    </row>
    <row r="363" spans="1:13">
      <c r="A363" s="166"/>
      <c r="B363" s="163" t="s">
        <v>2455</v>
      </c>
      <c r="C363" s="163" t="s">
        <v>895</v>
      </c>
      <c r="D363" s="170">
        <v>45940</v>
      </c>
      <c r="E363" s="170">
        <v>45940</v>
      </c>
      <c r="F363" s="163" t="s">
        <v>16</v>
      </c>
      <c r="G363" s="171">
        <v>3300</v>
      </c>
      <c r="H363" s="163"/>
      <c r="I363" s="163" t="s">
        <v>787</v>
      </c>
      <c r="J363" s="163" t="s">
        <v>354</v>
      </c>
      <c r="K363" s="163">
        <v>45940</v>
      </c>
      <c r="L363" s="163">
        <v>3300</v>
      </c>
      <c r="M363" s="164" t="s">
        <v>19</v>
      </c>
    </row>
    <row r="364" spans="1:13">
      <c r="A364" s="167"/>
      <c r="B364" s="161" t="s">
        <v>2455</v>
      </c>
      <c r="C364" s="161" t="s">
        <v>895</v>
      </c>
      <c r="D364" s="172">
        <v>45940</v>
      </c>
      <c r="E364" s="172">
        <v>45977</v>
      </c>
      <c r="F364" s="161"/>
      <c r="G364" s="173">
        <v>597.59</v>
      </c>
      <c r="H364" s="161"/>
      <c r="I364" s="161" t="s">
        <v>787</v>
      </c>
      <c r="J364" s="161" t="s">
        <v>354</v>
      </c>
      <c r="K364" s="172"/>
      <c r="L364" s="161"/>
      <c r="M364" s="162"/>
    </row>
    <row r="365" spans="1:13">
      <c r="A365" s="166"/>
      <c r="B365" s="163" t="s">
        <v>2455</v>
      </c>
      <c r="C365" s="163" t="s">
        <v>896</v>
      </c>
      <c r="D365" s="170">
        <v>45964</v>
      </c>
      <c r="E365" s="170">
        <v>45964</v>
      </c>
      <c r="F365" s="163" t="s">
        <v>16</v>
      </c>
      <c r="G365" s="171">
        <v>3000</v>
      </c>
      <c r="H365" s="163"/>
      <c r="I365" s="163" t="s">
        <v>312</v>
      </c>
      <c r="J365" s="163" t="s">
        <v>66</v>
      </c>
      <c r="K365" s="163">
        <v>45960</v>
      </c>
      <c r="L365" s="163">
        <v>3000</v>
      </c>
      <c r="M365" s="164" t="s">
        <v>246</v>
      </c>
    </row>
    <row r="366" spans="1:13">
      <c r="A366" s="167"/>
      <c r="B366" s="161" t="s">
        <v>2455</v>
      </c>
      <c r="C366" s="161"/>
      <c r="D366" s="172"/>
      <c r="E366" s="172">
        <v>45977</v>
      </c>
      <c r="F366" s="161"/>
      <c r="G366" s="173"/>
      <c r="H366" s="161"/>
      <c r="I366" s="161" t="s">
        <v>312</v>
      </c>
      <c r="J366" s="161" t="s">
        <v>799</v>
      </c>
      <c r="K366" s="161">
        <v>45977</v>
      </c>
      <c r="L366" s="161"/>
      <c r="M366" s="162"/>
    </row>
    <row r="367" spans="1:13">
      <c r="A367" s="166"/>
      <c r="B367" s="163" t="s">
        <v>3236</v>
      </c>
      <c r="C367" s="163" t="s">
        <v>899</v>
      </c>
      <c r="D367" s="170">
        <v>45933</v>
      </c>
      <c r="E367" s="170">
        <v>45933</v>
      </c>
      <c r="F367" s="163" t="s">
        <v>16</v>
      </c>
      <c r="G367" s="171">
        <v>84.18</v>
      </c>
      <c r="H367" s="163" t="s">
        <v>900</v>
      </c>
      <c r="I367" s="163"/>
      <c r="J367" s="163" t="s">
        <v>215</v>
      </c>
      <c r="K367" s="170"/>
      <c r="L367" s="163"/>
      <c r="M367" s="164"/>
    </row>
    <row r="368" spans="1:13">
      <c r="A368" s="167"/>
      <c r="B368" s="161" t="s">
        <v>3237</v>
      </c>
      <c r="C368" s="161" t="s">
        <v>902</v>
      </c>
      <c r="D368" s="172">
        <v>45642</v>
      </c>
      <c r="E368" s="172">
        <v>45673</v>
      </c>
      <c r="F368" s="161"/>
      <c r="G368" s="173">
        <v>7000</v>
      </c>
      <c r="H368" s="161" t="s">
        <v>903</v>
      </c>
      <c r="I368" s="161" t="s">
        <v>342</v>
      </c>
      <c r="J368" s="161" t="s">
        <v>56</v>
      </c>
      <c r="K368" s="172"/>
      <c r="L368" s="161"/>
      <c r="M368" s="162"/>
    </row>
    <row r="369" spans="1:13">
      <c r="A369" s="166"/>
      <c r="B369" s="163" t="s">
        <v>3238</v>
      </c>
      <c r="C369" s="163" t="s">
        <v>905</v>
      </c>
      <c r="D369" s="170">
        <v>45672</v>
      </c>
      <c r="E369" s="170"/>
      <c r="F369" s="163" t="s">
        <v>16</v>
      </c>
      <c r="G369" s="171">
        <v>36.6</v>
      </c>
      <c r="H369" s="163" t="s">
        <v>906</v>
      </c>
      <c r="I369" s="163"/>
      <c r="J369" s="163"/>
      <c r="K369" s="170"/>
      <c r="L369" s="163"/>
      <c r="M369" s="164"/>
    </row>
    <row r="370" spans="1:13">
      <c r="A370" s="167"/>
      <c r="B370" s="161" t="s">
        <v>3239</v>
      </c>
      <c r="C370" s="161" t="s">
        <v>908</v>
      </c>
      <c r="D370" s="172">
        <v>45762</v>
      </c>
      <c r="E370" s="172">
        <v>45792</v>
      </c>
      <c r="F370" s="161" t="s">
        <v>16</v>
      </c>
      <c r="G370" s="173">
        <v>54.9</v>
      </c>
      <c r="H370" s="161" t="s">
        <v>909</v>
      </c>
      <c r="I370" s="161"/>
      <c r="J370" s="161" t="s">
        <v>150</v>
      </c>
      <c r="K370" s="172"/>
      <c r="L370" s="161"/>
      <c r="M370" s="162"/>
    </row>
    <row r="371" spans="1:13">
      <c r="A371" s="166"/>
      <c r="B371" s="163" t="s">
        <v>3239</v>
      </c>
      <c r="C371" s="163" t="s">
        <v>910</v>
      </c>
      <c r="D371" s="170">
        <v>45853</v>
      </c>
      <c r="E371" s="170">
        <v>45883</v>
      </c>
      <c r="F371" s="163"/>
      <c r="G371" s="171">
        <v>54.9</v>
      </c>
      <c r="H371" s="163" t="s">
        <v>911</v>
      </c>
      <c r="I371" s="163" t="s">
        <v>196</v>
      </c>
      <c r="J371" s="163" t="s">
        <v>150</v>
      </c>
      <c r="K371" s="170"/>
      <c r="L371" s="163"/>
      <c r="M371" s="164"/>
    </row>
    <row r="372" spans="1:13">
      <c r="A372" s="167" t="s">
        <v>13</v>
      </c>
      <c r="B372" s="161" t="s">
        <v>2484</v>
      </c>
      <c r="C372" s="161" t="s">
        <v>913</v>
      </c>
      <c r="D372" s="172">
        <v>45895</v>
      </c>
      <c r="E372" s="172">
        <v>45895</v>
      </c>
      <c r="F372" s="161" t="s">
        <v>16</v>
      </c>
      <c r="G372" s="173">
        <v>1110</v>
      </c>
      <c r="H372" s="161" t="s">
        <v>914</v>
      </c>
      <c r="I372" s="161" t="s">
        <v>214</v>
      </c>
      <c r="J372" s="161" t="s">
        <v>794</v>
      </c>
      <c r="K372" s="172"/>
      <c r="L372" s="161"/>
      <c r="M372" s="162"/>
    </row>
    <row r="373" spans="1:13">
      <c r="A373" s="166" t="s">
        <v>13</v>
      </c>
      <c r="B373" s="163" t="s">
        <v>2484</v>
      </c>
      <c r="C373" s="163" t="s">
        <v>915</v>
      </c>
      <c r="D373" s="170">
        <v>45923</v>
      </c>
      <c r="E373" s="170"/>
      <c r="F373" s="163" t="s">
        <v>16</v>
      </c>
      <c r="G373" s="171">
        <v>300</v>
      </c>
      <c r="H373" s="163" t="s">
        <v>916</v>
      </c>
      <c r="I373" s="163" t="s">
        <v>214</v>
      </c>
      <c r="J373" s="163" t="s">
        <v>794</v>
      </c>
      <c r="K373" s="170"/>
      <c r="L373" s="163"/>
      <c r="M373" s="164"/>
    </row>
    <row r="374" spans="1:13">
      <c r="A374" s="167" t="s">
        <v>13</v>
      </c>
      <c r="B374" s="161" t="s">
        <v>2484</v>
      </c>
      <c r="C374" s="161" t="s">
        <v>917</v>
      </c>
      <c r="D374" s="172">
        <v>45923</v>
      </c>
      <c r="E374" s="172"/>
      <c r="F374" s="161" t="s">
        <v>16</v>
      </c>
      <c r="G374" s="173">
        <v>749.62</v>
      </c>
      <c r="H374" s="161" t="s">
        <v>918</v>
      </c>
      <c r="I374" s="161" t="s">
        <v>214</v>
      </c>
      <c r="J374" s="161" t="s">
        <v>794</v>
      </c>
      <c r="K374" s="172"/>
      <c r="L374" s="161"/>
      <c r="M374" s="162"/>
    </row>
    <row r="375" spans="1:13">
      <c r="A375" s="166" t="s">
        <v>13</v>
      </c>
      <c r="B375" s="163" t="s">
        <v>2484</v>
      </c>
      <c r="C375" s="163" t="s">
        <v>919</v>
      </c>
      <c r="D375" s="170">
        <v>45923</v>
      </c>
      <c r="E375" s="170"/>
      <c r="F375" s="163" t="s">
        <v>16</v>
      </c>
      <c r="G375" s="171">
        <v>121</v>
      </c>
      <c r="H375" s="163" t="s">
        <v>920</v>
      </c>
      <c r="I375" s="163" t="s">
        <v>214</v>
      </c>
      <c r="J375" s="163" t="s">
        <v>794</v>
      </c>
      <c r="K375" s="170"/>
      <c r="L375" s="163"/>
      <c r="M375" s="164"/>
    </row>
    <row r="376" spans="1:13">
      <c r="A376" s="167" t="s">
        <v>13</v>
      </c>
      <c r="B376" s="161" t="s">
        <v>2484</v>
      </c>
      <c r="C376" s="161" t="s">
        <v>921</v>
      </c>
      <c r="D376" s="172">
        <v>45923</v>
      </c>
      <c r="E376" s="172"/>
      <c r="F376" s="161" t="s">
        <v>16</v>
      </c>
      <c r="G376" s="173">
        <v>1606.93</v>
      </c>
      <c r="H376" s="161" t="s">
        <v>922</v>
      </c>
      <c r="I376" s="161" t="s">
        <v>889</v>
      </c>
      <c r="J376" s="161" t="s">
        <v>794</v>
      </c>
      <c r="K376" s="172"/>
      <c r="L376" s="161"/>
      <c r="M376" s="162"/>
    </row>
    <row r="377" spans="1:13">
      <c r="A377" s="166" t="s">
        <v>13</v>
      </c>
      <c r="B377" s="163" t="s">
        <v>2484</v>
      </c>
      <c r="C377" s="163" t="s">
        <v>923</v>
      </c>
      <c r="D377" s="170">
        <v>45923</v>
      </c>
      <c r="E377" s="170"/>
      <c r="F377" s="163" t="s">
        <v>16</v>
      </c>
      <c r="G377" s="171">
        <v>221.78</v>
      </c>
      <c r="H377" s="163" t="s">
        <v>924</v>
      </c>
      <c r="I377" s="163" t="s">
        <v>889</v>
      </c>
      <c r="J377" s="163" t="s">
        <v>794</v>
      </c>
      <c r="K377" s="170"/>
      <c r="L377" s="163"/>
      <c r="M377" s="164"/>
    </row>
    <row r="378" spans="1:13">
      <c r="A378" s="167" t="s">
        <v>13</v>
      </c>
      <c r="B378" s="161" t="s">
        <v>2484</v>
      </c>
      <c r="C378" s="161" t="s">
        <v>925</v>
      </c>
      <c r="D378" s="172">
        <v>45955</v>
      </c>
      <c r="E378" s="172">
        <v>45955</v>
      </c>
      <c r="F378" s="161" t="s">
        <v>49</v>
      </c>
      <c r="G378" s="173">
        <v>498.96</v>
      </c>
      <c r="H378" s="161"/>
      <c r="I378" s="161" t="s">
        <v>926</v>
      </c>
      <c r="J378" s="161" t="s">
        <v>47</v>
      </c>
      <c r="K378" s="172"/>
      <c r="L378" s="161"/>
      <c r="M378" s="162"/>
    </row>
    <row r="379" spans="1:13">
      <c r="A379" s="166" t="s">
        <v>13</v>
      </c>
      <c r="B379" s="163" t="s">
        <v>3240</v>
      </c>
      <c r="C379" s="163" t="s">
        <v>928</v>
      </c>
      <c r="D379" s="170">
        <v>45958</v>
      </c>
      <c r="E379" s="170">
        <v>45958</v>
      </c>
      <c r="F379" s="163" t="s">
        <v>49</v>
      </c>
      <c r="G379" s="171">
        <v>215.54</v>
      </c>
      <c r="H379" s="163"/>
      <c r="I379" s="163" t="s">
        <v>28</v>
      </c>
      <c r="J379" s="163" t="s">
        <v>47</v>
      </c>
      <c r="K379" s="170"/>
      <c r="L379" s="163">
        <v>215.54</v>
      </c>
      <c r="M379" s="164" t="s">
        <v>47</v>
      </c>
    </row>
    <row r="380" spans="1:13">
      <c r="A380" s="167" t="s">
        <v>13</v>
      </c>
      <c r="B380" s="161" t="s">
        <v>3240</v>
      </c>
      <c r="C380" s="161" t="s">
        <v>3241</v>
      </c>
      <c r="D380" s="172">
        <v>45962</v>
      </c>
      <c r="E380" s="172">
        <v>45962</v>
      </c>
      <c r="F380" s="161" t="s">
        <v>16</v>
      </c>
      <c r="G380" s="173">
        <v>295.95</v>
      </c>
      <c r="H380" s="161"/>
      <c r="I380" s="161" t="s">
        <v>34</v>
      </c>
      <c r="J380" s="161" t="s">
        <v>361</v>
      </c>
      <c r="K380" s="172"/>
      <c r="L380" s="161">
        <v>295.95</v>
      </c>
      <c r="M380" s="162" t="s">
        <v>47</v>
      </c>
    </row>
    <row r="381" spans="1:13">
      <c r="A381" s="166" t="s">
        <v>13</v>
      </c>
      <c r="B381" s="163" t="s">
        <v>2213</v>
      </c>
      <c r="C381" s="163" t="s">
        <v>931</v>
      </c>
      <c r="D381" s="170">
        <v>45672</v>
      </c>
      <c r="E381" s="170"/>
      <c r="F381" s="163" t="s">
        <v>16</v>
      </c>
      <c r="G381" s="171">
        <v>693.19</v>
      </c>
      <c r="H381" s="163" t="s">
        <v>932</v>
      </c>
      <c r="I381" s="163" t="s">
        <v>933</v>
      </c>
      <c r="J381" s="163" t="s">
        <v>150</v>
      </c>
      <c r="K381" s="170"/>
      <c r="L381" s="163"/>
      <c r="M381" s="164"/>
    </row>
    <row r="382" spans="1:13">
      <c r="A382" s="167" t="s">
        <v>13</v>
      </c>
      <c r="B382" s="161" t="s">
        <v>2213</v>
      </c>
      <c r="C382" s="161" t="s">
        <v>934</v>
      </c>
      <c r="D382" s="172">
        <v>45688</v>
      </c>
      <c r="E382" s="172">
        <v>45688</v>
      </c>
      <c r="F382" s="161" t="s">
        <v>16</v>
      </c>
      <c r="G382" s="173">
        <v>1206.6199999999999</v>
      </c>
      <c r="H382" s="161" t="s">
        <v>935</v>
      </c>
      <c r="I382" s="161" t="s">
        <v>936</v>
      </c>
      <c r="J382" s="161" t="s">
        <v>154</v>
      </c>
      <c r="K382" s="161">
        <v>45736</v>
      </c>
      <c r="L382" s="161">
        <v>916.36</v>
      </c>
      <c r="M382" s="162" t="s">
        <v>111</v>
      </c>
    </row>
    <row r="383" spans="1:13">
      <c r="A383" s="166" t="s">
        <v>13</v>
      </c>
      <c r="B383" s="163" t="s">
        <v>2213</v>
      </c>
      <c r="C383" s="163" t="s">
        <v>937</v>
      </c>
      <c r="D383" s="170">
        <v>45703</v>
      </c>
      <c r="E383" s="170">
        <v>45724</v>
      </c>
      <c r="F383" s="163" t="s">
        <v>16</v>
      </c>
      <c r="G383" s="171">
        <v>916.36</v>
      </c>
      <c r="H383" s="163" t="s">
        <v>938</v>
      </c>
      <c r="I383" s="163" t="s">
        <v>939</v>
      </c>
      <c r="J383" s="163" t="s">
        <v>150</v>
      </c>
      <c r="K383" s="163">
        <v>45737</v>
      </c>
      <c r="L383" s="163"/>
      <c r="M383" s="164" t="s">
        <v>19</v>
      </c>
    </row>
    <row r="384" spans="1:13">
      <c r="A384" s="167" t="s">
        <v>13</v>
      </c>
      <c r="B384" s="161" t="s">
        <v>2213</v>
      </c>
      <c r="C384" s="161" t="s">
        <v>940</v>
      </c>
      <c r="D384" s="172">
        <v>45716</v>
      </c>
      <c r="E384" s="172"/>
      <c r="F384" s="161" t="s">
        <v>16</v>
      </c>
      <c r="G384" s="173">
        <v>749.5</v>
      </c>
      <c r="H384" s="161" t="s">
        <v>941</v>
      </c>
      <c r="I384" s="161" t="s">
        <v>942</v>
      </c>
      <c r="J384" s="161" t="s">
        <v>150</v>
      </c>
      <c r="K384" s="161">
        <v>45763</v>
      </c>
      <c r="L384" s="161"/>
      <c r="M384" s="162" t="s">
        <v>19</v>
      </c>
    </row>
    <row r="385" spans="1:13">
      <c r="A385" s="166" t="s">
        <v>13</v>
      </c>
      <c r="B385" s="163" t="s">
        <v>2213</v>
      </c>
      <c r="C385" s="163" t="s">
        <v>943</v>
      </c>
      <c r="D385" s="170">
        <v>45731</v>
      </c>
      <c r="E385" s="170"/>
      <c r="F385" s="163" t="s">
        <v>16</v>
      </c>
      <c r="G385" s="171">
        <v>729.96</v>
      </c>
      <c r="H385" s="163" t="s">
        <v>944</v>
      </c>
      <c r="I385" s="163" t="s">
        <v>945</v>
      </c>
      <c r="J385" s="163" t="s">
        <v>150</v>
      </c>
      <c r="K385" s="163">
        <v>45763</v>
      </c>
      <c r="L385" s="163"/>
      <c r="M385" s="164" t="s">
        <v>19</v>
      </c>
    </row>
    <row r="386" spans="1:13">
      <c r="A386" s="167" t="s">
        <v>13</v>
      </c>
      <c r="B386" s="161" t="s">
        <v>2213</v>
      </c>
      <c r="C386" s="161" t="s">
        <v>946</v>
      </c>
      <c r="D386" s="172">
        <v>45747</v>
      </c>
      <c r="E386" s="172"/>
      <c r="F386" s="161" t="s">
        <v>16</v>
      </c>
      <c r="G386" s="173">
        <v>828.84</v>
      </c>
      <c r="H386" s="161" t="s">
        <v>947</v>
      </c>
      <c r="I386" s="161" t="s">
        <v>948</v>
      </c>
      <c r="J386" s="161" t="s">
        <v>150</v>
      </c>
      <c r="K386" s="161">
        <v>45783</v>
      </c>
      <c r="L386" s="161"/>
      <c r="M386" s="162" t="s">
        <v>19</v>
      </c>
    </row>
    <row r="387" spans="1:13">
      <c r="A387" s="166" t="s">
        <v>13</v>
      </c>
      <c r="B387" s="163" t="s">
        <v>2213</v>
      </c>
      <c r="C387" s="163" t="s">
        <v>949</v>
      </c>
      <c r="D387" s="170">
        <v>45762</v>
      </c>
      <c r="E387" s="170"/>
      <c r="F387" s="163" t="s">
        <v>16</v>
      </c>
      <c r="G387" s="171">
        <v>846.19</v>
      </c>
      <c r="H387" s="163" t="s">
        <v>950</v>
      </c>
      <c r="I387" s="163" t="s">
        <v>951</v>
      </c>
      <c r="J387" s="163" t="s">
        <v>150</v>
      </c>
      <c r="K387" s="163">
        <v>45800</v>
      </c>
      <c r="L387" s="163"/>
      <c r="M387" s="164" t="s">
        <v>19</v>
      </c>
    </row>
    <row r="388" spans="1:13">
      <c r="A388" s="167" t="s">
        <v>13</v>
      </c>
      <c r="B388" s="161" t="s">
        <v>2213</v>
      </c>
      <c r="C388" s="161" t="s">
        <v>952</v>
      </c>
      <c r="D388" s="172">
        <v>45777</v>
      </c>
      <c r="E388" s="172"/>
      <c r="F388" s="161" t="s">
        <v>16</v>
      </c>
      <c r="G388" s="173">
        <v>615.79999999999995</v>
      </c>
      <c r="H388" s="161" t="s">
        <v>953</v>
      </c>
      <c r="I388" s="161" t="s">
        <v>954</v>
      </c>
      <c r="J388" s="161" t="s">
        <v>150</v>
      </c>
      <c r="K388" s="161">
        <v>45824</v>
      </c>
      <c r="L388" s="161"/>
      <c r="M388" s="162" t="s">
        <v>19</v>
      </c>
    </row>
    <row r="389" spans="1:13">
      <c r="A389" s="166" t="s">
        <v>13</v>
      </c>
      <c r="B389" s="163" t="s">
        <v>2213</v>
      </c>
      <c r="C389" s="163" t="s">
        <v>955</v>
      </c>
      <c r="D389" s="170">
        <v>45792</v>
      </c>
      <c r="E389" s="170"/>
      <c r="F389" s="163" t="s">
        <v>16</v>
      </c>
      <c r="G389" s="171">
        <v>568.62</v>
      </c>
      <c r="H389" s="163" t="s">
        <v>956</v>
      </c>
      <c r="I389" s="163" t="s">
        <v>957</v>
      </c>
      <c r="J389" s="163" t="s">
        <v>150</v>
      </c>
      <c r="K389" s="163">
        <v>45831</v>
      </c>
      <c r="L389" s="163"/>
      <c r="M389" s="164" t="s">
        <v>19</v>
      </c>
    </row>
    <row r="390" spans="1:13">
      <c r="A390" s="167" t="s">
        <v>13</v>
      </c>
      <c r="B390" s="161" t="s">
        <v>2213</v>
      </c>
      <c r="C390" s="161" t="s">
        <v>958</v>
      </c>
      <c r="D390" s="172">
        <v>45808</v>
      </c>
      <c r="E390" s="172">
        <v>45829</v>
      </c>
      <c r="F390" s="161" t="s">
        <v>16</v>
      </c>
      <c r="G390" s="173">
        <v>942.34</v>
      </c>
      <c r="H390" s="161" t="s">
        <v>959</v>
      </c>
      <c r="I390" s="161" t="s">
        <v>960</v>
      </c>
      <c r="J390" s="161" t="s">
        <v>150</v>
      </c>
      <c r="K390" s="172"/>
      <c r="L390" s="161"/>
      <c r="M390" s="162" t="s">
        <v>19</v>
      </c>
    </row>
    <row r="391" spans="1:13">
      <c r="A391" s="166" t="s">
        <v>13</v>
      </c>
      <c r="B391" s="163" t="s">
        <v>2213</v>
      </c>
      <c r="C391" s="163" t="s">
        <v>961</v>
      </c>
      <c r="D391" s="170">
        <v>45823</v>
      </c>
      <c r="E391" s="170"/>
      <c r="F391" s="163" t="s">
        <v>16</v>
      </c>
      <c r="G391" s="171">
        <v>579.76</v>
      </c>
      <c r="H391" s="163" t="s">
        <v>962</v>
      </c>
      <c r="I391" s="163" t="s">
        <v>963</v>
      </c>
      <c r="J391" s="163" t="s">
        <v>964</v>
      </c>
      <c r="K391" s="170"/>
      <c r="L391" s="163"/>
      <c r="M391" s="164" t="s">
        <v>19</v>
      </c>
    </row>
    <row r="392" spans="1:13">
      <c r="A392" s="167" t="s">
        <v>13</v>
      </c>
      <c r="B392" s="161" t="s">
        <v>2213</v>
      </c>
      <c r="C392" s="161" t="s">
        <v>965</v>
      </c>
      <c r="D392" s="172">
        <v>45838</v>
      </c>
      <c r="E392" s="172"/>
      <c r="F392" s="161" t="s">
        <v>16</v>
      </c>
      <c r="G392" s="173">
        <v>738.19</v>
      </c>
      <c r="H392" s="161" t="s">
        <v>966</v>
      </c>
      <c r="I392" s="161" t="s">
        <v>967</v>
      </c>
      <c r="J392" s="161" t="s">
        <v>968</v>
      </c>
      <c r="K392" s="161">
        <v>45858</v>
      </c>
      <c r="L392" s="161"/>
      <c r="M392" s="162" t="s">
        <v>19</v>
      </c>
    </row>
    <row r="393" spans="1:13">
      <c r="A393" s="166" t="s">
        <v>13</v>
      </c>
      <c r="B393" s="163" t="s">
        <v>2213</v>
      </c>
      <c r="C393" s="163" t="s">
        <v>969</v>
      </c>
      <c r="D393" s="170">
        <v>45853</v>
      </c>
      <c r="E393" s="170"/>
      <c r="F393" s="163" t="s">
        <v>16</v>
      </c>
      <c r="G393" s="171">
        <v>1247.81</v>
      </c>
      <c r="H393" s="163" t="s">
        <v>970</v>
      </c>
      <c r="I393" s="163" t="s">
        <v>971</v>
      </c>
      <c r="J393" s="163" t="s">
        <v>150</v>
      </c>
      <c r="K393" s="163">
        <v>45874</v>
      </c>
      <c r="L393" s="163"/>
      <c r="M393" s="164" t="s">
        <v>19</v>
      </c>
    </row>
    <row r="394" spans="1:13">
      <c r="A394" s="167" t="s">
        <v>13</v>
      </c>
      <c r="B394" s="161" t="s">
        <v>2213</v>
      </c>
      <c r="C394" s="161" t="s">
        <v>972</v>
      </c>
      <c r="D394" s="172">
        <v>45869</v>
      </c>
      <c r="E394" s="172"/>
      <c r="F394" s="161" t="s">
        <v>16</v>
      </c>
      <c r="G394" s="173">
        <v>986.36</v>
      </c>
      <c r="H394" s="161" t="s">
        <v>973</v>
      </c>
      <c r="I394" s="161" t="s">
        <v>974</v>
      </c>
      <c r="J394" s="161" t="s">
        <v>150</v>
      </c>
      <c r="K394" s="161">
        <v>45889</v>
      </c>
      <c r="L394" s="161"/>
      <c r="M394" s="162" t="s">
        <v>19</v>
      </c>
    </row>
    <row r="395" spans="1:13">
      <c r="A395" s="166" t="s">
        <v>13</v>
      </c>
      <c r="B395" s="163" t="s">
        <v>2213</v>
      </c>
      <c r="C395" s="163" t="s">
        <v>975</v>
      </c>
      <c r="D395" s="170">
        <v>45884</v>
      </c>
      <c r="E395" s="170"/>
      <c r="F395" s="163" t="s">
        <v>16</v>
      </c>
      <c r="G395" s="171">
        <v>1157.67</v>
      </c>
      <c r="H395" s="163" t="s">
        <v>976</v>
      </c>
      <c r="I395" s="163" t="s">
        <v>977</v>
      </c>
      <c r="J395" s="163" t="s">
        <v>150</v>
      </c>
      <c r="K395" s="163">
        <v>45905</v>
      </c>
      <c r="L395" s="163"/>
      <c r="M395" s="164" t="s">
        <v>19</v>
      </c>
    </row>
    <row r="396" spans="1:13">
      <c r="A396" s="167" t="s">
        <v>13</v>
      </c>
      <c r="B396" s="161" t="s">
        <v>2213</v>
      </c>
      <c r="C396" s="161" t="s">
        <v>978</v>
      </c>
      <c r="D396" s="172">
        <v>45900</v>
      </c>
      <c r="E396" s="172"/>
      <c r="F396" s="161" t="s">
        <v>16</v>
      </c>
      <c r="G396" s="173">
        <v>748.7</v>
      </c>
      <c r="H396" s="161" t="s">
        <v>979</v>
      </c>
      <c r="I396" s="161" t="s">
        <v>980</v>
      </c>
      <c r="J396" s="161" t="s">
        <v>154</v>
      </c>
      <c r="K396" s="161">
        <v>45920</v>
      </c>
      <c r="L396" s="161"/>
      <c r="M396" s="162" t="s">
        <v>19</v>
      </c>
    </row>
    <row r="397" spans="1:13">
      <c r="A397" s="166" t="s">
        <v>13</v>
      </c>
      <c r="B397" s="163" t="s">
        <v>2213</v>
      </c>
      <c r="C397" s="163" t="s">
        <v>981</v>
      </c>
      <c r="D397" s="170">
        <v>45915</v>
      </c>
      <c r="E397" s="170"/>
      <c r="F397" s="163" t="s">
        <v>16</v>
      </c>
      <c r="G397" s="171">
        <v>662.09</v>
      </c>
      <c r="H397" s="163" t="s">
        <v>982</v>
      </c>
      <c r="I397" s="163" t="s">
        <v>983</v>
      </c>
      <c r="J397" s="163" t="s">
        <v>150</v>
      </c>
      <c r="K397" s="163">
        <v>45935</v>
      </c>
      <c r="L397" s="163"/>
      <c r="M397" s="164" t="s">
        <v>19</v>
      </c>
    </row>
    <row r="398" spans="1:13">
      <c r="A398" s="167" t="s">
        <v>13</v>
      </c>
      <c r="B398" s="161" t="s">
        <v>2213</v>
      </c>
      <c r="C398" s="161" t="s">
        <v>984</v>
      </c>
      <c r="D398" s="172">
        <v>45930</v>
      </c>
      <c r="E398" s="172"/>
      <c r="F398" s="161" t="s">
        <v>16</v>
      </c>
      <c r="G398" s="173">
        <v>620.88</v>
      </c>
      <c r="H398" s="161" t="s">
        <v>985</v>
      </c>
      <c r="I398" s="161" t="s">
        <v>986</v>
      </c>
      <c r="J398" s="161" t="s">
        <v>154</v>
      </c>
      <c r="K398" s="161">
        <v>45950</v>
      </c>
      <c r="L398" s="161"/>
      <c r="M398" s="162" t="s">
        <v>19</v>
      </c>
    </row>
    <row r="399" spans="1:13">
      <c r="A399" s="166" t="s">
        <v>13</v>
      </c>
      <c r="B399" s="163" t="s">
        <v>2213</v>
      </c>
      <c r="C399" s="163" t="s">
        <v>987</v>
      </c>
      <c r="D399" s="170">
        <v>45961</v>
      </c>
      <c r="E399" s="170">
        <v>45960</v>
      </c>
      <c r="F399" s="163" t="s">
        <v>49</v>
      </c>
      <c r="G399" s="171">
        <v>758.4</v>
      </c>
      <c r="H399" s="163"/>
      <c r="I399" s="163" t="s">
        <v>988</v>
      </c>
      <c r="J399" s="163" t="s">
        <v>154</v>
      </c>
      <c r="K399" s="170"/>
      <c r="L399" s="163"/>
      <c r="M399" s="164" t="s">
        <v>19</v>
      </c>
    </row>
    <row r="400" spans="1:13">
      <c r="A400" s="167" t="s">
        <v>13</v>
      </c>
      <c r="B400" s="161" t="s">
        <v>2213</v>
      </c>
      <c r="C400" s="161" t="s">
        <v>989</v>
      </c>
      <c r="D400" s="172">
        <v>45976</v>
      </c>
      <c r="E400" s="172">
        <v>45976</v>
      </c>
      <c r="F400" s="161" t="s">
        <v>49</v>
      </c>
      <c r="G400" s="173">
        <v>415.6</v>
      </c>
      <c r="H400" s="161"/>
      <c r="I400" s="161" t="s">
        <v>990</v>
      </c>
      <c r="J400" s="161" t="s">
        <v>154</v>
      </c>
      <c r="K400" s="172"/>
      <c r="L400" s="161"/>
      <c r="M400" s="162" t="s">
        <v>19</v>
      </c>
    </row>
    <row r="401" spans="1:13">
      <c r="A401" s="166" t="s">
        <v>13</v>
      </c>
      <c r="B401" s="163" t="s">
        <v>2213</v>
      </c>
      <c r="C401" s="163" t="s">
        <v>991</v>
      </c>
      <c r="D401" s="170">
        <v>45991</v>
      </c>
      <c r="E401" s="170">
        <v>45991</v>
      </c>
      <c r="F401" s="163" t="s">
        <v>49</v>
      </c>
      <c r="G401" s="171">
        <v>764.62</v>
      </c>
      <c r="H401" s="163"/>
      <c r="I401" s="163"/>
      <c r="J401" s="163" t="s">
        <v>154</v>
      </c>
      <c r="K401" s="170"/>
      <c r="L401" s="163"/>
      <c r="M401" s="164" t="s">
        <v>19</v>
      </c>
    </row>
    <row r="402" spans="1:13">
      <c r="A402" s="167" t="s">
        <v>13</v>
      </c>
      <c r="B402" s="161" t="s">
        <v>2213</v>
      </c>
      <c r="C402" s="161" t="s">
        <v>992</v>
      </c>
      <c r="D402" s="172">
        <v>46006</v>
      </c>
      <c r="E402" s="172">
        <v>46006</v>
      </c>
      <c r="F402" s="161" t="s">
        <v>49</v>
      </c>
      <c r="G402" s="173">
        <v>560.03</v>
      </c>
      <c r="H402" s="161"/>
      <c r="I402" s="161" t="s">
        <v>993</v>
      </c>
      <c r="J402" s="161" t="s">
        <v>154</v>
      </c>
      <c r="K402" s="161">
        <v>46006</v>
      </c>
      <c r="L402" s="161"/>
      <c r="M402" s="162" t="s">
        <v>19</v>
      </c>
    </row>
    <row r="403" spans="1:13">
      <c r="A403" s="166"/>
      <c r="B403" s="163" t="s">
        <v>3242</v>
      </c>
      <c r="C403" s="163" t="s">
        <v>995</v>
      </c>
      <c r="D403" s="170">
        <v>45747</v>
      </c>
      <c r="E403" s="170">
        <v>45807</v>
      </c>
      <c r="F403" s="163"/>
      <c r="G403" s="171">
        <v>1660.42</v>
      </c>
      <c r="H403" s="163" t="s">
        <v>996</v>
      </c>
      <c r="I403" s="163"/>
      <c r="J403" s="163"/>
      <c r="K403" s="170"/>
      <c r="L403" s="163"/>
      <c r="M403" s="164"/>
    </row>
    <row r="404" spans="1:13">
      <c r="A404" s="167"/>
      <c r="B404" s="161" t="s">
        <v>3242</v>
      </c>
      <c r="C404" s="161" t="s">
        <v>997</v>
      </c>
      <c r="D404" s="172">
        <v>45777</v>
      </c>
      <c r="E404" s="172"/>
      <c r="F404" s="161"/>
      <c r="G404" s="173">
        <v>180.56</v>
      </c>
      <c r="H404" s="161" t="s">
        <v>998</v>
      </c>
      <c r="I404" s="161"/>
      <c r="J404" s="161"/>
      <c r="K404" s="172"/>
      <c r="L404" s="161"/>
      <c r="M404" s="162"/>
    </row>
    <row r="405" spans="1:13">
      <c r="A405" s="166"/>
      <c r="B405" s="163" t="s">
        <v>3242</v>
      </c>
      <c r="C405" s="163" t="s">
        <v>999</v>
      </c>
      <c r="D405" s="170">
        <v>45808</v>
      </c>
      <c r="E405" s="170"/>
      <c r="F405" s="163"/>
      <c r="G405" s="171">
        <v>890.6</v>
      </c>
      <c r="H405" s="163" t="s">
        <v>1000</v>
      </c>
      <c r="I405" s="163"/>
      <c r="J405" s="163"/>
      <c r="K405" s="170"/>
      <c r="L405" s="163"/>
      <c r="M405" s="164" t="s">
        <v>1001</v>
      </c>
    </row>
    <row r="406" spans="1:13">
      <c r="A406" s="167"/>
      <c r="B406" s="161" t="s">
        <v>3243</v>
      </c>
      <c r="C406" s="161" t="s">
        <v>526</v>
      </c>
      <c r="D406" s="172">
        <v>45832</v>
      </c>
      <c r="E406" s="172"/>
      <c r="F406" s="161" t="s">
        <v>16</v>
      </c>
      <c r="G406" s="173">
        <v>405.01</v>
      </c>
      <c r="H406" s="161" t="s">
        <v>1003</v>
      </c>
      <c r="I406" s="161"/>
      <c r="J406" s="161"/>
      <c r="K406" s="172"/>
      <c r="L406" s="161"/>
      <c r="M406" s="162" t="s">
        <v>1001</v>
      </c>
    </row>
    <row r="407" spans="1:13">
      <c r="A407" s="166"/>
      <c r="B407" s="163" t="s">
        <v>3243</v>
      </c>
      <c r="C407" s="163" t="s">
        <v>1004</v>
      </c>
      <c r="D407" s="170">
        <v>45838</v>
      </c>
      <c r="E407" s="170"/>
      <c r="F407" s="163" t="s">
        <v>16</v>
      </c>
      <c r="G407" s="171">
        <v>180</v>
      </c>
      <c r="H407" s="163" t="s">
        <v>1005</v>
      </c>
      <c r="I407" s="163"/>
      <c r="J407" s="163" t="s">
        <v>794</v>
      </c>
      <c r="K407" s="170"/>
      <c r="L407" s="163"/>
      <c r="M407" s="164"/>
    </row>
    <row r="408" spans="1:13">
      <c r="A408" s="167"/>
      <c r="B408" s="161" t="s">
        <v>2217</v>
      </c>
      <c r="C408" s="161" t="s">
        <v>1007</v>
      </c>
      <c r="D408" s="172">
        <v>45677</v>
      </c>
      <c r="E408" s="172"/>
      <c r="F408" s="161" t="s">
        <v>16</v>
      </c>
      <c r="G408" s="173">
        <v>427</v>
      </c>
      <c r="H408" s="161" t="s">
        <v>1008</v>
      </c>
      <c r="I408" s="161"/>
      <c r="J408" s="161" t="s">
        <v>56</v>
      </c>
      <c r="K408" s="172"/>
      <c r="L408" s="161"/>
      <c r="M408" s="162"/>
    </row>
    <row r="409" spans="1:13">
      <c r="A409" s="166"/>
      <c r="B409" s="163" t="s">
        <v>2217</v>
      </c>
      <c r="C409" s="163" t="s">
        <v>1009</v>
      </c>
      <c r="D409" s="170">
        <v>45404</v>
      </c>
      <c r="E409" s="170"/>
      <c r="F409" s="163" t="s">
        <v>16</v>
      </c>
      <c r="G409" s="171">
        <v>854</v>
      </c>
      <c r="H409" s="163"/>
      <c r="I409" s="163" t="s">
        <v>1010</v>
      </c>
      <c r="J409" s="163"/>
      <c r="K409" s="170"/>
      <c r="L409" s="163"/>
      <c r="M409" s="164"/>
    </row>
    <row r="410" spans="1:13">
      <c r="A410" s="167"/>
      <c r="B410" s="161" t="s">
        <v>2217</v>
      </c>
      <c r="C410" s="161" t="s">
        <v>1011</v>
      </c>
      <c r="D410" s="172">
        <v>45412</v>
      </c>
      <c r="E410" s="172"/>
      <c r="F410" s="161" t="s">
        <v>16</v>
      </c>
      <c r="G410" s="173">
        <v>329.4</v>
      </c>
      <c r="H410" s="161" t="s">
        <v>1012</v>
      </c>
      <c r="I410" s="161" t="s">
        <v>1013</v>
      </c>
      <c r="J410" s="161" t="s">
        <v>56</v>
      </c>
      <c r="K410" s="172"/>
      <c r="L410" s="161"/>
      <c r="M410" s="162"/>
    </row>
    <row r="411" spans="1:13">
      <c r="A411" s="166"/>
      <c r="B411" s="163" t="s">
        <v>2217</v>
      </c>
      <c r="C411" s="163" t="s">
        <v>1014</v>
      </c>
      <c r="D411" s="170">
        <v>45443</v>
      </c>
      <c r="E411" s="170"/>
      <c r="F411" s="163" t="s">
        <v>16</v>
      </c>
      <c r="G411" s="171">
        <v>854</v>
      </c>
      <c r="H411" s="163" t="s">
        <v>1015</v>
      </c>
      <c r="I411" s="163" t="s">
        <v>1016</v>
      </c>
      <c r="J411" s="163" t="s">
        <v>56</v>
      </c>
      <c r="K411" s="163">
        <v>45709</v>
      </c>
      <c r="L411" s="163">
        <v>10000</v>
      </c>
      <c r="M411" s="164" t="s">
        <v>111</v>
      </c>
    </row>
    <row r="412" spans="1:13">
      <c r="A412" s="167"/>
      <c r="B412" s="161" t="s">
        <v>2217</v>
      </c>
      <c r="C412" s="161"/>
      <c r="D412" s="172"/>
      <c r="E412" s="172">
        <v>45606</v>
      </c>
      <c r="F412" s="161" t="s">
        <v>16</v>
      </c>
      <c r="G412" s="173">
        <v>5000</v>
      </c>
      <c r="H412" s="161"/>
      <c r="I412" s="161"/>
      <c r="J412" s="161"/>
      <c r="K412" s="161">
        <v>45709</v>
      </c>
      <c r="L412" s="161">
        <v>10000</v>
      </c>
      <c r="M412" s="162" t="s">
        <v>111</v>
      </c>
    </row>
    <row r="413" spans="1:13">
      <c r="A413" s="166"/>
      <c r="B413" s="163" t="s">
        <v>2217</v>
      </c>
      <c r="C413" s="163"/>
      <c r="D413" s="170"/>
      <c r="E413" s="170">
        <v>45636</v>
      </c>
      <c r="F413" s="163" t="s">
        <v>16</v>
      </c>
      <c r="G413" s="171">
        <v>5000</v>
      </c>
      <c r="H413" s="163"/>
      <c r="I413" s="163"/>
      <c r="J413" s="163"/>
      <c r="K413" s="163">
        <v>45826</v>
      </c>
      <c r="L413" s="163">
        <v>25000</v>
      </c>
      <c r="M413" s="164"/>
    </row>
    <row r="414" spans="1:13">
      <c r="A414" s="167"/>
      <c r="B414" s="161" t="s">
        <v>2217</v>
      </c>
      <c r="C414" s="161"/>
      <c r="D414" s="172"/>
      <c r="E414" s="172">
        <v>45682</v>
      </c>
      <c r="F414" s="161" t="s">
        <v>16</v>
      </c>
      <c r="G414" s="173">
        <v>77000</v>
      </c>
      <c r="H414" s="161"/>
      <c r="I414" s="161"/>
      <c r="J414" s="161" t="s">
        <v>56</v>
      </c>
      <c r="K414" s="172"/>
      <c r="L414" s="161"/>
      <c r="M414" s="162"/>
    </row>
    <row r="415" spans="1:13">
      <c r="A415" s="166"/>
      <c r="B415" s="163" t="s">
        <v>2217</v>
      </c>
      <c r="C415" s="163" t="s">
        <v>1017</v>
      </c>
      <c r="D415" s="170">
        <v>45535</v>
      </c>
      <c r="E415" s="170">
        <v>45545</v>
      </c>
      <c r="F415" s="163" t="s">
        <v>16</v>
      </c>
      <c r="G415" s="171">
        <v>854</v>
      </c>
      <c r="H415" s="163" t="s">
        <v>1018</v>
      </c>
      <c r="I415" s="163" t="s">
        <v>1019</v>
      </c>
      <c r="J415" s="163" t="s">
        <v>56</v>
      </c>
      <c r="K415" s="163" t="s">
        <v>1020</v>
      </c>
      <c r="L415" s="163"/>
      <c r="M415" s="164"/>
    </row>
    <row r="416" spans="1:13">
      <c r="A416" s="167"/>
      <c r="B416" s="161" t="s">
        <v>2217</v>
      </c>
      <c r="C416" s="161" t="s">
        <v>1021</v>
      </c>
      <c r="D416" s="172">
        <v>45616</v>
      </c>
      <c r="E416" s="172">
        <v>45636</v>
      </c>
      <c r="F416" s="161" t="s">
        <v>16</v>
      </c>
      <c r="G416" s="173">
        <v>1281</v>
      </c>
      <c r="H416" s="161" t="s">
        <v>1022</v>
      </c>
      <c r="I416" s="161" t="s">
        <v>1023</v>
      </c>
      <c r="J416" s="161" t="s">
        <v>56</v>
      </c>
      <c r="K416" s="172"/>
      <c r="L416" s="161"/>
      <c r="M416" s="162"/>
    </row>
    <row r="417" spans="1:13">
      <c r="A417" s="166"/>
      <c r="B417" s="163" t="s">
        <v>2217</v>
      </c>
      <c r="C417" s="163" t="s">
        <v>1024</v>
      </c>
      <c r="D417" s="170">
        <v>45653</v>
      </c>
      <c r="E417" s="170">
        <v>45667</v>
      </c>
      <c r="F417" s="163" t="s">
        <v>16</v>
      </c>
      <c r="G417" s="171">
        <v>427</v>
      </c>
      <c r="H417" s="163" t="s">
        <v>1025</v>
      </c>
      <c r="I417" s="163"/>
      <c r="J417" s="163" t="s">
        <v>56</v>
      </c>
      <c r="K417" s="170"/>
      <c r="L417" s="163"/>
      <c r="M417" s="164"/>
    </row>
    <row r="418" spans="1:13">
      <c r="A418" s="167"/>
      <c r="B418" s="161" t="s">
        <v>2217</v>
      </c>
      <c r="C418" s="161" t="s">
        <v>1026</v>
      </c>
      <c r="D418" s="172">
        <v>45716</v>
      </c>
      <c r="E418" s="172">
        <v>45726</v>
      </c>
      <c r="F418" s="161" t="s">
        <v>16</v>
      </c>
      <c r="G418" s="173">
        <v>-328.18</v>
      </c>
      <c r="H418" s="161" t="s">
        <v>1027</v>
      </c>
      <c r="I418" s="161"/>
      <c r="J418" s="161" t="s">
        <v>56</v>
      </c>
      <c r="K418" s="172"/>
      <c r="L418" s="161"/>
      <c r="M418" s="162"/>
    </row>
    <row r="419" spans="1:13">
      <c r="A419" s="166"/>
      <c r="B419" s="163" t="s">
        <v>2217</v>
      </c>
      <c r="C419" s="163" t="s">
        <v>1028</v>
      </c>
      <c r="D419" s="170">
        <v>45869</v>
      </c>
      <c r="E419" s="170">
        <v>45879</v>
      </c>
      <c r="F419" s="163"/>
      <c r="G419" s="171">
        <v>2745</v>
      </c>
      <c r="H419" s="163" t="s">
        <v>1029</v>
      </c>
      <c r="I419" s="163" t="s">
        <v>1030</v>
      </c>
      <c r="J419" s="163" t="s">
        <v>56</v>
      </c>
      <c r="K419" s="163">
        <v>45685</v>
      </c>
      <c r="L419" s="163">
        <v>1693.41</v>
      </c>
      <c r="M419" s="164" t="s">
        <v>111</v>
      </c>
    </row>
    <row r="420" spans="1:13">
      <c r="A420" s="167"/>
      <c r="B420" s="161" t="s">
        <v>2217</v>
      </c>
      <c r="C420" s="161" t="s">
        <v>1031</v>
      </c>
      <c r="D420" s="172">
        <v>45900</v>
      </c>
      <c r="E420" s="172">
        <v>45910</v>
      </c>
      <c r="F420" s="161"/>
      <c r="G420" s="173">
        <v>427</v>
      </c>
      <c r="H420" s="161" t="s">
        <v>1032</v>
      </c>
      <c r="I420" s="161" t="s">
        <v>1033</v>
      </c>
      <c r="J420" s="161" t="s">
        <v>56</v>
      </c>
      <c r="K420" s="172"/>
      <c r="L420" s="161"/>
      <c r="M420" s="162"/>
    </row>
    <row r="421" spans="1:13">
      <c r="A421" s="166"/>
      <c r="B421" s="163" t="s">
        <v>2217</v>
      </c>
      <c r="C421" s="163" t="s">
        <v>1034</v>
      </c>
      <c r="D421" s="170">
        <v>45917</v>
      </c>
      <c r="E421" s="170">
        <v>45940</v>
      </c>
      <c r="F421" s="163" t="s">
        <v>16</v>
      </c>
      <c r="G421" s="171">
        <v>11598.83</v>
      </c>
      <c r="H421" s="163" t="s">
        <v>1035</v>
      </c>
      <c r="I421" s="163" t="s">
        <v>1036</v>
      </c>
      <c r="J421" s="163" t="s">
        <v>66</v>
      </c>
      <c r="K421" s="170"/>
      <c r="L421" s="163"/>
      <c r="M421" s="164"/>
    </row>
    <row r="422" spans="1:13">
      <c r="A422" s="167"/>
      <c r="B422" s="161" t="s">
        <v>2217</v>
      </c>
      <c r="C422" s="161" t="s">
        <v>1037</v>
      </c>
      <c r="D422" s="172">
        <v>45930</v>
      </c>
      <c r="E422" s="172">
        <v>45940</v>
      </c>
      <c r="F422" s="161"/>
      <c r="G422" s="173">
        <v>854</v>
      </c>
      <c r="H422" s="161" t="s">
        <v>1038</v>
      </c>
      <c r="I422" s="161" t="s">
        <v>692</v>
      </c>
      <c r="J422" s="161" t="s">
        <v>56</v>
      </c>
      <c r="K422" s="172"/>
      <c r="L422" s="161"/>
      <c r="M422" s="162"/>
    </row>
    <row r="423" spans="1:13">
      <c r="A423" s="166"/>
      <c r="B423" s="163" t="s">
        <v>2217</v>
      </c>
      <c r="C423" s="163" t="s">
        <v>1039</v>
      </c>
      <c r="D423" s="170">
        <v>45930</v>
      </c>
      <c r="E423" s="170">
        <v>46001</v>
      </c>
      <c r="F423" s="163"/>
      <c r="G423" s="171">
        <v>2598.6</v>
      </c>
      <c r="H423" s="163" t="s">
        <v>1040</v>
      </c>
      <c r="I423" s="163" t="s">
        <v>1041</v>
      </c>
      <c r="J423" s="163" t="s">
        <v>125</v>
      </c>
      <c r="K423" s="170"/>
      <c r="L423" s="163"/>
      <c r="M423" s="164"/>
    </row>
    <row r="424" spans="1:13">
      <c r="A424" s="167" t="s">
        <v>316</v>
      </c>
      <c r="B424" s="161" t="s">
        <v>2217</v>
      </c>
      <c r="C424" s="161" t="s">
        <v>1042</v>
      </c>
      <c r="D424" s="172">
        <v>45950</v>
      </c>
      <c r="E424" s="172">
        <v>45971</v>
      </c>
      <c r="F424" s="161"/>
      <c r="G424" s="173">
        <v>854</v>
      </c>
      <c r="H424" s="161"/>
      <c r="I424" s="161" t="s">
        <v>1043</v>
      </c>
      <c r="J424" s="161" t="s">
        <v>1044</v>
      </c>
      <c r="K424" s="161">
        <v>45971</v>
      </c>
      <c r="L424" s="161">
        <v>854</v>
      </c>
      <c r="M424" s="162"/>
    </row>
    <row r="425" spans="1:13">
      <c r="A425" s="166" t="s">
        <v>13</v>
      </c>
      <c r="B425" s="163" t="s">
        <v>2217</v>
      </c>
      <c r="C425" s="163" t="s">
        <v>1045</v>
      </c>
      <c r="D425" s="170">
        <v>45991</v>
      </c>
      <c r="E425" s="170">
        <v>46001</v>
      </c>
      <c r="F425" s="163"/>
      <c r="G425" s="171">
        <v>427</v>
      </c>
      <c r="H425" s="163"/>
      <c r="I425" s="163" t="s">
        <v>1046</v>
      </c>
      <c r="J425" s="163" t="s">
        <v>354</v>
      </c>
      <c r="K425" s="163">
        <v>46001</v>
      </c>
      <c r="L425" s="163">
        <v>427</v>
      </c>
      <c r="M425" s="164"/>
    </row>
    <row r="426" spans="1:13">
      <c r="A426" s="167">
        <v>2024</v>
      </c>
      <c r="B426" s="161" t="s">
        <v>2462</v>
      </c>
      <c r="C426" s="161" t="s">
        <v>1063</v>
      </c>
      <c r="D426" s="172">
        <v>45686</v>
      </c>
      <c r="E426" s="172"/>
      <c r="F426" s="161" t="s">
        <v>16</v>
      </c>
      <c r="G426" s="173">
        <v>5559.07</v>
      </c>
      <c r="H426" s="161" t="s">
        <v>1049</v>
      </c>
      <c r="I426" s="161" t="s">
        <v>1050</v>
      </c>
      <c r="J426" s="161" t="s">
        <v>56</v>
      </c>
      <c r="K426" s="161">
        <v>45685</v>
      </c>
      <c r="L426" s="161">
        <v>1693.41</v>
      </c>
      <c r="M426" s="162" t="s">
        <v>111</v>
      </c>
    </row>
    <row r="427" spans="1:13">
      <c r="A427" s="166">
        <v>2024</v>
      </c>
      <c r="B427" s="163" t="s">
        <v>2462</v>
      </c>
      <c r="C427" s="163" t="s">
        <v>1065</v>
      </c>
      <c r="D427" s="170">
        <v>45686</v>
      </c>
      <c r="E427" s="170"/>
      <c r="F427" s="163" t="s">
        <v>16</v>
      </c>
      <c r="G427" s="171">
        <v>5210.62</v>
      </c>
      <c r="H427" s="163" t="s">
        <v>1052</v>
      </c>
      <c r="I427" s="163" t="s">
        <v>1053</v>
      </c>
      <c r="J427" s="163" t="s">
        <v>66</v>
      </c>
      <c r="K427" s="170"/>
      <c r="L427" s="163"/>
      <c r="M427" s="164"/>
    </row>
    <row r="428" spans="1:13">
      <c r="A428" s="167" t="s">
        <v>13</v>
      </c>
      <c r="B428" s="161" t="s">
        <v>2390</v>
      </c>
      <c r="C428" s="161" t="s">
        <v>3244</v>
      </c>
      <c r="D428" s="172">
        <v>45712</v>
      </c>
      <c r="E428" s="172"/>
      <c r="F428" s="161"/>
      <c r="G428" s="173">
        <v>2412.5100000000002</v>
      </c>
      <c r="H428" s="161"/>
      <c r="I428" s="161" t="s">
        <v>1055</v>
      </c>
      <c r="J428" s="161"/>
      <c r="K428" s="172"/>
      <c r="L428" s="161"/>
      <c r="M428" s="162"/>
    </row>
    <row r="429" spans="1:13">
      <c r="A429" s="166" t="s">
        <v>13</v>
      </c>
      <c r="B429" s="163" t="s">
        <v>2390</v>
      </c>
      <c r="C429" s="163" t="s">
        <v>1048</v>
      </c>
      <c r="D429" s="170">
        <v>45793</v>
      </c>
      <c r="E429" s="170"/>
      <c r="F429" s="163"/>
      <c r="G429" s="171">
        <v>5756.63</v>
      </c>
      <c r="H429" s="163"/>
      <c r="I429" s="163" t="s">
        <v>1057</v>
      </c>
      <c r="J429" s="163"/>
      <c r="K429" s="170"/>
      <c r="L429" s="163"/>
      <c r="M429" s="164"/>
    </row>
    <row r="430" spans="1:13">
      <c r="A430" s="167" t="s">
        <v>13</v>
      </c>
      <c r="B430" s="161" t="s">
        <v>2390</v>
      </c>
      <c r="C430" s="161" t="s">
        <v>1051</v>
      </c>
      <c r="D430" s="172">
        <v>45866</v>
      </c>
      <c r="E430" s="172"/>
      <c r="F430" s="161"/>
      <c r="G430" s="173">
        <v>260.85999999999967</v>
      </c>
      <c r="H430" s="161"/>
      <c r="I430" s="161" t="s">
        <v>1059</v>
      </c>
      <c r="J430" s="161"/>
      <c r="K430" s="172"/>
      <c r="L430" s="161"/>
      <c r="M430" s="162" t="s">
        <v>1060</v>
      </c>
    </row>
    <row r="431" spans="1:13">
      <c r="A431" s="166" t="s">
        <v>13</v>
      </c>
      <c r="B431" s="163" t="s">
        <v>2390</v>
      </c>
      <c r="C431" s="163" t="s">
        <v>2392</v>
      </c>
      <c r="D431" s="170"/>
      <c r="E431" s="170"/>
      <c r="F431" s="163"/>
      <c r="G431" s="171">
        <v>0</v>
      </c>
      <c r="H431" s="163"/>
      <c r="I431" s="163" t="s">
        <v>1062</v>
      </c>
      <c r="J431" s="163"/>
      <c r="K431" s="170"/>
      <c r="L431" s="163"/>
      <c r="M431" s="164"/>
    </row>
    <row r="432" spans="1:13">
      <c r="A432" s="167" t="s">
        <v>13</v>
      </c>
      <c r="B432" s="161" t="s">
        <v>2390</v>
      </c>
      <c r="C432" s="161" t="s">
        <v>1054</v>
      </c>
      <c r="D432" s="172">
        <v>45947</v>
      </c>
      <c r="E432" s="172"/>
      <c r="F432" s="161" t="s">
        <v>49</v>
      </c>
      <c r="G432" s="173">
        <v>4500</v>
      </c>
      <c r="H432" s="161"/>
      <c r="I432" s="161" t="s">
        <v>1064</v>
      </c>
      <c r="J432" s="161" t="s">
        <v>83</v>
      </c>
      <c r="K432" s="161">
        <v>45946</v>
      </c>
      <c r="L432" s="161">
        <v>4500</v>
      </c>
      <c r="M432" s="162" t="s">
        <v>819</v>
      </c>
    </row>
    <row r="433" spans="1:13">
      <c r="A433" s="166" t="s">
        <v>13</v>
      </c>
      <c r="B433" s="163" t="s">
        <v>2390</v>
      </c>
      <c r="C433" s="163" t="s">
        <v>1056</v>
      </c>
      <c r="D433" s="170">
        <v>45964</v>
      </c>
      <c r="E433" s="170"/>
      <c r="F433" s="163" t="s">
        <v>49</v>
      </c>
      <c r="G433" s="171">
        <v>2087.4899999999998</v>
      </c>
      <c r="H433" s="163"/>
      <c r="I433" s="163" t="s">
        <v>1064</v>
      </c>
      <c r="J433" s="163" t="s">
        <v>83</v>
      </c>
      <c r="K433" s="163">
        <v>45961</v>
      </c>
      <c r="L433" s="163">
        <v>4500</v>
      </c>
      <c r="M433" s="164" t="s">
        <v>1066</v>
      </c>
    </row>
    <row r="434" spans="1:13">
      <c r="A434" s="167" t="s">
        <v>13</v>
      </c>
      <c r="B434" s="161" t="s">
        <v>2390</v>
      </c>
      <c r="C434" s="161" t="s">
        <v>1058</v>
      </c>
      <c r="D434" s="172">
        <v>45964</v>
      </c>
      <c r="E434" s="172"/>
      <c r="F434" s="161" t="s">
        <v>49</v>
      </c>
      <c r="G434" s="173">
        <v>2412.5100000000002</v>
      </c>
      <c r="H434" s="161"/>
      <c r="I434" s="161" t="s">
        <v>1064</v>
      </c>
      <c r="J434" s="161" t="s">
        <v>83</v>
      </c>
      <c r="K434" s="161">
        <v>45961</v>
      </c>
      <c r="L434" s="161">
        <v>4500</v>
      </c>
      <c r="M434" s="162" t="s">
        <v>1066</v>
      </c>
    </row>
    <row r="435" spans="1:13">
      <c r="A435" s="166" t="s">
        <v>13</v>
      </c>
      <c r="B435" s="163" t="s">
        <v>2467</v>
      </c>
      <c r="C435" s="163" t="s">
        <v>1068</v>
      </c>
      <c r="D435" s="170">
        <v>45804</v>
      </c>
      <c r="E435" s="170"/>
      <c r="F435" s="163" t="s">
        <v>16</v>
      </c>
      <c r="G435" s="171">
        <v>74</v>
      </c>
      <c r="H435" s="163" t="s">
        <v>1069</v>
      </c>
      <c r="I435" s="163" t="s">
        <v>457</v>
      </c>
      <c r="J435" s="163" t="s">
        <v>215</v>
      </c>
      <c r="K435" s="170"/>
      <c r="L435" s="163"/>
      <c r="M435" s="164"/>
    </row>
    <row r="436" spans="1:13">
      <c r="A436" s="167" t="s">
        <v>13</v>
      </c>
      <c r="B436" s="161" t="s">
        <v>2225</v>
      </c>
      <c r="C436" s="161" t="s">
        <v>1071</v>
      </c>
      <c r="D436" s="172">
        <v>45815</v>
      </c>
      <c r="E436" s="172">
        <v>45817</v>
      </c>
      <c r="F436" s="161" t="s">
        <v>16</v>
      </c>
      <c r="G436" s="173">
        <v>638.14</v>
      </c>
      <c r="H436" s="161" t="s">
        <v>1072</v>
      </c>
      <c r="I436" s="161" t="s">
        <v>889</v>
      </c>
      <c r="J436" s="161" t="s">
        <v>215</v>
      </c>
      <c r="K436" s="172"/>
      <c r="L436" s="161"/>
      <c r="M436" s="162"/>
    </row>
    <row r="437" spans="1:13">
      <c r="A437" s="166" t="s">
        <v>13</v>
      </c>
      <c r="B437" s="163" t="s">
        <v>2225</v>
      </c>
      <c r="C437" s="163" t="s">
        <v>1073</v>
      </c>
      <c r="D437" s="170">
        <v>45840</v>
      </c>
      <c r="E437" s="170"/>
      <c r="F437" s="163" t="s">
        <v>16</v>
      </c>
      <c r="G437" s="171">
        <v>809.7</v>
      </c>
      <c r="H437" s="163" t="s">
        <v>1074</v>
      </c>
      <c r="I437" s="163" t="s">
        <v>885</v>
      </c>
      <c r="J437" s="163" t="s">
        <v>1001</v>
      </c>
      <c r="K437" s="170"/>
      <c r="L437" s="163"/>
      <c r="M437" s="164"/>
    </row>
    <row r="438" spans="1:13">
      <c r="A438" s="167" t="s">
        <v>13</v>
      </c>
      <c r="B438" s="161" t="s">
        <v>2225</v>
      </c>
      <c r="C438" s="161" t="s">
        <v>1075</v>
      </c>
      <c r="D438" s="172">
        <v>45854</v>
      </c>
      <c r="E438" s="172"/>
      <c r="F438" s="161" t="s">
        <v>16</v>
      </c>
      <c r="G438" s="173">
        <v>1216.9000000000001</v>
      </c>
      <c r="H438" s="161" t="s">
        <v>1076</v>
      </c>
      <c r="I438" s="161" t="s">
        <v>885</v>
      </c>
      <c r="J438" s="161" t="s">
        <v>886</v>
      </c>
      <c r="K438" s="172"/>
      <c r="L438" s="161"/>
      <c r="M438" s="162"/>
    </row>
    <row r="439" spans="1:13">
      <c r="A439" s="166" t="s">
        <v>13</v>
      </c>
      <c r="B439" s="163" t="s">
        <v>2225</v>
      </c>
      <c r="C439" s="163" t="s">
        <v>1077</v>
      </c>
      <c r="D439" s="170">
        <v>45868</v>
      </c>
      <c r="E439" s="170"/>
      <c r="F439" s="163" t="s">
        <v>16</v>
      </c>
      <c r="G439" s="171">
        <v>119.88</v>
      </c>
      <c r="H439" s="163" t="s">
        <v>1078</v>
      </c>
      <c r="I439" s="163" t="s">
        <v>218</v>
      </c>
      <c r="J439" s="163" t="s">
        <v>1001</v>
      </c>
      <c r="K439" s="163">
        <v>45853</v>
      </c>
      <c r="L439" s="163">
        <v>150.01</v>
      </c>
      <c r="M439" s="164"/>
    </row>
    <row r="440" spans="1:13">
      <c r="A440" s="167" t="s">
        <v>13</v>
      </c>
      <c r="B440" s="161" t="s">
        <v>2225</v>
      </c>
      <c r="C440" s="161" t="s">
        <v>1079</v>
      </c>
      <c r="D440" s="172">
        <v>45880</v>
      </c>
      <c r="E440" s="172"/>
      <c r="F440" s="161" t="s">
        <v>16</v>
      </c>
      <c r="G440" s="173">
        <v>157.35</v>
      </c>
      <c r="H440" s="161" t="s">
        <v>1080</v>
      </c>
      <c r="I440" s="161" t="s">
        <v>349</v>
      </c>
      <c r="J440" s="161" t="s">
        <v>1001</v>
      </c>
      <c r="K440" s="172"/>
      <c r="L440" s="161"/>
      <c r="M440" s="162"/>
    </row>
    <row r="441" spans="1:13">
      <c r="A441" s="166" t="s">
        <v>13</v>
      </c>
      <c r="B441" s="163" t="s">
        <v>2225</v>
      </c>
      <c r="C441" s="163" t="s">
        <v>1081</v>
      </c>
      <c r="D441" s="170">
        <v>45966</v>
      </c>
      <c r="E441" s="170">
        <v>45966</v>
      </c>
      <c r="F441" s="163" t="s">
        <v>49</v>
      </c>
      <c r="G441" s="171">
        <v>65.95</v>
      </c>
      <c r="H441" s="163"/>
      <c r="I441" s="163" t="s">
        <v>373</v>
      </c>
      <c r="J441" s="163" t="s">
        <v>1001</v>
      </c>
      <c r="K441" s="170"/>
      <c r="L441" s="163"/>
      <c r="M441" s="164"/>
    </row>
    <row r="442" spans="1:13">
      <c r="A442" s="167" t="s">
        <v>13</v>
      </c>
      <c r="B442" s="161" t="s">
        <v>2225</v>
      </c>
      <c r="C442" s="161" t="s">
        <v>1082</v>
      </c>
      <c r="D442" s="172">
        <v>45966</v>
      </c>
      <c r="E442" s="172">
        <v>45966</v>
      </c>
      <c r="F442" s="161" t="s">
        <v>49</v>
      </c>
      <c r="G442" s="173">
        <v>91</v>
      </c>
      <c r="H442" s="161"/>
      <c r="I442" s="161" t="s">
        <v>373</v>
      </c>
      <c r="J442" s="161" t="s">
        <v>1001</v>
      </c>
      <c r="K442" s="172"/>
      <c r="L442" s="161"/>
      <c r="M442" s="162"/>
    </row>
    <row r="443" spans="1:13">
      <c r="A443" s="166" t="s">
        <v>13</v>
      </c>
      <c r="B443" s="163" t="s">
        <v>2225</v>
      </c>
      <c r="C443" s="163" t="s">
        <v>1083</v>
      </c>
      <c r="D443" s="170">
        <v>45982</v>
      </c>
      <c r="E443" s="170">
        <v>45982</v>
      </c>
      <c r="F443" s="163" t="s">
        <v>49</v>
      </c>
      <c r="G443" s="171">
        <v>121.53</v>
      </c>
      <c r="H443" s="163"/>
      <c r="I443" s="163" t="s">
        <v>373</v>
      </c>
      <c r="J443" s="163" t="s">
        <v>1084</v>
      </c>
      <c r="K443" s="163">
        <v>45982</v>
      </c>
      <c r="L443" s="163">
        <v>121.53</v>
      </c>
      <c r="M443" s="164" t="s">
        <v>1085</v>
      </c>
    </row>
    <row r="444" spans="1:13">
      <c r="A444" s="167" t="s">
        <v>13</v>
      </c>
      <c r="B444" s="161" t="s">
        <v>2225</v>
      </c>
      <c r="C444" s="161" t="s">
        <v>1086</v>
      </c>
      <c r="D444" s="172">
        <v>45985</v>
      </c>
      <c r="E444" s="172">
        <v>45985</v>
      </c>
      <c r="F444" s="161" t="s">
        <v>49</v>
      </c>
      <c r="G444" s="173">
        <v>355.82</v>
      </c>
      <c r="H444" s="161"/>
      <c r="I444" s="161" t="s">
        <v>373</v>
      </c>
      <c r="J444" s="161" t="s">
        <v>1084</v>
      </c>
      <c r="K444" s="161">
        <v>45985</v>
      </c>
      <c r="L444" s="161">
        <v>355.82</v>
      </c>
      <c r="M444" s="162" t="s">
        <v>1085</v>
      </c>
    </row>
    <row r="445" spans="1:13">
      <c r="A445" s="166" t="s">
        <v>13</v>
      </c>
      <c r="B445" s="163" t="s">
        <v>2225</v>
      </c>
      <c r="C445" s="163" t="s">
        <v>1087</v>
      </c>
      <c r="D445" s="170">
        <v>45995</v>
      </c>
      <c r="E445" s="170">
        <v>45995</v>
      </c>
      <c r="F445" s="163" t="s">
        <v>49</v>
      </c>
      <c r="G445" s="171">
        <v>39.89</v>
      </c>
      <c r="H445" s="163"/>
      <c r="I445" s="163" t="s">
        <v>373</v>
      </c>
      <c r="J445" s="163" t="s">
        <v>47</v>
      </c>
      <c r="K445" s="163">
        <v>45995</v>
      </c>
      <c r="L445" s="163">
        <v>39.89</v>
      </c>
      <c r="M445" s="164" t="s">
        <v>1085</v>
      </c>
    </row>
    <row r="446" spans="1:13">
      <c r="A446" s="167" t="s">
        <v>1088</v>
      </c>
      <c r="B446" s="161" t="s">
        <v>2225</v>
      </c>
      <c r="C446" s="161" t="s">
        <v>1089</v>
      </c>
      <c r="D446" s="172">
        <v>46002</v>
      </c>
      <c r="E446" s="172">
        <v>46002</v>
      </c>
      <c r="F446" s="161" t="s">
        <v>49</v>
      </c>
      <c r="G446" s="173">
        <v>51.33</v>
      </c>
      <c r="H446" s="161"/>
      <c r="I446" s="161" t="s">
        <v>1088</v>
      </c>
      <c r="J446" s="161"/>
      <c r="K446" s="172"/>
      <c r="L446" s="161"/>
      <c r="M446" s="162"/>
    </row>
    <row r="447" spans="1:13">
      <c r="A447" s="166"/>
      <c r="B447" s="163" t="s">
        <v>2227</v>
      </c>
      <c r="C447" s="163" t="s">
        <v>1091</v>
      </c>
      <c r="D447" s="170">
        <v>45672</v>
      </c>
      <c r="E447" s="170">
        <v>45732</v>
      </c>
      <c r="F447" s="163" t="s">
        <v>16</v>
      </c>
      <c r="G447" s="171">
        <v>150.01</v>
      </c>
      <c r="H447" s="163" t="s">
        <v>1092</v>
      </c>
      <c r="I447" s="163" t="s">
        <v>1093</v>
      </c>
      <c r="J447" s="163" t="s">
        <v>56</v>
      </c>
      <c r="K447" s="170"/>
      <c r="L447" s="163"/>
      <c r="M447" s="164"/>
    </row>
    <row r="448" spans="1:13">
      <c r="A448" s="167" t="s">
        <v>13</v>
      </c>
      <c r="B448" s="161" t="s">
        <v>2227</v>
      </c>
      <c r="C448" s="161" t="s">
        <v>1094</v>
      </c>
      <c r="D448" s="172">
        <v>45974</v>
      </c>
      <c r="E448" s="172"/>
      <c r="F448" s="161"/>
      <c r="G448" s="173">
        <v>114.68</v>
      </c>
      <c r="H448" s="161"/>
      <c r="I448" s="161" t="s">
        <v>46</v>
      </c>
      <c r="J448" s="161" t="s">
        <v>83</v>
      </c>
      <c r="K448" s="172"/>
      <c r="L448" s="161"/>
      <c r="M448" s="162"/>
    </row>
    <row r="449" spans="1:13">
      <c r="A449" s="166"/>
      <c r="B449" s="163" t="s">
        <v>3245</v>
      </c>
      <c r="C449" s="163" t="s">
        <v>1096</v>
      </c>
      <c r="D449" s="170">
        <v>45686</v>
      </c>
      <c r="E449" s="170"/>
      <c r="F449" s="163" t="s">
        <v>16</v>
      </c>
      <c r="G449" s="171">
        <v>26.5</v>
      </c>
      <c r="H449" s="163" t="s">
        <v>1097</v>
      </c>
      <c r="I449" s="163" t="s">
        <v>519</v>
      </c>
      <c r="J449" s="163" t="s">
        <v>751</v>
      </c>
      <c r="K449" s="170"/>
      <c r="L449" s="163"/>
      <c r="M449" s="164"/>
    </row>
    <row r="450" spans="1:13">
      <c r="A450" s="167"/>
      <c r="B450" s="161" t="s">
        <v>3245</v>
      </c>
      <c r="C450" s="161" t="s">
        <v>1098</v>
      </c>
      <c r="D450" s="172">
        <v>45761</v>
      </c>
      <c r="E450" s="172"/>
      <c r="F450" s="161" t="s">
        <v>16</v>
      </c>
      <c r="G450" s="173">
        <v>24.5</v>
      </c>
      <c r="H450" s="161" t="s">
        <v>1099</v>
      </c>
      <c r="I450" s="161" t="s">
        <v>457</v>
      </c>
      <c r="J450" s="161" t="s">
        <v>215</v>
      </c>
      <c r="K450" s="172"/>
      <c r="L450" s="161"/>
      <c r="M450" s="162"/>
    </row>
    <row r="451" spans="1:13">
      <c r="A451" s="166"/>
      <c r="B451" s="163" t="s">
        <v>3245</v>
      </c>
      <c r="C451" s="163" t="s">
        <v>1100</v>
      </c>
      <c r="D451" s="170">
        <v>45825</v>
      </c>
      <c r="E451" s="170"/>
      <c r="F451" s="163" t="s">
        <v>16</v>
      </c>
      <c r="G451" s="171">
        <v>25.5</v>
      </c>
      <c r="H451" s="163" t="s">
        <v>1101</v>
      </c>
      <c r="I451" s="163" t="s">
        <v>457</v>
      </c>
      <c r="J451" s="163" t="s">
        <v>215</v>
      </c>
      <c r="K451" s="170"/>
      <c r="L451" s="163"/>
      <c r="M451" s="164"/>
    </row>
    <row r="452" spans="1:13">
      <c r="A452" s="167" t="s">
        <v>13</v>
      </c>
      <c r="B452" s="161" t="s">
        <v>3246</v>
      </c>
      <c r="C452" s="161" t="s">
        <v>1103</v>
      </c>
      <c r="D452" s="172">
        <v>45688</v>
      </c>
      <c r="E452" s="172">
        <v>45748</v>
      </c>
      <c r="F452" s="161" t="s">
        <v>16</v>
      </c>
      <c r="G452" s="173">
        <v>7210.99</v>
      </c>
      <c r="H452" s="161" t="s">
        <v>1104</v>
      </c>
      <c r="I452" s="161" t="s">
        <v>1105</v>
      </c>
      <c r="J452" s="161" t="s">
        <v>56</v>
      </c>
      <c r="K452" s="161">
        <v>45730</v>
      </c>
      <c r="L452" s="161">
        <v>5000</v>
      </c>
      <c r="M452" s="162" t="s">
        <v>111</v>
      </c>
    </row>
    <row r="453" spans="1:13">
      <c r="A453" s="166" t="s">
        <v>13</v>
      </c>
      <c r="B453" s="163" t="s">
        <v>3246</v>
      </c>
      <c r="C453" s="163" t="s">
        <v>1103</v>
      </c>
      <c r="D453" s="170">
        <v>45688</v>
      </c>
      <c r="E453" s="170">
        <v>45748</v>
      </c>
      <c r="F453" s="163" t="s">
        <v>16</v>
      </c>
      <c r="G453" s="171">
        <v>7210.99</v>
      </c>
      <c r="H453" s="163" t="s">
        <v>1104</v>
      </c>
      <c r="I453" s="163" t="s">
        <v>1106</v>
      </c>
      <c r="J453" s="163" t="s">
        <v>56</v>
      </c>
      <c r="K453" s="163">
        <v>45945</v>
      </c>
      <c r="L453" s="163">
        <v>2210</v>
      </c>
      <c r="M453" s="164" t="s">
        <v>1107</v>
      </c>
    </row>
    <row r="454" spans="1:13">
      <c r="A454" s="167" t="s">
        <v>13</v>
      </c>
      <c r="B454" s="161" t="s">
        <v>3246</v>
      </c>
      <c r="C454" s="161" t="s">
        <v>1108</v>
      </c>
      <c r="D454" s="172">
        <v>45716</v>
      </c>
      <c r="E454" s="172"/>
      <c r="F454" s="161" t="s">
        <v>49</v>
      </c>
      <c r="G454" s="173">
        <v>1837.86</v>
      </c>
      <c r="H454" s="161" t="s">
        <v>1109</v>
      </c>
      <c r="I454" s="161" t="s">
        <v>1110</v>
      </c>
      <c r="J454" s="161" t="s">
        <v>56</v>
      </c>
      <c r="K454" s="161">
        <v>45960</v>
      </c>
      <c r="L454" s="161">
        <v>2024</v>
      </c>
      <c r="M454" s="162" t="s">
        <v>1111</v>
      </c>
    </row>
    <row r="455" spans="1:13">
      <c r="A455" s="166" t="s">
        <v>13</v>
      </c>
      <c r="B455" s="163" t="s">
        <v>3246</v>
      </c>
      <c r="C455" s="163" t="s">
        <v>1112</v>
      </c>
      <c r="D455" s="170">
        <v>45747</v>
      </c>
      <c r="E455" s="170"/>
      <c r="F455" s="163" t="s">
        <v>49</v>
      </c>
      <c r="G455" s="171">
        <v>3010.07</v>
      </c>
      <c r="H455" s="163" t="s">
        <v>1113</v>
      </c>
      <c r="I455" s="163" t="s">
        <v>436</v>
      </c>
      <c r="J455" s="163" t="s">
        <v>56</v>
      </c>
      <c r="K455" s="163">
        <v>45960</v>
      </c>
      <c r="L455" s="163"/>
      <c r="M455" s="164"/>
    </row>
    <row r="456" spans="1:13">
      <c r="A456" s="167" t="s">
        <v>13</v>
      </c>
      <c r="B456" s="161" t="s">
        <v>3246</v>
      </c>
      <c r="C456" s="161" t="s">
        <v>1114</v>
      </c>
      <c r="D456" s="172">
        <v>45924</v>
      </c>
      <c r="E456" s="172">
        <v>45924</v>
      </c>
      <c r="F456" s="161" t="s">
        <v>49</v>
      </c>
      <c r="G456" s="173">
        <v>865.96</v>
      </c>
      <c r="H456" s="161" t="s">
        <v>1115</v>
      </c>
      <c r="I456" s="161" t="s">
        <v>1116</v>
      </c>
      <c r="J456" s="161" t="s">
        <v>56</v>
      </c>
      <c r="K456" s="172"/>
      <c r="L456" s="161">
        <v>186.1400000000001</v>
      </c>
      <c r="M456" s="162"/>
    </row>
    <row r="457" spans="1:13">
      <c r="A457" s="166" t="s">
        <v>13</v>
      </c>
      <c r="B457" s="163" t="s">
        <v>3246</v>
      </c>
      <c r="C457" s="163" t="s">
        <v>1114</v>
      </c>
      <c r="D457" s="170">
        <v>45924</v>
      </c>
      <c r="E457" s="170">
        <v>45924</v>
      </c>
      <c r="F457" s="163"/>
      <c r="G457" s="171">
        <v>679.81999999999994</v>
      </c>
      <c r="H457" s="163"/>
      <c r="I457" s="163" t="s">
        <v>1116</v>
      </c>
      <c r="J457" s="163"/>
      <c r="K457" s="170"/>
      <c r="L457" s="163"/>
      <c r="M457" s="164"/>
    </row>
    <row r="458" spans="1:13">
      <c r="A458" s="167" t="s">
        <v>13</v>
      </c>
      <c r="B458" s="161" t="s">
        <v>3246</v>
      </c>
      <c r="C458" s="161" t="s">
        <v>1117</v>
      </c>
      <c r="D458" s="172">
        <v>45930</v>
      </c>
      <c r="E458" s="172">
        <v>45930</v>
      </c>
      <c r="F458" s="161" t="s">
        <v>49</v>
      </c>
      <c r="G458" s="173">
        <v>-3010.07</v>
      </c>
      <c r="H458" s="161" t="s">
        <v>1118</v>
      </c>
      <c r="I458" s="161" t="s">
        <v>1119</v>
      </c>
      <c r="J458" s="161" t="s">
        <v>66</v>
      </c>
      <c r="K458" s="172"/>
      <c r="L458" s="161"/>
      <c r="M458" s="162"/>
    </row>
    <row r="459" spans="1:13">
      <c r="A459" s="166">
        <v>2024</v>
      </c>
      <c r="B459" s="163" t="s">
        <v>3247</v>
      </c>
      <c r="C459" s="163" t="s">
        <v>1121</v>
      </c>
      <c r="D459" s="170">
        <v>45649</v>
      </c>
      <c r="E459" s="170">
        <v>45716</v>
      </c>
      <c r="F459" s="163" t="s">
        <v>16</v>
      </c>
      <c r="G459" s="171">
        <v>1236.1199999999999</v>
      </c>
      <c r="H459" s="163" t="s">
        <v>1122</v>
      </c>
      <c r="I459" s="163" t="s">
        <v>1123</v>
      </c>
      <c r="J459" s="163" t="s">
        <v>56</v>
      </c>
      <c r="K459" s="163">
        <v>45730</v>
      </c>
      <c r="L459" s="163">
        <v>1236.1199999999999</v>
      </c>
      <c r="M459" s="164" t="s">
        <v>627</v>
      </c>
    </row>
    <row r="460" spans="1:13">
      <c r="A460" s="167" t="s">
        <v>634</v>
      </c>
      <c r="B460" s="161" t="s">
        <v>3247</v>
      </c>
      <c r="C460" s="161" t="s">
        <v>1124</v>
      </c>
      <c r="D460" s="172">
        <v>45716</v>
      </c>
      <c r="E460" s="172">
        <v>45777</v>
      </c>
      <c r="F460" s="161" t="s">
        <v>16</v>
      </c>
      <c r="G460" s="173">
        <v>563.63</v>
      </c>
      <c r="H460" s="161" t="s">
        <v>1125</v>
      </c>
      <c r="I460" s="161" t="s">
        <v>1126</v>
      </c>
      <c r="J460" s="161" t="s">
        <v>66</v>
      </c>
      <c r="K460" s="161">
        <v>45868</v>
      </c>
      <c r="L460" s="161">
        <v>563.63</v>
      </c>
      <c r="M460" s="162" t="s">
        <v>394</v>
      </c>
    </row>
    <row r="461" spans="1:13">
      <c r="A461" s="166" t="s">
        <v>634</v>
      </c>
      <c r="B461" s="163" t="s">
        <v>3247</v>
      </c>
      <c r="C461" s="163" t="s">
        <v>1127</v>
      </c>
      <c r="D461" s="170">
        <v>45747</v>
      </c>
      <c r="E461" s="170">
        <v>45807</v>
      </c>
      <c r="F461" s="163" t="s">
        <v>16</v>
      </c>
      <c r="G461" s="171">
        <v>2300.9</v>
      </c>
      <c r="H461" s="163" t="s">
        <v>1128</v>
      </c>
      <c r="I461" s="163" t="s">
        <v>1129</v>
      </c>
      <c r="J461" s="163" t="s">
        <v>56</v>
      </c>
      <c r="K461" s="163">
        <v>45868</v>
      </c>
      <c r="L461" s="163">
        <v>2300.9</v>
      </c>
      <c r="M461" s="164" t="s">
        <v>394</v>
      </c>
    </row>
    <row r="462" spans="1:13">
      <c r="A462" s="167" t="s">
        <v>634</v>
      </c>
      <c r="B462" s="161" t="s">
        <v>3247</v>
      </c>
      <c r="C462" s="161" t="s">
        <v>1130</v>
      </c>
      <c r="D462" s="172">
        <v>45859</v>
      </c>
      <c r="E462" s="172">
        <v>45930</v>
      </c>
      <c r="F462" s="161" t="s">
        <v>16</v>
      </c>
      <c r="G462" s="173">
        <v>2409.5500000000002</v>
      </c>
      <c r="H462" s="161" t="s">
        <v>1131</v>
      </c>
      <c r="I462" s="161" t="s">
        <v>1132</v>
      </c>
      <c r="J462" s="161" t="s">
        <v>56</v>
      </c>
      <c r="K462" s="161">
        <v>45950</v>
      </c>
      <c r="L462" s="161">
        <v>2409.5500000000002</v>
      </c>
      <c r="M462" s="162" t="s">
        <v>246</v>
      </c>
    </row>
    <row r="463" spans="1:13">
      <c r="A463" s="166" t="s">
        <v>13</v>
      </c>
      <c r="B463" s="163" t="s">
        <v>2395</v>
      </c>
      <c r="C463" s="163" t="s">
        <v>1134</v>
      </c>
      <c r="D463" s="170">
        <v>45965</v>
      </c>
      <c r="E463" s="170">
        <v>45965</v>
      </c>
      <c r="F463" s="163" t="s">
        <v>49</v>
      </c>
      <c r="G463" s="171">
        <v>110</v>
      </c>
      <c r="H463" s="163"/>
      <c r="I463" s="163" t="s">
        <v>1135</v>
      </c>
      <c r="J463" s="163" t="s">
        <v>425</v>
      </c>
      <c r="K463" s="163">
        <v>45965</v>
      </c>
      <c r="L463" s="163">
        <v>110</v>
      </c>
      <c r="M463" s="164" t="s">
        <v>425</v>
      </c>
    </row>
    <row r="464" spans="1:13">
      <c r="A464" s="167" t="s">
        <v>13</v>
      </c>
      <c r="B464" s="161" t="s">
        <v>2234</v>
      </c>
      <c r="C464" s="161" t="s">
        <v>1137</v>
      </c>
      <c r="D464" s="172">
        <v>45815</v>
      </c>
      <c r="E464" s="172">
        <v>45815</v>
      </c>
      <c r="F464" s="161" t="s">
        <v>16</v>
      </c>
      <c r="G464" s="173">
        <v>48.5</v>
      </c>
      <c r="H464" s="161" t="s">
        <v>1138</v>
      </c>
      <c r="I464" s="161" t="s">
        <v>42</v>
      </c>
      <c r="J464" s="161" t="s">
        <v>56</v>
      </c>
      <c r="K464" s="161">
        <v>45733</v>
      </c>
      <c r="L464" s="161"/>
      <c r="M464" s="162"/>
    </row>
    <row r="465" spans="1:13">
      <c r="A465" s="166" t="s">
        <v>13</v>
      </c>
      <c r="B465" s="163" t="s">
        <v>2234</v>
      </c>
      <c r="C465" s="163" t="s">
        <v>1139</v>
      </c>
      <c r="D465" s="170">
        <v>45988</v>
      </c>
      <c r="E465" s="170">
        <v>45988</v>
      </c>
      <c r="F465" s="163" t="s">
        <v>16</v>
      </c>
      <c r="G465" s="171">
        <v>59</v>
      </c>
      <c r="H465" s="163"/>
      <c r="I465" s="163" t="s">
        <v>1140</v>
      </c>
      <c r="J465" s="163" t="s">
        <v>1141</v>
      </c>
      <c r="K465" s="163">
        <v>45988</v>
      </c>
      <c r="L465" s="163">
        <v>59</v>
      </c>
      <c r="M465" s="164" t="s">
        <v>1085</v>
      </c>
    </row>
    <row r="466" spans="1:13">
      <c r="A466" s="167" t="s">
        <v>13</v>
      </c>
      <c r="B466" s="161" t="s">
        <v>3248</v>
      </c>
      <c r="C466" s="161" t="s">
        <v>1143</v>
      </c>
      <c r="D466" s="172">
        <v>45952</v>
      </c>
      <c r="E466" s="172">
        <v>45952</v>
      </c>
      <c r="F466" s="161" t="s">
        <v>16</v>
      </c>
      <c r="G466" s="173">
        <v>2500</v>
      </c>
      <c r="H466" s="161"/>
      <c r="I466" s="161" t="s">
        <v>1144</v>
      </c>
      <c r="J466" s="161" t="s">
        <v>354</v>
      </c>
      <c r="K466" s="161">
        <v>45951</v>
      </c>
      <c r="L466" s="161">
        <v>2500</v>
      </c>
      <c r="M466" s="162" t="s">
        <v>394</v>
      </c>
    </row>
    <row r="467" spans="1:13">
      <c r="A467" s="166" t="s">
        <v>634</v>
      </c>
      <c r="B467" s="163" t="s">
        <v>2477</v>
      </c>
      <c r="C467" s="163" t="s">
        <v>1146</v>
      </c>
      <c r="D467" s="170">
        <v>45930</v>
      </c>
      <c r="E467" s="170">
        <v>45991</v>
      </c>
      <c r="F467" s="163" t="s">
        <v>16</v>
      </c>
      <c r="G467" s="171">
        <v>187.31</v>
      </c>
      <c r="H467" s="163" t="s">
        <v>1147</v>
      </c>
      <c r="I467" s="163" t="s">
        <v>1148</v>
      </c>
      <c r="J467" s="163" t="s">
        <v>110</v>
      </c>
      <c r="K467" s="163">
        <v>45988</v>
      </c>
      <c r="L467" s="163">
        <v>187.31</v>
      </c>
      <c r="M467" s="164" t="s">
        <v>394</v>
      </c>
    </row>
    <row r="468" spans="1:13">
      <c r="A468" s="167"/>
      <c r="B468" s="161" t="s">
        <v>2452</v>
      </c>
      <c r="C468" s="161" t="s">
        <v>338</v>
      </c>
      <c r="D468" s="172">
        <v>45670</v>
      </c>
      <c r="E468" s="172">
        <v>45747</v>
      </c>
      <c r="F468" s="161" t="s">
        <v>16</v>
      </c>
      <c r="G468" s="173">
        <v>3770.8</v>
      </c>
      <c r="H468" s="161" t="s">
        <v>1150</v>
      </c>
      <c r="I468" s="161" t="s">
        <v>312</v>
      </c>
      <c r="J468" s="161" t="s">
        <v>56</v>
      </c>
      <c r="K468" s="161">
        <v>45815</v>
      </c>
      <c r="L468" s="161" t="s">
        <v>111</v>
      </c>
      <c r="M468" s="162"/>
    </row>
    <row r="469" spans="1:13">
      <c r="A469" s="166"/>
      <c r="B469" s="163" t="s">
        <v>2452</v>
      </c>
      <c r="C469" s="163" t="s">
        <v>719</v>
      </c>
      <c r="D469" s="170">
        <v>45705</v>
      </c>
      <c r="E469" s="170">
        <v>45765</v>
      </c>
      <c r="F469" s="163" t="s">
        <v>16</v>
      </c>
      <c r="G469" s="171">
        <v>1734</v>
      </c>
      <c r="H469" s="163" t="s">
        <v>1151</v>
      </c>
      <c r="I469" s="163" t="s">
        <v>312</v>
      </c>
      <c r="J469" s="163" t="s">
        <v>56</v>
      </c>
      <c r="K469" s="170"/>
      <c r="L469" s="163"/>
      <c r="M469" s="164"/>
    </row>
    <row r="470" spans="1:13">
      <c r="A470" s="167"/>
      <c r="B470" s="161" t="s">
        <v>2465</v>
      </c>
      <c r="C470" s="161" t="s">
        <v>1153</v>
      </c>
      <c r="D470" s="172">
        <v>45841</v>
      </c>
      <c r="E470" s="172"/>
      <c r="F470" s="161" t="s">
        <v>16</v>
      </c>
      <c r="G470" s="173">
        <v>204.48</v>
      </c>
      <c r="H470" s="161" t="s">
        <v>1154</v>
      </c>
      <c r="I470" s="161" t="s">
        <v>1155</v>
      </c>
      <c r="J470" s="161" t="s">
        <v>1001</v>
      </c>
      <c r="K470" s="172"/>
      <c r="L470" s="161"/>
      <c r="M470" s="162"/>
    </row>
    <row r="471" spans="1:13">
      <c r="A471" s="166"/>
      <c r="B471" s="163" t="s">
        <v>3249</v>
      </c>
      <c r="C471" s="163" t="s">
        <v>1157</v>
      </c>
      <c r="D471" s="170">
        <v>45847</v>
      </c>
      <c r="E471" s="170">
        <v>45847</v>
      </c>
      <c r="F471" s="163" t="s">
        <v>16</v>
      </c>
      <c r="G471" s="171">
        <v>39.99</v>
      </c>
      <c r="H471" s="163" t="s">
        <v>1158</v>
      </c>
      <c r="I471" s="163" t="s">
        <v>1001</v>
      </c>
      <c r="J471" s="163" t="s">
        <v>350</v>
      </c>
      <c r="K471" s="170"/>
      <c r="L471" s="163"/>
      <c r="M471" s="164"/>
    </row>
    <row r="472" spans="1:13">
      <c r="A472" s="167"/>
      <c r="B472" s="161" t="s">
        <v>3249</v>
      </c>
      <c r="C472" s="161" t="s">
        <v>1159</v>
      </c>
      <c r="D472" s="172">
        <v>45847</v>
      </c>
      <c r="E472" s="172">
        <v>45847</v>
      </c>
      <c r="F472" s="161" t="s">
        <v>16</v>
      </c>
      <c r="G472" s="173">
        <v>304.98</v>
      </c>
      <c r="H472" s="161" t="s">
        <v>1160</v>
      </c>
      <c r="I472" s="161" t="s">
        <v>1001</v>
      </c>
      <c r="J472" s="161" t="s">
        <v>215</v>
      </c>
      <c r="K472" s="172"/>
      <c r="L472" s="161"/>
      <c r="M472" s="162"/>
    </row>
    <row r="473" spans="1:13">
      <c r="A473" s="166"/>
      <c r="B473" s="163" t="s">
        <v>3250</v>
      </c>
      <c r="C473" s="163" t="s">
        <v>1162</v>
      </c>
      <c r="D473" s="170">
        <v>45761</v>
      </c>
      <c r="E473" s="170"/>
      <c r="F473" s="163" t="s">
        <v>16</v>
      </c>
      <c r="G473" s="171">
        <v>52</v>
      </c>
      <c r="H473" s="163" t="s">
        <v>1163</v>
      </c>
      <c r="I473" s="163" t="s">
        <v>42</v>
      </c>
      <c r="J473" s="163" t="s">
        <v>794</v>
      </c>
      <c r="K473" s="170"/>
      <c r="L473" s="163"/>
      <c r="M473" s="164"/>
    </row>
    <row r="474" spans="1:13">
      <c r="A474" s="167"/>
      <c r="B474" s="161" t="s">
        <v>3250</v>
      </c>
      <c r="C474" s="161" t="s">
        <v>1164</v>
      </c>
      <c r="D474" s="172">
        <v>45789</v>
      </c>
      <c r="E474" s="172"/>
      <c r="F474" s="161" t="s">
        <v>16</v>
      </c>
      <c r="G474" s="173">
        <v>26</v>
      </c>
      <c r="H474" s="161" t="s">
        <v>1165</v>
      </c>
      <c r="I474" s="161" t="s">
        <v>457</v>
      </c>
      <c r="J474" s="161" t="s">
        <v>794</v>
      </c>
      <c r="K474" s="172"/>
      <c r="L474" s="161"/>
      <c r="M474" s="162"/>
    </row>
    <row r="475" spans="1:13">
      <c r="A475" s="166"/>
      <c r="B475" s="163" t="s">
        <v>3251</v>
      </c>
      <c r="C475" s="163" t="s">
        <v>1167</v>
      </c>
      <c r="D475" s="170">
        <v>45673</v>
      </c>
      <c r="E475" s="170">
        <v>45688</v>
      </c>
      <c r="F475" s="163" t="s">
        <v>16</v>
      </c>
      <c r="G475" s="171">
        <v>1176.4100000000001</v>
      </c>
      <c r="H475" s="163" t="s">
        <v>1168</v>
      </c>
      <c r="I475" s="163" t="s">
        <v>1093</v>
      </c>
      <c r="J475" s="163" t="s">
        <v>150</v>
      </c>
      <c r="K475" s="170"/>
      <c r="L475" s="163"/>
      <c r="M475" s="164"/>
    </row>
    <row r="476" spans="1:13">
      <c r="A476" s="167"/>
      <c r="B476" s="161" t="s">
        <v>3251</v>
      </c>
      <c r="C476" s="161" t="s">
        <v>1169</v>
      </c>
      <c r="D476" s="172">
        <v>45705</v>
      </c>
      <c r="E476" s="172">
        <v>45750</v>
      </c>
      <c r="F476" s="161" t="s">
        <v>16</v>
      </c>
      <c r="G476" s="173">
        <v>1270</v>
      </c>
      <c r="H476" s="161" t="s">
        <v>1170</v>
      </c>
      <c r="I476" s="161" t="s">
        <v>1093</v>
      </c>
      <c r="J476" s="161" t="s">
        <v>150</v>
      </c>
      <c r="K476" s="161">
        <v>45758</v>
      </c>
      <c r="L476" s="161">
        <v>1270</v>
      </c>
      <c r="M476" s="162"/>
    </row>
    <row r="477" spans="1:13">
      <c r="A477" s="166"/>
      <c r="B477" s="163" t="s">
        <v>3251</v>
      </c>
      <c r="C477" s="163" t="s">
        <v>1171</v>
      </c>
      <c r="D477" s="170">
        <v>45730</v>
      </c>
      <c r="E477" s="170">
        <v>45747</v>
      </c>
      <c r="F477" s="163"/>
      <c r="G477" s="171">
        <v>1163.22</v>
      </c>
      <c r="H477" s="163" t="s">
        <v>1172</v>
      </c>
      <c r="I477" s="163" t="s">
        <v>279</v>
      </c>
      <c r="J477" s="163" t="s">
        <v>150</v>
      </c>
      <c r="K477" s="170"/>
      <c r="L477" s="163"/>
      <c r="M477" s="164" t="s">
        <v>1173</v>
      </c>
    </row>
    <row r="478" spans="1:13">
      <c r="A478" s="167"/>
      <c r="B478" s="161" t="s">
        <v>3251</v>
      </c>
      <c r="C478" s="161" t="s">
        <v>1174</v>
      </c>
      <c r="D478" s="172">
        <v>45762</v>
      </c>
      <c r="E478" s="172">
        <v>45777</v>
      </c>
      <c r="F478" s="161" t="s">
        <v>16</v>
      </c>
      <c r="G478" s="173">
        <v>705.49</v>
      </c>
      <c r="H478" s="161" t="s">
        <v>1175</v>
      </c>
      <c r="I478" s="161" t="s">
        <v>279</v>
      </c>
      <c r="J478" s="161" t="s">
        <v>150</v>
      </c>
      <c r="K478" s="161">
        <v>45777</v>
      </c>
      <c r="L478" s="161"/>
      <c r="M478" s="162"/>
    </row>
    <row r="479" spans="1:13">
      <c r="A479" s="166"/>
      <c r="B479" s="163" t="s">
        <v>3252</v>
      </c>
      <c r="C479" s="163" t="s">
        <v>1177</v>
      </c>
      <c r="D479" s="170">
        <v>45724</v>
      </c>
      <c r="E479" s="170"/>
      <c r="F479" s="163" t="s">
        <v>16</v>
      </c>
      <c r="G479" s="171">
        <v>182.27</v>
      </c>
      <c r="H479" s="163" t="s">
        <v>1178</v>
      </c>
      <c r="I479" s="163" t="s">
        <v>349</v>
      </c>
      <c r="J479" s="163" t="s">
        <v>751</v>
      </c>
      <c r="K479" s="170"/>
      <c r="L479" s="163"/>
      <c r="M479" s="164"/>
    </row>
    <row r="480" spans="1:13">
      <c r="A480" s="167"/>
      <c r="B480" s="161" t="s">
        <v>3252</v>
      </c>
      <c r="C480" s="161" t="s">
        <v>1179</v>
      </c>
      <c r="D480" s="172">
        <v>45822</v>
      </c>
      <c r="E480" s="172"/>
      <c r="F480" s="161" t="s">
        <v>16</v>
      </c>
      <c r="G480" s="173">
        <v>233.5</v>
      </c>
      <c r="H480" s="161" t="s">
        <v>1180</v>
      </c>
      <c r="I480" s="161" t="s">
        <v>349</v>
      </c>
      <c r="J480" s="161"/>
      <c r="K480" s="172"/>
      <c r="L480" s="161"/>
      <c r="M480" s="162"/>
    </row>
    <row r="481" spans="1:13">
      <c r="A481" s="166"/>
      <c r="B481" s="163" t="s">
        <v>3252</v>
      </c>
      <c r="C481" s="163" t="s">
        <v>1181</v>
      </c>
      <c r="D481" s="170">
        <v>45860</v>
      </c>
      <c r="E481" s="170"/>
      <c r="F481" s="163" t="s">
        <v>16</v>
      </c>
      <c r="G481" s="171">
        <v>16.64</v>
      </c>
      <c r="H481" s="163" t="s">
        <v>1182</v>
      </c>
      <c r="I481" s="163" t="s">
        <v>349</v>
      </c>
      <c r="J481" s="163" t="s">
        <v>794</v>
      </c>
      <c r="K481" s="170"/>
      <c r="L481" s="163"/>
      <c r="M481" s="164"/>
    </row>
    <row r="482" spans="1:13">
      <c r="A482" s="167" t="s">
        <v>316</v>
      </c>
      <c r="B482" s="161" t="s">
        <v>2245</v>
      </c>
      <c r="C482" s="161" t="s">
        <v>1184</v>
      </c>
      <c r="D482" s="172">
        <v>45987</v>
      </c>
      <c r="E482" s="172">
        <v>46017</v>
      </c>
      <c r="F482" s="161" t="s">
        <v>16</v>
      </c>
      <c r="G482" s="173">
        <v>870</v>
      </c>
      <c r="H482" s="161"/>
      <c r="I482" s="161" t="s">
        <v>1185</v>
      </c>
      <c r="J482" s="161" t="s">
        <v>176</v>
      </c>
      <c r="K482" s="161">
        <v>45987</v>
      </c>
      <c r="L482" s="161">
        <v>870</v>
      </c>
      <c r="M482" s="162" t="s">
        <v>71</v>
      </c>
    </row>
    <row r="483" spans="1:13">
      <c r="A483" s="166"/>
      <c r="B483" s="163" t="s">
        <v>2250</v>
      </c>
      <c r="C483" s="163" t="s">
        <v>1187</v>
      </c>
      <c r="D483" s="170">
        <v>45257</v>
      </c>
      <c r="E483" s="170"/>
      <c r="F483" s="163" t="s">
        <v>16</v>
      </c>
      <c r="G483" s="171">
        <v>73.5</v>
      </c>
      <c r="H483" s="163"/>
      <c r="I483" s="163" t="s">
        <v>1188</v>
      </c>
      <c r="J483" s="163" t="s">
        <v>185</v>
      </c>
      <c r="K483" s="170"/>
      <c r="L483" s="163"/>
      <c r="M483" s="164"/>
    </row>
    <row r="484" spans="1:13">
      <c r="A484" s="167"/>
      <c r="B484" s="161" t="s">
        <v>2250</v>
      </c>
      <c r="C484" s="161" t="s">
        <v>1189</v>
      </c>
      <c r="D484" s="172">
        <v>45282</v>
      </c>
      <c r="E484" s="172"/>
      <c r="F484" s="161" t="s">
        <v>16</v>
      </c>
      <c r="G484" s="173">
        <v>110</v>
      </c>
      <c r="H484" s="161"/>
      <c r="I484" s="161" t="s">
        <v>1190</v>
      </c>
      <c r="J484" s="161" t="s">
        <v>185</v>
      </c>
      <c r="K484" s="172"/>
      <c r="L484" s="161"/>
      <c r="M484" s="162"/>
    </row>
    <row r="485" spans="1:13">
      <c r="A485" s="166"/>
      <c r="B485" s="163" t="s">
        <v>2250</v>
      </c>
      <c r="C485" s="163" t="s">
        <v>1191</v>
      </c>
      <c r="D485" s="170">
        <v>45412</v>
      </c>
      <c r="E485" s="170"/>
      <c r="F485" s="163" t="s">
        <v>16</v>
      </c>
      <c r="G485" s="171">
        <v>73.599999999999994</v>
      </c>
      <c r="H485" s="163"/>
      <c r="I485" s="163" t="s">
        <v>1192</v>
      </c>
      <c r="J485" s="163" t="s">
        <v>185</v>
      </c>
      <c r="K485" s="170"/>
      <c r="L485" s="163"/>
      <c r="M485" s="164"/>
    </row>
    <row r="486" spans="1:13">
      <c r="A486" s="167"/>
      <c r="B486" s="161" t="s">
        <v>2250</v>
      </c>
      <c r="C486" s="161" t="s">
        <v>1193</v>
      </c>
      <c r="D486" s="172">
        <v>45643</v>
      </c>
      <c r="E486" s="172"/>
      <c r="F486" s="161" t="s">
        <v>16</v>
      </c>
      <c r="G486" s="173">
        <v>142.4</v>
      </c>
      <c r="H486" s="161"/>
      <c r="I486" s="161" t="s">
        <v>1194</v>
      </c>
      <c r="J486" s="161" t="s">
        <v>185</v>
      </c>
      <c r="K486" s="172"/>
      <c r="L486" s="161"/>
      <c r="M486" s="162"/>
    </row>
    <row r="487" spans="1:13">
      <c r="A487" s="166"/>
      <c r="B487" s="163" t="s">
        <v>2250</v>
      </c>
      <c r="C487" s="163" t="s">
        <v>1195</v>
      </c>
      <c r="D487" s="170">
        <v>45792</v>
      </c>
      <c r="E487" s="170"/>
      <c r="F487" s="163" t="s">
        <v>16</v>
      </c>
      <c r="G487" s="171">
        <v>165.5</v>
      </c>
      <c r="H487" s="163" t="s">
        <v>1196</v>
      </c>
      <c r="I487" s="163" t="s">
        <v>1197</v>
      </c>
      <c r="J487" s="163" t="s">
        <v>56</v>
      </c>
      <c r="K487" s="170"/>
      <c r="L487" s="163"/>
      <c r="M487" s="164"/>
    </row>
    <row r="488" spans="1:13">
      <c r="A488" s="167"/>
      <c r="B488" s="161" t="s">
        <v>2250</v>
      </c>
      <c r="C488" s="161" t="s">
        <v>1195</v>
      </c>
      <c r="D488" s="172">
        <v>45792</v>
      </c>
      <c r="E488" s="172">
        <v>45824</v>
      </c>
      <c r="F488" s="161" t="s">
        <v>16</v>
      </c>
      <c r="G488" s="173">
        <v>40.799999999999997</v>
      </c>
      <c r="H488" s="161" t="s">
        <v>1196</v>
      </c>
      <c r="I488" s="161" t="s">
        <v>1197</v>
      </c>
      <c r="J488" s="161" t="s">
        <v>1198</v>
      </c>
      <c r="K488" s="172"/>
      <c r="L488" s="161"/>
      <c r="M488" s="162"/>
    </row>
    <row r="489" spans="1:13">
      <c r="A489" s="166"/>
      <c r="B489" s="163" t="s">
        <v>2250</v>
      </c>
      <c r="C489" s="163" t="s">
        <v>1199</v>
      </c>
      <c r="D489" s="170">
        <v>46002</v>
      </c>
      <c r="E489" s="170">
        <v>46053</v>
      </c>
      <c r="F489" s="163"/>
      <c r="G489" s="171">
        <v>448.4</v>
      </c>
      <c r="H489" s="163"/>
      <c r="I489" s="163" t="s">
        <v>1200</v>
      </c>
      <c r="J489" s="163" t="s">
        <v>83</v>
      </c>
      <c r="K489" s="170"/>
      <c r="L489" s="163"/>
      <c r="M489" s="164"/>
    </row>
    <row r="490" spans="1:13">
      <c r="A490" s="167"/>
      <c r="B490" s="161" t="s">
        <v>2479</v>
      </c>
      <c r="C490" s="161" t="s">
        <v>1202</v>
      </c>
      <c r="D490" s="172">
        <v>45725</v>
      </c>
      <c r="E490" s="172"/>
      <c r="F490" s="161" t="s">
        <v>16</v>
      </c>
      <c r="G490" s="173">
        <v>203.7</v>
      </c>
      <c r="H490" s="161" t="s">
        <v>1203</v>
      </c>
      <c r="I490" s="161" t="s">
        <v>42</v>
      </c>
      <c r="J490" s="161" t="s">
        <v>751</v>
      </c>
      <c r="K490" s="172"/>
      <c r="L490" s="161"/>
      <c r="M490" s="162"/>
    </row>
    <row r="491" spans="1:13">
      <c r="A491" s="166"/>
      <c r="B491" s="163" t="s">
        <v>2253</v>
      </c>
      <c r="C491" s="163" t="s">
        <v>1205</v>
      </c>
      <c r="D491" s="170">
        <v>45687</v>
      </c>
      <c r="E491" s="170">
        <v>45716</v>
      </c>
      <c r="F491" s="163" t="s">
        <v>16</v>
      </c>
      <c r="G491" s="171">
        <v>419.99</v>
      </c>
      <c r="H491" s="163" t="s">
        <v>1206</v>
      </c>
      <c r="I491" s="163" t="s">
        <v>1207</v>
      </c>
      <c r="J491" s="163" t="s">
        <v>110</v>
      </c>
      <c r="K491" s="170"/>
      <c r="L491" s="163"/>
      <c r="M491" s="164"/>
    </row>
    <row r="492" spans="1:13">
      <c r="A492" s="167"/>
      <c r="B492" s="161" t="s">
        <v>2253</v>
      </c>
      <c r="C492" s="161" t="s">
        <v>1208</v>
      </c>
      <c r="D492" s="172">
        <v>45716</v>
      </c>
      <c r="E492" s="172">
        <v>45747</v>
      </c>
      <c r="F492" s="161" t="s">
        <v>16</v>
      </c>
      <c r="G492" s="173">
        <v>98.26</v>
      </c>
      <c r="H492" s="161" t="s">
        <v>1209</v>
      </c>
      <c r="I492" s="161" t="s">
        <v>1207</v>
      </c>
      <c r="J492" s="161" t="s">
        <v>110</v>
      </c>
      <c r="K492" s="172"/>
      <c r="L492" s="161"/>
      <c r="M492" s="162"/>
    </row>
    <row r="493" spans="1:13">
      <c r="A493" s="166"/>
      <c r="B493" s="163" t="s">
        <v>2253</v>
      </c>
      <c r="C493" s="163" t="s">
        <v>1210</v>
      </c>
      <c r="D493" s="170">
        <v>45838</v>
      </c>
      <c r="E493" s="170">
        <v>45869</v>
      </c>
      <c r="F493" s="163" t="s">
        <v>16</v>
      </c>
      <c r="G493" s="171">
        <v>139.68</v>
      </c>
      <c r="H493" s="163" t="s">
        <v>1211</v>
      </c>
      <c r="I493" s="163" t="s">
        <v>1207</v>
      </c>
      <c r="J493" s="163" t="s">
        <v>110</v>
      </c>
      <c r="K493" s="170"/>
      <c r="L493" s="163"/>
      <c r="M493" s="164"/>
    </row>
    <row r="494" spans="1:13">
      <c r="A494" s="167" t="s">
        <v>1212</v>
      </c>
      <c r="B494" s="161" t="s">
        <v>2253</v>
      </c>
      <c r="C494" s="161" t="s">
        <v>1213</v>
      </c>
      <c r="D494" s="172">
        <v>45991</v>
      </c>
      <c r="E494" s="172">
        <v>46022</v>
      </c>
      <c r="F494" s="161"/>
      <c r="G494" s="173">
        <v>227.51</v>
      </c>
      <c r="H494" s="161"/>
      <c r="I494" s="161" t="s">
        <v>1207</v>
      </c>
      <c r="J494" s="161" t="s">
        <v>110</v>
      </c>
      <c r="K494" s="172"/>
      <c r="L494" s="161">
        <v>227.51</v>
      </c>
      <c r="M494" s="162"/>
    </row>
    <row r="495" spans="1:13">
      <c r="A495" s="166"/>
      <c r="B495" s="163" t="s">
        <v>2478</v>
      </c>
      <c r="C495" s="163" t="s">
        <v>1215</v>
      </c>
      <c r="D495" s="170">
        <v>45736</v>
      </c>
      <c r="E495" s="170"/>
      <c r="F495" s="163" t="s">
        <v>16</v>
      </c>
      <c r="G495" s="171">
        <v>222.4</v>
      </c>
      <c r="H495" s="163" t="s">
        <v>1216</v>
      </c>
      <c r="I495" s="163" t="s">
        <v>42</v>
      </c>
      <c r="J495" s="163" t="s">
        <v>794</v>
      </c>
      <c r="K495" s="170"/>
      <c r="L495" s="163"/>
      <c r="M495" s="164"/>
    </row>
    <row r="496" spans="1:13">
      <c r="A496" s="167"/>
      <c r="B496" s="161" t="s">
        <v>2478</v>
      </c>
      <c r="C496" s="161" t="s">
        <v>1217</v>
      </c>
      <c r="D496" s="172">
        <v>45933</v>
      </c>
      <c r="E496" s="172"/>
      <c r="F496" s="161" t="s">
        <v>16</v>
      </c>
      <c r="G496" s="173">
        <v>149.6</v>
      </c>
      <c r="H496" s="161" t="s">
        <v>1218</v>
      </c>
      <c r="I496" s="161" t="s">
        <v>42</v>
      </c>
      <c r="J496" s="161" t="s">
        <v>215</v>
      </c>
      <c r="K496" s="172"/>
      <c r="L496" s="161"/>
      <c r="M496" s="162"/>
    </row>
    <row r="497" spans="1:13">
      <c r="A497" s="166"/>
      <c r="B497" s="163" t="s">
        <v>3253</v>
      </c>
      <c r="C497" s="163" t="s">
        <v>1220</v>
      </c>
      <c r="D497" s="170">
        <v>45730</v>
      </c>
      <c r="E497" s="170"/>
      <c r="F497" s="163" t="s">
        <v>16</v>
      </c>
      <c r="G497" s="171">
        <v>89</v>
      </c>
      <c r="H497" s="163" t="s">
        <v>1221</v>
      </c>
      <c r="I497" s="163" t="s">
        <v>1222</v>
      </c>
      <c r="J497" s="163" t="s">
        <v>794</v>
      </c>
      <c r="K497" s="170"/>
      <c r="L497" s="163"/>
      <c r="M497" s="164"/>
    </row>
    <row r="498" spans="1:13">
      <c r="A498" s="167"/>
      <c r="B498" s="161" t="s">
        <v>3253</v>
      </c>
      <c r="C498" s="161" t="s">
        <v>1223</v>
      </c>
      <c r="D498" s="172">
        <v>45938</v>
      </c>
      <c r="E498" s="172"/>
      <c r="F498" s="161" t="s">
        <v>16</v>
      </c>
      <c r="G498" s="173">
        <v>239</v>
      </c>
      <c r="H498" s="161" t="s">
        <v>1224</v>
      </c>
      <c r="I498" s="161" t="s">
        <v>1225</v>
      </c>
      <c r="J498" s="161" t="s">
        <v>794</v>
      </c>
      <c r="K498" s="172"/>
      <c r="L498" s="161"/>
      <c r="M498" s="162"/>
    </row>
    <row r="499" spans="1:13">
      <c r="A499" s="166"/>
      <c r="B499" s="163" t="s">
        <v>3254</v>
      </c>
      <c r="C499" s="163" t="s">
        <v>1227</v>
      </c>
      <c r="D499" s="170">
        <v>45612</v>
      </c>
      <c r="E499" s="170">
        <v>45673</v>
      </c>
      <c r="F499" s="163" t="s">
        <v>16</v>
      </c>
      <c r="G499" s="171">
        <v>4980</v>
      </c>
      <c r="H499" s="163" t="s">
        <v>1228</v>
      </c>
      <c r="I499" s="163" t="s">
        <v>1229</v>
      </c>
      <c r="J499" s="163" t="s">
        <v>66</v>
      </c>
      <c r="K499" s="163">
        <v>45729</v>
      </c>
      <c r="L499" s="163">
        <v>7247</v>
      </c>
      <c r="M499" s="164" t="s">
        <v>111</v>
      </c>
    </row>
    <row r="500" spans="1:13">
      <c r="A500" s="167"/>
      <c r="B500" s="161" t="s">
        <v>3254</v>
      </c>
      <c r="C500" s="161" t="s">
        <v>560</v>
      </c>
      <c r="D500" s="172">
        <v>45644</v>
      </c>
      <c r="E500" s="172">
        <v>45674</v>
      </c>
      <c r="F500" s="161" t="s">
        <v>16</v>
      </c>
      <c r="G500" s="173">
        <v>2267</v>
      </c>
      <c r="H500" s="161" t="s">
        <v>1230</v>
      </c>
      <c r="I500" s="161" t="s">
        <v>1231</v>
      </c>
      <c r="J500" s="161" t="s">
        <v>56</v>
      </c>
      <c r="K500" s="161">
        <v>45729</v>
      </c>
      <c r="L500" s="161">
        <v>7247</v>
      </c>
      <c r="M500" s="162" t="s">
        <v>111</v>
      </c>
    </row>
    <row r="501" spans="1:13">
      <c r="A501" s="166"/>
      <c r="B501" s="163" t="s">
        <v>2258</v>
      </c>
      <c r="C501" s="163" t="s">
        <v>1233</v>
      </c>
      <c r="D501" s="170">
        <v>45930</v>
      </c>
      <c r="E501" s="170">
        <v>45961</v>
      </c>
      <c r="F501" s="163"/>
      <c r="G501" s="171">
        <v>1067.5</v>
      </c>
      <c r="H501" s="163" t="s">
        <v>1234</v>
      </c>
      <c r="I501" s="163"/>
      <c r="J501" s="163" t="s">
        <v>56</v>
      </c>
      <c r="K501" s="170"/>
      <c r="L501" s="163"/>
      <c r="M501" s="164"/>
    </row>
    <row r="502" spans="1:13">
      <c r="A502" s="167" t="s">
        <v>13</v>
      </c>
      <c r="B502" s="161" t="s">
        <v>2260</v>
      </c>
      <c r="C502" s="161" t="s">
        <v>1236</v>
      </c>
      <c r="D502" s="172">
        <v>45670</v>
      </c>
      <c r="E502" s="172"/>
      <c r="F502" s="161" t="s">
        <v>16</v>
      </c>
      <c r="G502" s="173">
        <v>123.33</v>
      </c>
      <c r="H502" s="161" t="s">
        <v>1237</v>
      </c>
      <c r="I502" s="161" t="s">
        <v>1238</v>
      </c>
      <c r="J502" s="161" t="s">
        <v>150</v>
      </c>
      <c r="K502" s="161">
        <v>45715</v>
      </c>
      <c r="L502" s="161"/>
      <c r="M502" s="162"/>
    </row>
    <row r="503" spans="1:13">
      <c r="A503" s="166" t="s">
        <v>13</v>
      </c>
      <c r="B503" s="163" t="s">
        <v>2260</v>
      </c>
      <c r="C503" s="163" t="s">
        <v>1239</v>
      </c>
      <c r="D503" s="170">
        <v>45695</v>
      </c>
      <c r="E503" s="170"/>
      <c r="F503" s="163" t="s">
        <v>16</v>
      </c>
      <c r="G503" s="171">
        <v>127.55</v>
      </c>
      <c r="H503" s="163" t="s">
        <v>1240</v>
      </c>
      <c r="I503" s="163" t="s">
        <v>1238</v>
      </c>
      <c r="J503" s="163" t="s">
        <v>150</v>
      </c>
      <c r="K503" s="163">
        <v>45715</v>
      </c>
      <c r="L503" s="163"/>
      <c r="M503" s="164"/>
    </row>
    <row r="504" spans="1:13">
      <c r="A504" s="167" t="s">
        <v>13</v>
      </c>
      <c r="B504" s="161" t="s">
        <v>2260</v>
      </c>
      <c r="C504" s="161" t="s">
        <v>1241</v>
      </c>
      <c r="D504" s="172">
        <v>45727</v>
      </c>
      <c r="E504" s="172"/>
      <c r="F504" s="161" t="s">
        <v>16</v>
      </c>
      <c r="G504" s="173">
        <v>64.180000000000007</v>
      </c>
      <c r="H504" s="161" t="s">
        <v>1242</v>
      </c>
      <c r="I504" s="161" t="s">
        <v>1243</v>
      </c>
      <c r="J504" s="161" t="s">
        <v>150</v>
      </c>
      <c r="K504" s="161">
        <v>45776</v>
      </c>
      <c r="L504" s="161"/>
      <c r="M504" s="162"/>
    </row>
    <row r="505" spans="1:13">
      <c r="A505" s="166" t="s">
        <v>13</v>
      </c>
      <c r="B505" s="163" t="s">
        <v>2260</v>
      </c>
      <c r="C505" s="163" t="s">
        <v>1244</v>
      </c>
      <c r="D505" s="170">
        <v>45756</v>
      </c>
      <c r="E505" s="170"/>
      <c r="F505" s="163" t="s">
        <v>16</v>
      </c>
      <c r="G505" s="171">
        <v>62.38</v>
      </c>
      <c r="H505" s="163" t="s">
        <v>1245</v>
      </c>
      <c r="I505" s="163" t="s">
        <v>1243</v>
      </c>
      <c r="J505" s="163" t="s">
        <v>150</v>
      </c>
      <c r="K505" s="170"/>
      <c r="L505" s="163"/>
      <c r="M505" s="164"/>
    </row>
    <row r="506" spans="1:13">
      <c r="A506" s="167" t="s">
        <v>13</v>
      </c>
      <c r="B506" s="161" t="s">
        <v>2260</v>
      </c>
      <c r="C506" s="161" t="s">
        <v>1246</v>
      </c>
      <c r="D506" s="172">
        <v>45789</v>
      </c>
      <c r="E506" s="172">
        <v>45811</v>
      </c>
      <c r="F506" s="161" t="s">
        <v>16</v>
      </c>
      <c r="G506" s="173">
        <v>285.48</v>
      </c>
      <c r="H506" s="161" t="s">
        <v>1247</v>
      </c>
      <c r="I506" s="161" t="s">
        <v>1238</v>
      </c>
      <c r="J506" s="161" t="s">
        <v>150</v>
      </c>
      <c r="K506" s="172"/>
      <c r="L506" s="161"/>
      <c r="M506" s="162"/>
    </row>
    <row r="507" spans="1:13">
      <c r="A507" s="166" t="s">
        <v>13</v>
      </c>
      <c r="B507" s="163" t="s">
        <v>2260</v>
      </c>
      <c r="C507" s="163" t="s">
        <v>1248</v>
      </c>
      <c r="D507" s="170">
        <v>45789</v>
      </c>
      <c r="E507" s="170">
        <v>45811</v>
      </c>
      <c r="F507" s="163" t="s">
        <v>16</v>
      </c>
      <c r="G507" s="171">
        <v>60.46</v>
      </c>
      <c r="H507" s="163" t="s">
        <v>1249</v>
      </c>
      <c r="I507" s="163" t="s">
        <v>1250</v>
      </c>
      <c r="J507" s="163" t="s">
        <v>150</v>
      </c>
      <c r="K507" s="163" t="s">
        <v>1251</v>
      </c>
      <c r="L507" s="163"/>
      <c r="M507" s="164"/>
    </row>
    <row r="508" spans="1:13">
      <c r="A508" s="167" t="s">
        <v>13</v>
      </c>
      <c r="B508" s="161" t="s">
        <v>2260</v>
      </c>
      <c r="C508" s="161" t="s">
        <v>1252</v>
      </c>
      <c r="D508" s="172">
        <v>45817</v>
      </c>
      <c r="E508" s="172"/>
      <c r="F508" s="161" t="s">
        <v>16</v>
      </c>
      <c r="G508" s="173">
        <v>141.63999999999999</v>
      </c>
      <c r="H508" s="161" t="s">
        <v>1253</v>
      </c>
      <c r="I508" s="161" t="s">
        <v>1238</v>
      </c>
      <c r="J508" s="161" t="s">
        <v>150</v>
      </c>
      <c r="K508" s="161" t="s">
        <v>1251</v>
      </c>
      <c r="L508" s="161"/>
      <c r="M508" s="162"/>
    </row>
    <row r="509" spans="1:13">
      <c r="A509" s="166" t="s">
        <v>13</v>
      </c>
      <c r="B509" s="163" t="s">
        <v>2260</v>
      </c>
      <c r="C509" s="163" t="s">
        <v>1254</v>
      </c>
      <c r="D509" s="170">
        <v>45817</v>
      </c>
      <c r="E509" s="170"/>
      <c r="F509" s="163" t="s">
        <v>16</v>
      </c>
      <c r="G509" s="171">
        <v>60.74</v>
      </c>
      <c r="H509" s="163" t="s">
        <v>1255</v>
      </c>
      <c r="I509" s="163" t="s">
        <v>1250</v>
      </c>
      <c r="J509" s="163" t="s">
        <v>150</v>
      </c>
      <c r="K509" s="170"/>
      <c r="L509" s="163"/>
      <c r="M509" s="164"/>
    </row>
    <row r="510" spans="1:13">
      <c r="A510" s="167" t="s">
        <v>13</v>
      </c>
      <c r="B510" s="161" t="s">
        <v>2260</v>
      </c>
      <c r="C510" s="161" t="s">
        <v>1256</v>
      </c>
      <c r="D510" s="172">
        <v>45848</v>
      </c>
      <c r="E510" s="172"/>
      <c r="F510" s="161" t="s">
        <v>16</v>
      </c>
      <c r="G510" s="173">
        <v>195.83</v>
      </c>
      <c r="H510" s="161" t="s">
        <v>1257</v>
      </c>
      <c r="I510" s="161" t="s">
        <v>1238</v>
      </c>
      <c r="J510" s="161" t="s">
        <v>150</v>
      </c>
      <c r="K510" s="172"/>
      <c r="L510" s="161"/>
      <c r="M510" s="162"/>
    </row>
    <row r="511" spans="1:13">
      <c r="A511" s="166" t="s">
        <v>13</v>
      </c>
      <c r="B511" s="163" t="s">
        <v>2260</v>
      </c>
      <c r="C511" s="163" t="s">
        <v>1258</v>
      </c>
      <c r="D511" s="170">
        <v>45848</v>
      </c>
      <c r="E511" s="170"/>
      <c r="F511" s="163" t="s">
        <v>16</v>
      </c>
      <c r="G511" s="171">
        <v>61.67</v>
      </c>
      <c r="H511" s="163" t="s">
        <v>1259</v>
      </c>
      <c r="I511" s="163" t="s">
        <v>1250</v>
      </c>
      <c r="J511" s="163" t="s">
        <v>150</v>
      </c>
      <c r="K511" s="170"/>
      <c r="L511" s="163"/>
      <c r="M511" s="164"/>
    </row>
    <row r="512" spans="1:13">
      <c r="A512" s="167" t="s">
        <v>13</v>
      </c>
      <c r="B512" s="161" t="s">
        <v>2260</v>
      </c>
      <c r="C512" s="161" t="s">
        <v>1260</v>
      </c>
      <c r="D512" s="172">
        <v>45876</v>
      </c>
      <c r="E512" s="172"/>
      <c r="F512" s="161" t="s">
        <v>16</v>
      </c>
      <c r="G512" s="173">
        <v>204.87</v>
      </c>
      <c r="H512" s="161" t="s">
        <v>1261</v>
      </c>
      <c r="I512" s="161" t="s">
        <v>1238</v>
      </c>
      <c r="J512" s="161" t="s">
        <v>150</v>
      </c>
      <c r="K512" s="172"/>
      <c r="L512" s="161"/>
      <c r="M512" s="162"/>
    </row>
    <row r="513" spans="1:13">
      <c r="A513" s="166" t="s">
        <v>13</v>
      </c>
      <c r="B513" s="163" t="s">
        <v>2260</v>
      </c>
      <c r="C513" s="163" t="s">
        <v>1262</v>
      </c>
      <c r="D513" s="170">
        <v>45876</v>
      </c>
      <c r="E513" s="170"/>
      <c r="F513" s="163" t="s">
        <v>16</v>
      </c>
      <c r="G513" s="171">
        <v>62.13</v>
      </c>
      <c r="H513" s="163" t="s">
        <v>1263</v>
      </c>
      <c r="I513" s="163" t="s">
        <v>1243</v>
      </c>
      <c r="J513" s="163" t="s">
        <v>150</v>
      </c>
      <c r="K513" s="170"/>
      <c r="L513" s="163"/>
      <c r="M513" s="164"/>
    </row>
    <row r="514" spans="1:13">
      <c r="A514" s="167" t="s">
        <v>13</v>
      </c>
      <c r="B514" s="161" t="s">
        <v>2260</v>
      </c>
      <c r="C514" s="161" t="s">
        <v>1264</v>
      </c>
      <c r="D514" s="172">
        <v>45909</v>
      </c>
      <c r="E514" s="172"/>
      <c r="F514" s="161" t="s">
        <v>16</v>
      </c>
      <c r="G514" s="173">
        <v>153.02000000000001</v>
      </c>
      <c r="H514" s="161" t="s">
        <v>1265</v>
      </c>
      <c r="I514" s="161" t="s">
        <v>1238</v>
      </c>
      <c r="J514" s="161" t="s">
        <v>150</v>
      </c>
      <c r="K514" s="172"/>
      <c r="L514" s="161"/>
      <c r="M514" s="162"/>
    </row>
    <row r="515" spans="1:13">
      <c r="A515" s="166" t="s">
        <v>13</v>
      </c>
      <c r="B515" s="163" t="s">
        <v>2260</v>
      </c>
      <c r="C515" s="163" t="s">
        <v>1266</v>
      </c>
      <c r="D515" s="170">
        <v>45909</v>
      </c>
      <c r="E515" s="170"/>
      <c r="F515" s="163" t="s">
        <v>16</v>
      </c>
      <c r="G515" s="171">
        <v>67.14</v>
      </c>
      <c r="H515" s="163" t="s">
        <v>1267</v>
      </c>
      <c r="I515" s="163" t="s">
        <v>1250</v>
      </c>
      <c r="J515" s="163" t="s">
        <v>150</v>
      </c>
      <c r="K515" s="170"/>
      <c r="L515" s="163"/>
      <c r="M515" s="164"/>
    </row>
    <row r="516" spans="1:13">
      <c r="A516" s="167" t="s">
        <v>13</v>
      </c>
      <c r="B516" s="161" t="s">
        <v>2260</v>
      </c>
      <c r="C516" s="161" t="s">
        <v>1268</v>
      </c>
      <c r="D516" s="172">
        <v>45938</v>
      </c>
      <c r="E516" s="172">
        <v>45958</v>
      </c>
      <c r="F516" s="161" t="s">
        <v>16</v>
      </c>
      <c r="G516" s="173">
        <v>149.27000000000001</v>
      </c>
      <c r="H516" s="161" t="s">
        <v>1269</v>
      </c>
      <c r="I516" s="161" t="s">
        <v>1238</v>
      </c>
      <c r="J516" s="161" t="s">
        <v>150</v>
      </c>
      <c r="K516" s="161">
        <v>45958</v>
      </c>
      <c r="L516" s="161">
        <v>210.49</v>
      </c>
      <c r="M516" s="162" t="s">
        <v>71</v>
      </c>
    </row>
    <row r="517" spans="1:13">
      <c r="A517" s="166" t="s">
        <v>13</v>
      </c>
      <c r="B517" s="163" t="s">
        <v>2260</v>
      </c>
      <c r="C517" s="163" t="s">
        <v>1270</v>
      </c>
      <c r="D517" s="170">
        <v>45938</v>
      </c>
      <c r="E517" s="170">
        <v>45958</v>
      </c>
      <c r="F517" s="163" t="s">
        <v>16</v>
      </c>
      <c r="G517" s="171">
        <v>61.22</v>
      </c>
      <c r="H517" s="163" t="s">
        <v>1271</v>
      </c>
      <c r="I517" s="163" t="s">
        <v>1250</v>
      </c>
      <c r="J517" s="163" t="s">
        <v>150</v>
      </c>
      <c r="K517" s="163">
        <v>45958</v>
      </c>
      <c r="L517" s="163">
        <v>210.49</v>
      </c>
      <c r="M517" s="164" t="s">
        <v>71</v>
      </c>
    </row>
    <row r="518" spans="1:13">
      <c r="A518" s="167" t="s">
        <v>13</v>
      </c>
      <c r="B518" s="161" t="s">
        <v>2260</v>
      </c>
      <c r="C518" s="161" t="s">
        <v>1272</v>
      </c>
      <c r="D518" s="172">
        <v>45968</v>
      </c>
      <c r="E518" s="172">
        <v>45989</v>
      </c>
      <c r="F518" s="161" t="s">
        <v>49</v>
      </c>
      <c r="G518" s="173">
        <v>62.11</v>
      </c>
      <c r="H518" s="161"/>
      <c r="I518" s="161" t="s">
        <v>1273</v>
      </c>
      <c r="J518" s="161" t="s">
        <v>150</v>
      </c>
      <c r="K518" s="161">
        <v>45989</v>
      </c>
      <c r="L518" s="161">
        <v>62.11</v>
      </c>
      <c r="M518" s="162" t="s">
        <v>71</v>
      </c>
    </row>
    <row r="519" spans="1:13">
      <c r="A519" s="166" t="s">
        <v>13</v>
      </c>
      <c r="B519" s="163" t="s">
        <v>2260</v>
      </c>
      <c r="C519" s="163" t="s">
        <v>1274</v>
      </c>
      <c r="D519" s="170">
        <v>45968</v>
      </c>
      <c r="E519" s="170">
        <v>45989</v>
      </c>
      <c r="F519" s="163" t="s">
        <v>49</v>
      </c>
      <c r="G519" s="171">
        <v>315.44</v>
      </c>
      <c r="H519" s="163"/>
      <c r="I519" s="163" t="s">
        <v>1275</v>
      </c>
      <c r="J519" s="163" t="s">
        <v>1276</v>
      </c>
      <c r="K519" s="163">
        <v>45989</v>
      </c>
      <c r="L519" s="163">
        <v>315.44</v>
      </c>
      <c r="M519" s="164" t="s">
        <v>71</v>
      </c>
    </row>
    <row r="520" spans="1:13">
      <c r="A520" s="167"/>
      <c r="B520" s="161" t="s">
        <v>2260</v>
      </c>
      <c r="C520" s="161" t="s">
        <v>1277</v>
      </c>
      <c r="D520" s="172">
        <v>46001</v>
      </c>
      <c r="E520" s="172">
        <v>46021</v>
      </c>
      <c r="F520" s="161"/>
      <c r="G520" s="173">
        <v>60.99</v>
      </c>
      <c r="H520" s="161"/>
      <c r="I520" s="161" t="s">
        <v>1278</v>
      </c>
      <c r="J520" s="161" t="s">
        <v>1276</v>
      </c>
      <c r="K520" s="161">
        <v>46021</v>
      </c>
      <c r="L520" s="161">
        <v>60.99</v>
      </c>
      <c r="M520" s="162" t="s">
        <v>71</v>
      </c>
    </row>
    <row r="521" spans="1:13">
      <c r="A521" s="166"/>
      <c r="B521" s="163" t="s">
        <v>2260</v>
      </c>
      <c r="C521" s="163" t="s">
        <v>1279</v>
      </c>
      <c r="D521" s="170">
        <v>46001</v>
      </c>
      <c r="E521" s="170">
        <v>46021</v>
      </c>
      <c r="F521" s="163"/>
      <c r="G521" s="171">
        <v>754.95</v>
      </c>
      <c r="H521" s="163"/>
      <c r="I521" s="163" t="s">
        <v>1280</v>
      </c>
      <c r="J521" s="163" t="s">
        <v>1276</v>
      </c>
      <c r="K521" s="163">
        <v>46021</v>
      </c>
      <c r="L521" s="163">
        <v>754.95</v>
      </c>
      <c r="M521" s="164" t="s">
        <v>71</v>
      </c>
    </row>
    <row r="522" spans="1:13">
      <c r="A522" s="167"/>
      <c r="B522" s="161" t="s">
        <v>2459</v>
      </c>
      <c r="C522" s="161" t="s">
        <v>495</v>
      </c>
      <c r="D522" s="172">
        <v>45702</v>
      </c>
      <c r="E522" s="172"/>
      <c r="F522" s="161" t="s">
        <v>16</v>
      </c>
      <c r="G522" s="173">
        <v>106.32</v>
      </c>
      <c r="H522" s="161" t="s">
        <v>1282</v>
      </c>
      <c r="I522" s="161"/>
      <c r="J522" s="161"/>
      <c r="K522" s="172"/>
      <c r="L522" s="161"/>
      <c r="M522" s="162"/>
    </row>
    <row r="523" spans="1:13">
      <c r="A523" s="166"/>
      <c r="B523" s="163" t="s">
        <v>3255</v>
      </c>
      <c r="C523" s="163" t="s">
        <v>590</v>
      </c>
      <c r="D523" s="170">
        <v>45762</v>
      </c>
      <c r="E523" s="170"/>
      <c r="F523" s="163" t="s">
        <v>16</v>
      </c>
      <c r="G523" s="171">
        <v>9</v>
      </c>
      <c r="H523" s="163" t="s">
        <v>1284</v>
      </c>
      <c r="I523" s="163" t="s">
        <v>457</v>
      </c>
      <c r="J523" s="163" t="s">
        <v>215</v>
      </c>
      <c r="K523" s="170"/>
      <c r="L523" s="163"/>
      <c r="M523" s="164"/>
    </row>
    <row r="524" spans="1:13">
      <c r="A524" s="167"/>
      <c r="B524" s="161" t="s">
        <v>3255</v>
      </c>
      <c r="C524" s="161" t="s">
        <v>1285</v>
      </c>
      <c r="D524" s="172">
        <v>45826</v>
      </c>
      <c r="E524" s="172"/>
      <c r="F524" s="161" t="s">
        <v>16</v>
      </c>
      <c r="G524" s="173">
        <v>17</v>
      </c>
      <c r="H524" s="161" t="s">
        <v>1286</v>
      </c>
      <c r="I524" s="161" t="s">
        <v>457</v>
      </c>
      <c r="J524" s="161" t="s">
        <v>215</v>
      </c>
      <c r="K524" s="172"/>
      <c r="L524" s="161"/>
      <c r="M524" s="162"/>
    </row>
    <row r="525" spans="1:13">
      <c r="A525" s="166"/>
      <c r="B525" s="163" t="s">
        <v>3256</v>
      </c>
      <c r="C525" s="163" t="s">
        <v>1288</v>
      </c>
      <c r="D525" s="170">
        <v>45912</v>
      </c>
      <c r="E525" s="170"/>
      <c r="F525" s="163" t="s">
        <v>16</v>
      </c>
      <c r="G525" s="171">
        <v>107</v>
      </c>
      <c r="H525" s="163" t="s">
        <v>1289</v>
      </c>
      <c r="I525" s="163"/>
      <c r="J525" s="163" t="s">
        <v>215</v>
      </c>
      <c r="K525" s="170"/>
      <c r="L525" s="163"/>
      <c r="M525" s="164"/>
    </row>
    <row r="526" spans="1:13">
      <c r="A526" s="167"/>
      <c r="B526" s="161" t="s">
        <v>2267</v>
      </c>
      <c r="C526" s="161" t="s">
        <v>1291</v>
      </c>
      <c r="D526" s="172">
        <v>45687</v>
      </c>
      <c r="E526" s="172">
        <v>45687</v>
      </c>
      <c r="F526" s="161" t="s">
        <v>16</v>
      </c>
      <c r="G526" s="173">
        <v>3.3</v>
      </c>
      <c r="H526" s="161" t="s">
        <v>1292</v>
      </c>
      <c r="I526" s="161" t="s">
        <v>565</v>
      </c>
      <c r="J526" s="161" t="s">
        <v>150</v>
      </c>
      <c r="K526" s="172"/>
      <c r="L526" s="161"/>
      <c r="M526" s="162" t="s">
        <v>1293</v>
      </c>
    </row>
    <row r="527" spans="1:13">
      <c r="A527" s="166"/>
      <c r="B527" s="163" t="s">
        <v>2267</v>
      </c>
      <c r="C527" s="163" t="s">
        <v>1294</v>
      </c>
      <c r="D527" s="170">
        <v>45687</v>
      </c>
      <c r="E527" s="170">
        <v>45687</v>
      </c>
      <c r="F527" s="163" t="s">
        <v>16</v>
      </c>
      <c r="G527" s="171">
        <v>2.2000000000000002</v>
      </c>
      <c r="H527" s="163" t="s">
        <v>1295</v>
      </c>
      <c r="I527" s="163" t="s">
        <v>565</v>
      </c>
      <c r="J527" s="163" t="s">
        <v>150</v>
      </c>
      <c r="K527" s="170"/>
      <c r="L527" s="163"/>
      <c r="M527" s="164" t="s">
        <v>1293</v>
      </c>
    </row>
    <row r="528" spans="1:13">
      <c r="A528" s="167"/>
      <c r="B528" s="161" t="s">
        <v>2267</v>
      </c>
      <c r="C528" s="161" t="s">
        <v>1296</v>
      </c>
      <c r="D528" s="172">
        <v>45687</v>
      </c>
      <c r="E528" s="172">
        <v>45687</v>
      </c>
      <c r="F528" s="161" t="s">
        <v>16</v>
      </c>
      <c r="G528" s="173">
        <v>10.5</v>
      </c>
      <c r="H528" s="161" t="s">
        <v>1297</v>
      </c>
      <c r="I528" s="161" t="s">
        <v>565</v>
      </c>
      <c r="J528" s="161" t="s">
        <v>150</v>
      </c>
      <c r="K528" s="172"/>
      <c r="L528" s="161"/>
      <c r="M528" s="162" t="s">
        <v>1293</v>
      </c>
    </row>
    <row r="529" spans="1:13">
      <c r="A529" s="166"/>
      <c r="B529" s="163" t="s">
        <v>2267</v>
      </c>
      <c r="C529" s="163" t="s">
        <v>1298</v>
      </c>
      <c r="D529" s="170">
        <v>45687</v>
      </c>
      <c r="E529" s="170">
        <v>45687</v>
      </c>
      <c r="F529" s="163" t="s">
        <v>16</v>
      </c>
      <c r="G529" s="171">
        <v>17.600000000000001</v>
      </c>
      <c r="H529" s="163" t="s">
        <v>1299</v>
      </c>
      <c r="I529" s="163" t="s">
        <v>565</v>
      </c>
      <c r="J529" s="163" t="s">
        <v>150</v>
      </c>
      <c r="K529" s="170"/>
      <c r="L529" s="163"/>
      <c r="M529" s="164" t="s">
        <v>1293</v>
      </c>
    </row>
    <row r="530" spans="1:13">
      <c r="A530" s="167"/>
      <c r="B530" s="161" t="s">
        <v>2267</v>
      </c>
      <c r="C530" s="161" t="s">
        <v>1300</v>
      </c>
      <c r="D530" s="172">
        <v>45716</v>
      </c>
      <c r="E530" s="172"/>
      <c r="F530" s="161" t="s">
        <v>16</v>
      </c>
      <c r="G530" s="173">
        <v>47.6</v>
      </c>
      <c r="H530" s="161" t="s">
        <v>1301</v>
      </c>
      <c r="I530" s="161" t="s">
        <v>1302</v>
      </c>
      <c r="J530" s="161" t="s">
        <v>150</v>
      </c>
      <c r="K530" s="172"/>
      <c r="L530" s="161"/>
      <c r="M530" s="162" t="s">
        <v>1293</v>
      </c>
    </row>
    <row r="531" spans="1:13">
      <c r="A531" s="166"/>
      <c r="B531" s="163" t="s">
        <v>2267</v>
      </c>
      <c r="C531" s="163" t="s">
        <v>1303</v>
      </c>
      <c r="D531" s="170">
        <v>45746</v>
      </c>
      <c r="E531" s="170"/>
      <c r="F531" s="163" t="s">
        <v>16</v>
      </c>
      <c r="G531" s="171">
        <v>6.6</v>
      </c>
      <c r="H531" s="163" t="s">
        <v>1304</v>
      </c>
      <c r="I531" s="163" t="s">
        <v>565</v>
      </c>
      <c r="J531" s="163" t="s">
        <v>150</v>
      </c>
      <c r="K531" s="170"/>
      <c r="L531" s="163"/>
      <c r="M531" s="164" t="s">
        <v>1293</v>
      </c>
    </row>
    <row r="532" spans="1:13">
      <c r="A532" s="167"/>
      <c r="B532" s="161" t="s">
        <v>2267</v>
      </c>
      <c r="C532" s="161" t="s">
        <v>1305</v>
      </c>
      <c r="D532" s="172">
        <v>45746</v>
      </c>
      <c r="E532" s="172"/>
      <c r="F532" s="161" t="s">
        <v>16</v>
      </c>
      <c r="G532" s="173">
        <v>2.2000000000000002</v>
      </c>
      <c r="H532" s="161" t="s">
        <v>1306</v>
      </c>
      <c r="I532" s="161" t="s">
        <v>1302</v>
      </c>
      <c r="J532" s="161" t="s">
        <v>154</v>
      </c>
      <c r="K532" s="172"/>
      <c r="L532" s="161"/>
      <c r="M532" s="162" t="s">
        <v>1293</v>
      </c>
    </row>
    <row r="533" spans="1:13">
      <c r="A533" s="166"/>
      <c r="B533" s="163" t="s">
        <v>2267</v>
      </c>
      <c r="C533" s="163" t="s">
        <v>1307</v>
      </c>
      <c r="D533" s="170">
        <v>45746</v>
      </c>
      <c r="E533" s="170"/>
      <c r="F533" s="163" t="s">
        <v>16</v>
      </c>
      <c r="G533" s="171">
        <v>103.2</v>
      </c>
      <c r="H533" s="163" t="s">
        <v>1308</v>
      </c>
      <c r="I533" s="163" t="s">
        <v>1309</v>
      </c>
      <c r="J533" s="163" t="s">
        <v>150</v>
      </c>
      <c r="K533" s="170"/>
      <c r="L533" s="163"/>
      <c r="M533" s="164" t="s">
        <v>1293</v>
      </c>
    </row>
    <row r="534" spans="1:13">
      <c r="A534" s="167"/>
      <c r="B534" s="161" t="s">
        <v>2267</v>
      </c>
      <c r="C534" s="161" t="s">
        <v>1310</v>
      </c>
      <c r="D534" s="172">
        <v>45777</v>
      </c>
      <c r="E534" s="172"/>
      <c r="F534" s="161" t="s">
        <v>16</v>
      </c>
      <c r="G534" s="173">
        <v>60.4</v>
      </c>
      <c r="H534" s="161" t="s">
        <v>1311</v>
      </c>
      <c r="I534" s="161" t="s">
        <v>565</v>
      </c>
      <c r="J534" s="161" t="s">
        <v>150</v>
      </c>
      <c r="K534" s="161" t="s">
        <v>1251</v>
      </c>
      <c r="L534" s="161"/>
      <c r="M534" s="162" t="s">
        <v>1293</v>
      </c>
    </row>
    <row r="535" spans="1:13">
      <c r="A535" s="166"/>
      <c r="B535" s="163" t="s">
        <v>2267</v>
      </c>
      <c r="C535" s="163" t="s">
        <v>1312</v>
      </c>
      <c r="D535" s="170">
        <v>45807</v>
      </c>
      <c r="E535" s="170"/>
      <c r="F535" s="163" t="s">
        <v>16</v>
      </c>
      <c r="G535" s="171">
        <v>90.8</v>
      </c>
      <c r="H535" s="163" t="s">
        <v>1313</v>
      </c>
      <c r="I535" s="163" t="s">
        <v>565</v>
      </c>
      <c r="J535" s="163" t="s">
        <v>150</v>
      </c>
      <c r="K535" s="163" t="s">
        <v>1251</v>
      </c>
      <c r="L535" s="163"/>
      <c r="M535" s="164" t="s">
        <v>1293</v>
      </c>
    </row>
    <row r="536" spans="1:13">
      <c r="A536" s="167"/>
      <c r="B536" s="161" t="s">
        <v>2267</v>
      </c>
      <c r="C536" s="161" t="s">
        <v>1314</v>
      </c>
      <c r="D536" s="172">
        <v>45838</v>
      </c>
      <c r="E536" s="172"/>
      <c r="F536" s="161" t="s">
        <v>16</v>
      </c>
      <c r="G536" s="173">
        <v>2.2000000000000002</v>
      </c>
      <c r="H536" s="161" t="s">
        <v>1315</v>
      </c>
      <c r="I536" s="161" t="s">
        <v>1309</v>
      </c>
      <c r="J536" s="161" t="s">
        <v>150</v>
      </c>
      <c r="K536" s="161" t="s">
        <v>1251</v>
      </c>
      <c r="L536" s="161"/>
      <c r="M536" s="162" t="s">
        <v>1293</v>
      </c>
    </row>
    <row r="537" spans="1:13">
      <c r="A537" s="166"/>
      <c r="B537" s="163" t="s">
        <v>2267</v>
      </c>
      <c r="C537" s="163" t="s">
        <v>1316</v>
      </c>
      <c r="D537" s="170">
        <v>45838</v>
      </c>
      <c r="E537" s="170"/>
      <c r="F537" s="163" t="s">
        <v>16</v>
      </c>
      <c r="G537" s="171">
        <v>37.6</v>
      </c>
      <c r="H537" s="163" t="s">
        <v>1317</v>
      </c>
      <c r="I537" s="163" t="s">
        <v>1309</v>
      </c>
      <c r="J537" s="163" t="s">
        <v>150</v>
      </c>
      <c r="K537" s="170"/>
      <c r="L537" s="163"/>
      <c r="M537" s="164" t="s">
        <v>1293</v>
      </c>
    </row>
    <row r="538" spans="1:13">
      <c r="A538" s="167"/>
      <c r="B538" s="161" t="s">
        <v>2267</v>
      </c>
      <c r="C538" s="161" t="s">
        <v>1318</v>
      </c>
      <c r="D538" s="172">
        <v>45868</v>
      </c>
      <c r="E538" s="172"/>
      <c r="F538" s="161" t="s">
        <v>16</v>
      </c>
      <c r="G538" s="173">
        <v>18.600000000000001</v>
      </c>
      <c r="H538" s="161" t="s">
        <v>1319</v>
      </c>
      <c r="I538" s="161" t="s">
        <v>1309</v>
      </c>
      <c r="J538" s="161" t="s">
        <v>150</v>
      </c>
      <c r="K538" s="172"/>
      <c r="L538" s="161"/>
      <c r="M538" s="162" t="s">
        <v>1293</v>
      </c>
    </row>
    <row r="539" spans="1:13">
      <c r="A539" s="166"/>
      <c r="B539" s="163" t="s">
        <v>2267</v>
      </c>
      <c r="C539" s="163" t="s">
        <v>1320</v>
      </c>
      <c r="D539" s="170">
        <v>45899</v>
      </c>
      <c r="E539" s="170"/>
      <c r="F539" s="163" t="s">
        <v>16</v>
      </c>
      <c r="G539" s="171">
        <v>6.6</v>
      </c>
      <c r="H539" s="163" t="s">
        <v>1321</v>
      </c>
      <c r="I539" s="163" t="s">
        <v>1309</v>
      </c>
      <c r="J539" s="163" t="s">
        <v>150</v>
      </c>
      <c r="K539" s="170"/>
      <c r="L539" s="163"/>
      <c r="M539" s="164" t="s">
        <v>1293</v>
      </c>
    </row>
    <row r="540" spans="1:13">
      <c r="A540" s="167"/>
      <c r="B540" s="161" t="s">
        <v>2267</v>
      </c>
      <c r="C540" s="161" t="s">
        <v>1322</v>
      </c>
      <c r="D540" s="172">
        <v>45899</v>
      </c>
      <c r="E540" s="172"/>
      <c r="F540" s="161" t="s">
        <v>16</v>
      </c>
      <c r="G540" s="173">
        <v>30.4</v>
      </c>
      <c r="H540" s="161" t="s">
        <v>1323</v>
      </c>
      <c r="I540" s="161" t="s">
        <v>1309</v>
      </c>
      <c r="J540" s="161" t="s">
        <v>150</v>
      </c>
      <c r="K540" s="172"/>
      <c r="L540" s="161"/>
      <c r="M540" s="162" t="s">
        <v>1293</v>
      </c>
    </row>
    <row r="541" spans="1:13">
      <c r="A541" s="166"/>
      <c r="B541" s="163" t="s">
        <v>2267</v>
      </c>
      <c r="C541" s="163" t="s">
        <v>1324</v>
      </c>
      <c r="D541" s="170">
        <v>45930</v>
      </c>
      <c r="E541" s="170"/>
      <c r="F541" s="163" t="s">
        <v>49</v>
      </c>
      <c r="G541" s="171">
        <v>2.2000000000000002</v>
      </c>
      <c r="H541" s="163" t="s">
        <v>1325</v>
      </c>
      <c r="I541" s="163" t="s">
        <v>1309</v>
      </c>
      <c r="J541" s="163" t="s">
        <v>150</v>
      </c>
      <c r="K541" s="170"/>
      <c r="L541" s="163"/>
      <c r="M541" s="164" t="s">
        <v>1293</v>
      </c>
    </row>
    <row r="542" spans="1:13">
      <c r="A542" s="167"/>
      <c r="B542" s="161" t="s">
        <v>2267</v>
      </c>
      <c r="C542" s="161" t="s">
        <v>1326</v>
      </c>
      <c r="D542" s="172">
        <v>45930</v>
      </c>
      <c r="E542" s="172"/>
      <c r="F542" s="161" t="s">
        <v>49</v>
      </c>
      <c r="G542" s="173">
        <v>13.2</v>
      </c>
      <c r="H542" s="161" t="s">
        <v>1327</v>
      </c>
      <c r="I542" s="161" t="s">
        <v>1309</v>
      </c>
      <c r="J542" s="161" t="s">
        <v>150</v>
      </c>
      <c r="K542" s="172"/>
      <c r="L542" s="161"/>
      <c r="M542" s="162" t="s">
        <v>1293</v>
      </c>
    </row>
    <row r="543" spans="1:13">
      <c r="A543" s="166"/>
      <c r="B543" s="163" t="s">
        <v>2267</v>
      </c>
      <c r="C543" s="163" t="s">
        <v>1328</v>
      </c>
      <c r="D543" s="170">
        <v>45960</v>
      </c>
      <c r="E543" s="170"/>
      <c r="F543" s="163" t="s">
        <v>49</v>
      </c>
      <c r="G543" s="171">
        <v>24.2</v>
      </c>
      <c r="H543" s="163"/>
      <c r="I543" s="163" t="s">
        <v>1309</v>
      </c>
      <c r="J543" s="163" t="s">
        <v>150</v>
      </c>
      <c r="K543" s="170"/>
      <c r="L543" s="163"/>
      <c r="M543" s="164" t="s">
        <v>1293</v>
      </c>
    </row>
    <row r="544" spans="1:13">
      <c r="A544" s="167"/>
      <c r="B544" s="161" t="s">
        <v>2267</v>
      </c>
      <c r="C544" s="161" t="s">
        <v>1329</v>
      </c>
      <c r="D544" s="172">
        <v>45991</v>
      </c>
      <c r="E544" s="172"/>
      <c r="F544" s="161" t="s">
        <v>49</v>
      </c>
      <c r="G544" s="173">
        <v>25</v>
      </c>
      <c r="H544" s="161"/>
      <c r="I544" s="161" t="s">
        <v>1309</v>
      </c>
      <c r="J544" s="161" t="s">
        <v>150</v>
      </c>
      <c r="K544" s="172"/>
      <c r="L544" s="161"/>
      <c r="M544" s="162" t="s">
        <v>1293</v>
      </c>
    </row>
    <row r="545" spans="1:13">
      <c r="A545" s="166"/>
      <c r="B545" s="163" t="s">
        <v>3257</v>
      </c>
      <c r="C545" s="163" t="s">
        <v>1331</v>
      </c>
      <c r="D545" s="170">
        <v>45747</v>
      </c>
      <c r="E545" s="170"/>
      <c r="F545" s="163" t="s">
        <v>16</v>
      </c>
      <c r="G545" s="171">
        <v>57.2</v>
      </c>
      <c r="H545" s="163" t="s">
        <v>1332</v>
      </c>
      <c r="I545" s="163" t="s">
        <v>279</v>
      </c>
      <c r="J545" s="163" t="s">
        <v>56</v>
      </c>
      <c r="K545" s="170"/>
      <c r="L545" s="163"/>
      <c r="M545" s="164"/>
    </row>
    <row r="546" spans="1:13">
      <c r="A546" s="167"/>
      <c r="B546" s="161" t="s">
        <v>2264</v>
      </c>
      <c r="C546" s="161" t="s">
        <v>1334</v>
      </c>
      <c r="D546" s="172">
        <v>45933</v>
      </c>
      <c r="E546" s="172">
        <v>45991</v>
      </c>
      <c r="F546" s="161"/>
      <c r="G546" s="173">
        <v>112.07</v>
      </c>
      <c r="H546" s="161" t="s">
        <v>1335</v>
      </c>
      <c r="I546" s="161" t="s">
        <v>87</v>
      </c>
      <c r="J546" s="161" t="s">
        <v>56</v>
      </c>
      <c r="K546" s="172"/>
      <c r="L546" s="161">
        <v>112.07</v>
      </c>
      <c r="M546" s="162"/>
    </row>
    <row r="547" spans="1:13">
      <c r="A547" s="166"/>
      <c r="B547" s="163" t="s">
        <v>2264</v>
      </c>
      <c r="C547" s="163" t="s">
        <v>1336</v>
      </c>
      <c r="D547" s="170">
        <v>46003</v>
      </c>
      <c r="E547" s="170">
        <v>45688</v>
      </c>
      <c r="F547" s="163"/>
      <c r="G547" s="171">
        <v>361.17</v>
      </c>
      <c r="H547" s="163"/>
      <c r="I547" s="163" t="s">
        <v>1337</v>
      </c>
      <c r="J547" s="163" t="s">
        <v>83</v>
      </c>
      <c r="K547" s="170"/>
      <c r="L547" s="163">
        <v>361.07</v>
      </c>
      <c r="M547" s="164"/>
    </row>
    <row r="548" spans="1:13">
      <c r="A548" s="167" t="s">
        <v>13</v>
      </c>
      <c r="B548" s="161" t="s">
        <v>3258</v>
      </c>
      <c r="C548" s="161" t="s">
        <v>1339</v>
      </c>
      <c r="D548" s="172">
        <v>45684</v>
      </c>
      <c r="E548" s="172">
        <v>45726</v>
      </c>
      <c r="F548" s="161"/>
      <c r="G548" s="173">
        <v>53090</v>
      </c>
      <c r="H548" s="161" t="s">
        <v>1340</v>
      </c>
      <c r="I548" s="161" t="s">
        <v>55</v>
      </c>
      <c r="J548" s="161" t="s">
        <v>1341</v>
      </c>
      <c r="K548" s="172"/>
      <c r="L548" s="161">
        <v>27090</v>
      </c>
      <c r="M548" s="162" t="s">
        <v>1342</v>
      </c>
    </row>
    <row r="549" spans="1:13">
      <c r="A549" s="166" t="s">
        <v>13</v>
      </c>
      <c r="B549" s="163" t="s">
        <v>3258</v>
      </c>
      <c r="C549" s="163" t="s">
        <v>1339</v>
      </c>
      <c r="D549" s="170">
        <v>45684</v>
      </c>
      <c r="E549" s="170">
        <v>45757</v>
      </c>
      <c r="F549" s="163"/>
      <c r="G549" s="171">
        <v>53090</v>
      </c>
      <c r="H549" s="163" t="s">
        <v>1340</v>
      </c>
      <c r="I549" s="163" t="s">
        <v>55</v>
      </c>
      <c r="J549" s="163" t="s">
        <v>1341</v>
      </c>
      <c r="K549" s="170"/>
      <c r="L549" s="163">
        <v>53090</v>
      </c>
      <c r="M549" s="164" t="s">
        <v>1343</v>
      </c>
    </row>
    <row r="550" spans="1:13">
      <c r="A550" s="167" t="s">
        <v>2398</v>
      </c>
      <c r="B550" s="161" t="s">
        <v>3258</v>
      </c>
      <c r="C550" s="161" t="s">
        <v>1339</v>
      </c>
      <c r="D550" s="172">
        <v>45684</v>
      </c>
      <c r="E550" s="172">
        <v>45726</v>
      </c>
      <c r="F550" s="161" t="s">
        <v>16</v>
      </c>
      <c r="G550" s="173">
        <v>13000</v>
      </c>
      <c r="H550" s="161" t="s">
        <v>1340</v>
      </c>
      <c r="I550" s="161" t="s">
        <v>1344</v>
      </c>
      <c r="J550" s="161" t="s">
        <v>83</v>
      </c>
      <c r="K550" s="161">
        <v>45945</v>
      </c>
      <c r="L550" s="161">
        <v>13000</v>
      </c>
      <c r="M550" s="162" t="s">
        <v>394</v>
      </c>
    </row>
    <row r="551" spans="1:13">
      <c r="A551" s="166" t="s">
        <v>2398</v>
      </c>
      <c r="B551" s="163" t="s">
        <v>3258</v>
      </c>
      <c r="C551" s="163" t="s">
        <v>1339</v>
      </c>
      <c r="D551" s="170">
        <v>45684</v>
      </c>
      <c r="E551" s="170">
        <v>45726</v>
      </c>
      <c r="F551" s="163" t="s">
        <v>49</v>
      </c>
      <c r="G551" s="171">
        <v>13000</v>
      </c>
      <c r="H551" s="163"/>
      <c r="I551" s="163" t="s">
        <v>1344</v>
      </c>
      <c r="J551" s="163" t="s">
        <v>83</v>
      </c>
      <c r="K551" s="163">
        <v>45968</v>
      </c>
      <c r="L551" s="163">
        <v>13000</v>
      </c>
      <c r="M551" s="164" t="s">
        <v>394</v>
      </c>
    </row>
    <row r="552" spans="1:13">
      <c r="A552" s="167" t="s">
        <v>2398</v>
      </c>
      <c r="B552" s="161" t="s">
        <v>3258</v>
      </c>
      <c r="C552" s="161" t="s">
        <v>1339</v>
      </c>
      <c r="D552" s="172">
        <v>45684</v>
      </c>
      <c r="E552" s="172">
        <v>45726</v>
      </c>
      <c r="F552" s="161"/>
      <c r="G552" s="173"/>
      <c r="H552" s="161"/>
      <c r="I552" s="161"/>
      <c r="J552" s="161"/>
      <c r="K552" s="172"/>
      <c r="L552" s="161"/>
      <c r="M552" s="162"/>
    </row>
    <row r="553" spans="1:13">
      <c r="A553" s="166" t="s">
        <v>2398</v>
      </c>
      <c r="B553" s="163" t="s">
        <v>3258</v>
      </c>
      <c r="C553" s="163" t="s">
        <v>1339</v>
      </c>
      <c r="D553" s="170">
        <v>45684</v>
      </c>
      <c r="E553" s="170">
        <v>45726</v>
      </c>
      <c r="F553" s="163"/>
      <c r="G553" s="171"/>
      <c r="H553" s="163"/>
      <c r="I553" s="163"/>
      <c r="J553" s="163"/>
      <c r="K553" s="170"/>
      <c r="L553" s="163"/>
      <c r="M553" s="164"/>
    </row>
    <row r="554" spans="1:13">
      <c r="A554" s="167"/>
      <c r="B554" s="161" t="s">
        <v>3259</v>
      </c>
      <c r="C554" s="161" t="s">
        <v>3260</v>
      </c>
      <c r="D554" s="172">
        <v>45181</v>
      </c>
      <c r="E554" s="172">
        <v>45240</v>
      </c>
      <c r="F554" s="161"/>
      <c r="G554" s="173">
        <v>10000</v>
      </c>
      <c r="H554" s="161"/>
      <c r="I554" s="161" t="s">
        <v>1345</v>
      </c>
      <c r="J554" s="161" t="s">
        <v>56</v>
      </c>
      <c r="K554" s="172"/>
      <c r="L554" s="161"/>
      <c r="M554" s="162"/>
    </row>
    <row r="555" spans="1:13">
      <c r="A555" s="166" t="s">
        <v>13</v>
      </c>
      <c r="B555" s="163" t="s">
        <v>2275</v>
      </c>
      <c r="C555" s="163" t="s">
        <v>1347</v>
      </c>
      <c r="D555" s="170">
        <v>45972</v>
      </c>
      <c r="E555" s="170">
        <v>45972</v>
      </c>
      <c r="F555" s="163" t="s">
        <v>49</v>
      </c>
      <c r="G555" s="171">
        <v>4200</v>
      </c>
      <c r="H555" s="163"/>
      <c r="I555" s="163" t="s">
        <v>1348</v>
      </c>
      <c r="J555" s="163" t="s">
        <v>83</v>
      </c>
      <c r="K555" s="163">
        <v>45957</v>
      </c>
      <c r="L555" s="163">
        <v>4200</v>
      </c>
      <c r="M555" s="164" t="s">
        <v>246</v>
      </c>
    </row>
    <row r="556" spans="1:13">
      <c r="A556" s="167" t="s">
        <v>1349</v>
      </c>
      <c r="B556" s="161" t="s">
        <v>2275</v>
      </c>
      <c r="C556" s="161" t="s">
        <v>1350</v>
      </c>
      <c r="D556" s="172">
        <v>45972</v>
      </c>
      <c r="E556" s="172">
        <v>45972</v>
      </c>
      <c r="F556" s="161" t="s">
        <v>49</v>
      </c>
      <c r="G556" s="173">
        <v>410</v>
      </c>
      <c r="H556" s="161"/>
      <c r="I556" s="161" t="s">
        <v>1351</v>
      </c>
      <c r="J556" s="161" t="s">
        <v>83</v>
      </c>
      <c r="K556" s="172"/>
      <c r="L556" s="161"/>
      <c r="M556" s="162"/>
    </row>
    <row r="557" spans="1:13">
      <c r="A557" s="166" t="s">
        <v>13</v>
      </c>
      <c r="B557" s="163" t="s">
        <v>2273</v>
      </c>
      <c r="C557" s="163" t="s">
        <v>1353</v>
      </c>
      <c r="D557" s="170">
        <v>45870</v>
      </c>
      <c r="E557" s="170"/>
      <c r="F557" s="163" t="s">
        <v>49</v>
      </c>
      <c r="G557" s="171">
        <v>689</v>
      </c>
      <c r="H557" s="163" t="s">
        <v>1354</v>
      </c>
      <c r="I557" s="163" t="s">
        <v>1355</v>
      </c>
      <c r="J557" s="163" t="s">
        <v>56</v>
      </c>
      <c r="K557" s="170"/>
      <c r="L557" s="163"/>
      <c r="M557" s="164"/>
    </row>
    <row r="558" spans="1:13">
      <c r="A558" s="167" t="s">
        <v>13</v>
      </c>
      <c r="B558" s="161" t="s">
        <v>2273</v>
      </c>
      <c r="C558" s="161" t="s">
        <v>1356</v>
      </c>
      <c r="D558" s="172">
        <v>45901</v>
      </c>
      <c r="E558" s="172"/>
      <c r="F558" s="161" t="s">
        <v>16</v>
      </c>
      <c r="G558" s="173">
        <v>416</v>
      </c>
      <c r="H558" s="161" t="s">
        <v>1357</v>
      </c>
      <c r="I558" s="161" t="s">
        <v>1355</v>
      </c>
      <c r="J558" s="161" t="s">
        <v>215</v>
      </c>
      <c r="K558" s="172"/>
      <c r="L558" s="161"/>
      <c r="M558" s="162"/>
    </row>
    <row r="559" spans="1:13">
      <c r="A559" s="166" t="s">
        <v>13</v>
      </c>
      <c r="B559" s="163" t="s">
        <v>2273</v>
      </c>
      <c r="C559" s="163" t="s">
        <v>1358</v>
      </c>
      <c r="D559" s="170">
        <v>45930</v>
      </c>
      <c r="E559" s="170"/>
      <c r="F559" s="163" t="s">
        <v>49</v>
      </c>
      <c r="G559" s="171">
        <v>1066</v>
      </c>
      <c r="H559" s="163" t="s">
        <v>1359</v>
      </c>
      <c r="I559" s="163" t="s">
        <v>1360</v>
      </c>
      <c r="J559" s="163" t="s">
        <v>215</v>
      </c>
      <c r="K559" s="170"/>
      <c r="L559" s="163"/>
      <c r="M559" s="164"/>
    </row>
    <row r="560" spans="1:13">
      <c r="A560" s="167" t="s">
        <v>13</v>
      </c>
      <c r="B560" s="161" t="s">
        <v>2273</v>
      </c>
      <c r="C560" s="161" t="s">
        <v>1361</v>
      </c>
      <c r="D560" s="172" t="s">
        <v>1362</v>
      </c>
      <c r="E560" s="172">
        <v>45965</v>
      </c>
      <c r="F560" s="161" t="s">
        <v>49</v>
      </c>
      <c r="G560" s="173">
        <v>611</v>
      </c>
      <c r="H560" s="161"/>
      <c r="I560" s="161" t="s">
        <v>1363</v>
      </c>
      <c r="J560" s="161" t="s">
        <v>215</v>
      </c>
      <c r="K560" s="172"/>
      <c r="L560" s="161">
        <v>611</v>
      </c>
      <c r="M560" s="162" t="s">
        <v>1364</v>
      </c>
    </row>
    <row r="561" spans="1:13">
      <c r="A561" s="166" t="s">
        <v>13</v>
      </c>
      <c r="B561" s="163" t="s">
        <v>2273</v>
      </c>
      <c r="C561" s="163" t="s">
        <v>1365</v>
      </c>
      <c r="D561" s="170">
        <v>45994</v>
      </c>
      <c r="E561" s="170">
        <v>45994</v>
      </c>
      <c r="F561" s="163" t="s">
        <v>49</v>
      </c>
      <c r="G561" s="171">
        <v>520</v>
      </c>
      <c r="H561" s="163"/>
      <c r="I561" s="163" t="s">
        <v>1363</v>
      </c>
      <c r="J561" s="163" t="s">
        <v>215</v>
      </c>
      <c r="K561" s="170"/>
      <c r="L561" s="163">
        <v>520</v>
      </c>
      <c r="M561" s="164" t="s">
        <v>1364</v>
      </c>
    </row>
    <row r="562" spans="1:13">
      <c r="A562" s="167" t="s">
        <v>13</v>
      </c>
      <c r="B562" s="161" t="s">
        <v>2278</v>
      </c>
      <c r="C562" s="161" t="s">
        <v>893</v>
      </c>
      <c r="D562" s="172">
        <v>45950</v>
      </c>
      <c r="E562" s="172">
        <v>45950</v>
      </c>
      <c r="F562" s="161" t="s">
        <v>16</v>
      </c>
      <c r="G562" s="173">
        <v>2850</v>
      </c>
      <c r="H562" s="161"/>
      <c r="I562" s="161" t="s">
        <v>1367</v>
      </c>
      <c r="J562" s="161" t="s">
        <v>1368</v>
      </c>
      <c r="K562" s="161">
        <v>45953</v>
      </c>
      <c r="L562" s="161">
        <v>2850</v>
      </c>
      <c r="M562" s="162" t="s">
        <v>70</v>
      </c>
    </row>
    <row r="563" spans="1:13">
      <c r="A563" s="166"/>
      <c r="B563" s="163" t="s">
        <v>3261</v>
      </c>
      <c r="C563" s="163" t="s">
        <v>3262</v>
      </c>
      <c r="D563" s="170">
        <v>44000</v>
      </c>
      <c r="E563" s="170"/>
      <c r="F563" s="163"/>
      <c r="G563" s="171">
        <v>250</v>
      </c>
      <c r="H563" s="163"/>
      <c r="I563" s="163" t="s">
        <v>1371</v>
      </c>
      <c r="J563" s="163" t="s">
        <v>185</v>
      </c>
      <c r="K563" s="170"/>
      <c r="L563" s="163"/>
      <c r="M563" s="164"/>
    </row>
    <row r="564" spans="1:13">
      <c r="A564" s="167" t="s">
        <v>13</v>
      </c>
      <c r="B564" s="161" t="s">
        <v>2279</v>
      </c>
      <c r="C564" s="161" t="s">
        <v>1373</v>
      </c>
      <c r="D564" s="172" t="s">
        <v>1374</v>
      </c>
      <c r="E564" s="172" t="s">
        <v>1374</v>
      </c>
      <c r="F564" s="161" t="s">
        <v>49</v>
      </c>
      <c r="G564" s="173">
        <v>284.89999999999998</v>
      </c>
      <c r="H564" s="161"/>
      <c r="I564" s="161" t="s">
        <v>1375</v>
      </c>
      <c r="J564" s="161" t="s">
        <v>75</v>
      </c>
      <c r="K564" s="161">
        <v>45950</v>
      </c>
      <c r="L564" s="161">
        <v>284.89999999999998</v>
      </c>
      <c r="M564" s="162" t="s">
        <v>19</v>
      </c>
    </row>
    <row r="565" spans="1:13">
      <c r="A565" s="166" t="s">
        <v>1088</v>
      </c>
      <c r="B565" s="163" t="s">
        <v>2279</v>
      </c>
      <c r="C565" s="163" t="s">
        <v>1376</v>
      </c>
      <c r="D565" s="170" t="s">
        <v>1377</v>
      </c>
      <c r="E565" s="170" t="s">
        <v>1377</v>
      </c>
      <c r="F565" s="163" t="s">
        <v>49</v>
      </c>
      <c r="G565" s="171">
        <v>284.89</v>
      </c>
      <c r="H565" s="163"/>
      <c r="I565" s="163" t="s">
        <v>1375</v>
      </c>
      <c r="J565" s="163" t="s">
        <v>83</v>
      </c>
      <c r="K565" s="170"/>
      <c r="L565" s="163"/>
      <c r="M565" s="164"/>
    </row>
    <row r="566" spans="1:13">
      <c r="A566" s="167"/>
      <c r="B566" s="161" t="s">
        <v>3263</v>
      </c>
      <c r="C566" s="161" t="s">
        <v>1379</v>
      </c>
      <c r="D566" s="172">
        <v>45714</v>
      </c>
      <c r="E566" s="172"/>
      <c r="F566" s="161" t="s">
        <v>49</v>
      </c>
      <c r="G566" s="173">
        <v>47.64</v>
      </c>
      <c r="H566" s="161" t="s">
        <v>1380</v>
      </c>
      <c r="I566" s="161" t="s">
        <v>279</v>
      </c>
      <c r="J566" s="161" t="s">
        <v>597</v>
      </c>
      <c r="K566" s="161">
        <v>45817</v>
      </c>
      <c r="L566" s="161">
        <v>2216.0500000000002</v>
      </c>
      <c r="M566" s="162"/>
    </row>
    <row r="567" spans="1:13">
      <c r="A567" s="166"/>
      <c r="B567" s="163" t="s">
        <v>3264</v>
      </c>
      <c r="C567" s="163" t="s">
        <v>1382</v>
      </c>
      <c r="D567" s="170">
        <v>45716</v>
      </c>
      <c r="E567" s="170"/>
      <c r="F567" s="163" t="s">
        <v>16</v>
      </c>
      <c r="G567" s="171">
        <v>2216.0500000000002</v>
      </c>
      <c r="H567" s="163" t="s">
        <v>1383</v>
      </c>
      <c r="I567" s="163" t="s">
        <v>1384</v>
      </c>
      <c r="J567" s="163" t="s">
        <v>125</v>
      </c>
      <c r="K567" s="163">
        <v>45853</v>
      </c>
      <c r="L567" s="163"/>
      <c r="M567" s="164" t="s">
        <v>345</v>
      </c>
    </row>
    <row r="568" spans="1:13">
      <c r="A568" s="167"/>
      <c r="B568" s="161" t="s">
        <v>3264</v>
      </c>
      <c r="C568" s="161" t="s">
        <v>1382</v>
      </c>
      <c r="D568" s="172">
        <v>45716</v>
      </c>
      <c r="E568" s="172"/>
      <c r="F568" s="161" t="s">
        <v>16</v>
      </c>
      <c r="G568" s="173">
        <v>2216.04</v>
      </c>
      <c r="H568" s="161" t="s">
        <v>1383</v>
      </c>
      <c r="I568" s="161" t="s">
        <v>1384</v>
      </c>
      <c r="J568" s="161" t="s">
        <v>125</v>
      </c>
      <c r="K568" s="161">
        <v>45817</v>
      </c>
      <c r="L568" s="161"/>
      <c r="M568" s="162" t="s">
        <v>111</v>
      </c>
    </row>
    <row r="569" spans="1:13">
      <c r="A569" s="166"/>
      <c r="B569" s="163" t="s">
        <v>2481</v>
      </c>
      <c r="C569" s="163" t="s">
        <v>1386</v>
      </c>
      <c r="D569" s="170">
        <v>45729</v>
      </c>
      <c r="E569" s="170"/>
      <c r="F569" s="163" t="s">
        <v>16</v>
      </c>
      <c r="G569" s="171">
        <v>28.94</v>
      </c>
      <c r="H569" s="163" t="s">
        <v>1387</v>
      </c>
      <c r="I569" s="163"/>
      <c r="J569" s="163" t="s">
        <v>794</v>
      </c>
      <c r="K569" s="170"/>
      <c r="L569" s="163"/>
      <c r="M569" s="164"/>
    </row>
    <row r="570" spans="1:13">
      <c r="A570" s="167"/>
      <c r="B570" s="161" t="s">
        <v>3265</v>
      </c>
      <c r="C570" s="161" t="s">
        <v>1389</v>
      </c>
      <c r="D570" s="172">
        <v>45671</v>
      </c>
      <c r="E570" s="172">
        <v>45716</v>
      </c>
      <c r="F570" s="161" t="s">
        <v>16</v>
      </c>
      <c r="G570" s="173">
        <v>597.79999999999995</v>
      </c>
      <c r="H570" s="161" t="s">
        <v>1390</v>
      </c>
      <c r="I570" s="161" t="s">
        <v>1093</v>
      </c>
      <c r="J570" s="161" t="s">
        <v>110</v>
      </c>
      <c r="K570" s="172"/>
      <c r="L570" s="161"/>
      <c r="M570" s="162"/>
    </row>
    <row r="571" spans="1:13">
      <c r="A571" s="166"/>
      <c r="B571" s="163" t="s">
        <v>3265</v>
      </c>
      <c r="C571" s="163" t="s">
        <v>1391</v>
      </c>
      <c r="D571" s="170">
        <v>45828</v>
      </c>
      <c r="E571" s="170"/>
      <c r="F571" s="163"/>
      <c r="G571" s="171">
        <v>219.6</v>
      </c>
      <c r="H571" s="163" t="s">
        <v>1392</v>
      </c>
      <c r="I571" s="163" t="s">
        <v>279</v>
      </c>
      <c r="J571" s="163" t="s">
        <v>66</v>
      </c>
      <c r="K571" s="170"/>
      <c r="L571" s="163"/>
      <c r="M571" s="164"/>
    </row>
    <row r="572" spans="1:13">
      <c r="A572" s="167"/>
      <c r="B572" s="161" t="s">
        <v>2466</v>
      </c>
      <c r="C572" s="161" t="s">
        <v>1394</v>
      </c>
      <c r="D572" s="172">
        <v>45761</v>
      </c>
      <c r="E572" s="172">
        <v>45808</v>
      </c>
      <c r="F572" s="161" t="s">
        <v>16</v>
      </c>
      <c r="G572" s="173">
        <v>1378.6</v>
      </c>
      <c r="H572" s="161" t="s">
        <v>1395</v>
      </c>
      <c r="I572" s="161" t="s">
        <v>312</v>
      </c>
      <c r="J572" s="161" t="s">
        <v>66</v>
      </c>
      <c r="K572" s="161">
        <v>45854</v>
      </c>
      <c r="L572" s="161">
        <v>1378.6</v>
      </c>
      <c r="M572" s="162" t="s">
        <v>345</v>
      </c>
    </row>
    <row r="573" spans="1:13">
      <c r="A573" s="166" t="s">
        <v>13</v>
      </c>
      <c r="B573" s="163" t="s">
        <v>2471</v>
      </c>
      <c r="C573" s="163" t="s">
        <v>1397</v>
      </c>
      <c r="D573" s="170">
        <v>45857</v>
      </c>
      <c r="E573" s="170">
        <v>45900</v>
      </c>
      <c r="F573" s="163" t="s">
        <v>16</v>
      </c>
      <c r="G573" s="171">
        <v>329.4</v>
      </c>
      <c r="H573" s="163" t="s">
        <v>1398</v>
      </c>
      <c r="I573" s="163" t="s">
        <v>1399</v>
      </c>
      <c r="J573" s="163" t="s">
        <v>491</v>
      </c>
      <c r="K573" s="163">
        <v>45945</v>
      </c>
      <c r="L573" s="163">
        <v>329.4</v>
      </c>
      <c r="M573" s="164" t="s">
        <v>246</v>
      </c>
    </row>
    <row r="574" spans="1:13">
      <c r="A574" s="167"/>
      <c r="B574" s="161" t="s">
        <v>3266</v>
      </c>
      <c r="C574" s="161" t="s">
        <v>1401</v>
      </c>
      <c r="D574" s="172">
        <v>45819</v>
      </c>
      <c r="E574" s="172"/>
      <c r="F574" s="161" t="s">
        <v>16</v>
      </c>
      <c r="G574" s="173">
        <v>120.5</v>
      </c>
      <c r="H574" s="161" t="s">
        <v>1402</v>
      </c>
      <c r="I574" s="161" t="s">
        <v>457</v>
      </c>
      <c r="J574" s="161"/>
      <c r="K574" s="172"/>
      <c r="L574" s="161"/>
      <c r="M574" s="162" t="s">
        <v>1403</v>
      </c>
    </row>
    <row r="575" spans="1:13">
      <c r="A575" s="166"/>
      <c r="B575" s="163" t="s">
        <v>2289</v>
      </c>
      <c r="C575" s="163" t="s">
        <v>1405</v>
      </c>
      <c r="D575" s="170">
        <v>45322</v>
      </c>
      <c r="E575" s="170">
        <v>45422</v>
      </c>
      <c r="F575" s="163" t="s">
        <v>16</v>
      </c>
      <c r="G575" s="171">
        <v>13200</v>
      </c>
      <c r="H575" s="163" t="s">
        <v>1406</v>
      </c>
      <c r="I575" s="163" t="s">
        <v>1407</v>
      </c>
      <c r="J575" s="163" t="s">
        <v>1408</v>
      </c>
      <c r="K575" s="163">
        <v>45728</v>
      </c>
      <c r="L575" s="163">
        <v>12985.9</v>
      </c>
      <c r="M575" s="164"/>
    </row>
    <row r="576" spans="1:13">
      <c r="A576" s="167"/>
      <c r="B576" s="161" t="s">
        <v>2289</v>
      </c>
      <c r="C576" s="161" t="s">
        <v>1405</v>
      </c>
      <c r="D576" s="172">
        <v>45322</v>
      </c>
      <c r="E576" s="172">
        <v>45422</v>
      </c>
      <c r="F576" s="161" t="s">
        <v>16</v>
      </c>
      <c r="G576" s="173">
        <v>9360</v>
      </c>
      <c r="H576" s="161" t="s">
        <v>1406</v>
      </c>
      <c r="I576" s="161" t="s">
        <v>1407</v>
      </c>
      <c r="J576" s="161" t="s">
        <v>56</v>
      </c>
      <c r="K576" s="172"/>
      <c r="L576" s="161"/>
      <c r="M576" s="162"/>
    </row>
    <row r="577" spans="1:13">
      <c r="A577" s="166"/>
      <c r="B577" s="163" t="s">
        <v>2289</v>
      </c>
      <c r="C577" s="163" t="s">
        <v>1405</v>
      </c>
      <c r="D577" s="170">
        <v>45322</v>
      </c>
      <c r="E577" s="170">
        <v>45422</v>
      </c>
      <c r="F577" s="163"/>
      <c r="G577" s="171">
        <v>9928.5</v>
      </c>
      <c r="H577" s="163" t="s">
        <v>1406</v>
      </c>
      <c r="I577" s="163" t="s">
        <v>1407</v>
      </c>
      <c r="J577" s="163" t="s">
        <v>56</v>
      </c>
      <c r="K577" s="163">
        <v>45728</v>
      </c>
      <c r="L577" s="163">
        <v>12985.9</v>
      </c>
      <c r="M577" s="164"/>
    </row>
    <row r="578" spans="1:13">
      <c r="A578" s="167"/>
      <c r="B578" s="161" t="s">
        <v>2289</v>
      </c>
      <c r="C578" s="161" t="s">
        <v>1409</v>
      </c>
      <c r="D578" s="172">
        <v>45412</v>
      </c>
      <c r="E578" s="172">
        <v>45514</v>
      </c>
      <c r="F578" s="161" t="s">
        <v>16</v>
      </c>
      <c r="G578" s="173">
        <v>27.95</v>
      </c>
      <c r="H578" s="161" t="s">
        <v>1410</v>
      </c>
      <c r="I578" s="161" t="s">
        <v>1411</v>
      </c>
      <c r="J578" s="161" t="s">
        <v>56</v>
      </c>
      <c r="K578" s="161">
        <v>45728</v>
      </c>
      <c r="L578" s="161">
        <v>12985.9</v>
      </c>
      <c r="M578" s="162"/>
    </row>
    <row r="579" spans="1:13">
      <c r="A579" s="166"/>
      <c r="B579" s="163" t="s">
        <v>2289</v>
      </c>
      <c r="C579" s="163" t="s">
        <v>1412</v>
      </c>
      <c r="D579" s="170">
        <v>45443</v>
      </c>
      <c r="E579" s="170">
        <v>45545</v>
      </c>
      <c r="F579" s="163" t="s">
        <v>16</v>
      </c>
      <c r="G579" s="171">
        <v>591.91999999999996</v>
      </c>
      <c r="H579" s="163" t="s">
        <v>1413</v>
      </c>
      <c r="I579" s="163" t="s">
        <v>1414</v>
      </c>
      <c r="J579" s="163" t="s">
        <v>56</v>
      </c>
      <c r="K579" s="163">
        <v>45728</v>
      </c>
      <c r="L579" s="163">
        <v>12985.9</v>
      </c>
      <c r="M579" s="164"/>
    </row>
    <row r="580" spans="1:13">
      <c r="A580" s="167"/>
      <c r="B580" s="161" t="s">
        <v>2289</v>
      </c>
      <c r="C580" s="161" t="s">
        <v>1415</v>
      </c>
      <c r="D580" s="172">
        <v>45504</v>
      </c>
      <c r="E580" s="172">
        <v>45575</v>
      </c>
      <c r="F580" s="161" t="s">
        <v>16</v>
      </c>
      <c r="G580" s="173">
        <v>842.53</v>
      </c>
      <c r="H580" s="161" t="s">
        <v>1416</v>
      </c>
      <c r="I580" s="161" t="s">
        <v>484</v>
      </c>
      <c r="J580" s="161" t="s">
        <v>56</v>
      </c>
      <c r="K580" s="161">
        <v>45728</v>
      </c>
      <c r="L580" s="161">
        <v>12985.9</v>
      </c>
      <c r="M580" s="162"/>
    </row>
    <row r="581" spans="1:13">
      <c r="A581" s="166"/>
      <c r="B581" s="163" t="s">
        <v>2289</v>
      </c>
      <c r="C581" s="163" t="s">
        <v>1417</v>
      </c>
      <c r="D581" s="170">
        <v>45535</v>
      </c>
      <c r="E581" s="170">
        <v>45606</v>
      </c>
      <c r="F581" s="163" t="s">
        <v>16</v>
      </c>
      <c r="G581" s="171">
        <v>1294.52</v>
      </c>
      <c r="H581" s="163" t="s">
        <v>1418</v>
      </c>
      <c r="I581" s="163" t="s">
        <v>342</v>
      </c>
      <c r="J581" s="163" t="s">
        <v>56</v>
      </c>
      <c r="K581" s="163">
        <v>45728</v>
      </c>
      <c r="L581" s="163">
        <v>12985.9</v>
      </c>
      <c r="M581" s="164"/>
    </row>
    <row r="582" spans="1:13">
      <c r="A582" s="167"/>
      <c r="B582" s="161" t="s">
        <v>2289</v>
      </c>
      <c r="C582" s="161" t="s">
        <v>1419</v>
      </c>
      <c r="D582" s="172">
        <v>45565</v>
      </c>
      <c r="E582" s="172">
        <v>45667</v>
      </c>
      <c r="F582" s="161" t="s">
        <v>16</v>
      </c>
      <c r="G582" s="173">
        <v>280.5</v>
      </c>
      <c r="H582" s="161" t="s">
        <v>1420</v>
      </c>
      <c r="I582" s="161" t="s">
        <v>840</v>
      </c>
      <c r="J582" s="161" t="s">
        <v>597</v>
      </c>
      <c r="K582" s="161">
        <v>45728</v>
      </c>
      <c r="L582" s="161">
        <v>12985.9</v>
      </c>
      <c r="M582" s="162"/>
    </row>
    <row r="583" spans="1:13">
      <c r="A583" s="166"/>
      <c r="B583" s="163" t="s">
        <v>2289</v>
      </c>
      <c r="C583" s="163" t="s">
        <v>1421</v>
      </c>
      <c r="D583" s="170">
        <v>45626</v>
      </c>
      <c r="E583" s="170">
        <v>45726</v>
      </c>
      <c r="F583" s="163" t="s">
        <v>16</v>
      </c>
      <c r="G583" s="171">
        <v>567.80999999999995</v>
      </c>
      <c r="H583" s="163" t="s">
        <v>1422</v>
      </c>
      <c r="I583" s="163" t="s">
        <v>342</v>
      </c>
      <c r="J583" s="163" t="s">
        <v>56</v>
      </c>
      <c r="K583" s="163">
        <v>45728</v>
      </c>
      <c r="L583" s="163">
        <v>12985.9</v>
      </c>
      <c r="M583" s="164"/>
    </row>
    <row r="584" spans="1:13">
      <c r="A584" s="167"/>
      <c r="B584" s="161" t="s">
        <v>2289</v>
      </c>
      <c r="C584" s="161" t="s">
        <v>1423</v>
      </c>
      <c r="D584" s="172">
        <v>45656</v>
      </c>
      <c r="E584" s="172">
        <v>45656</v>
      </c>
      <c r="F584" s="161" t="s">
        <v>16</v>
      </c>
      <c r="G584" s="173">
        <v>20.67</v>
      </c>
      <c r="H584" s="161" t="s">
        <v>1424</v>
      </c>
      <c r="I584" s="161" t="s">
        <v>592</v>
      </c>
      <c r="J584" s="161" t="s">
        <v>56</v>
      </c>
      <c r="K584" s="172"/>
      <c r="L584" s="161">
        <v>12985.9</v>
      </c>
      <c r="M584" s="162"/>
    </row>
    <row r="585" spans="1:13">
      <c r="A585" s="166"/>
      <c r="B585" s="163" t="s">
        <v>2289</v>
      </c>
      <c r="C585" s="163" t="s">
        <v>641</v>
      </c>
      <c r="D585" s="170">
        <v>45747</v>
      </c>
      <c r="E585" s="170">
        <v>45747</v>
      </c>
      <c r="F585" s="163"/>
      <c r="G585" s="171">
        <v>3159.26</v>
      </c>
      <c r="H585" s="163" t="s">
        <v>1425</v>
      </c>
      <c r="I585" s="163" t="s">
        <v>655</v>
      </c>
      <c r="J585" s="163" t="s">
        <v>56</v>
      </c>
      <c r="K585" s="170"/>
      <c r="L585" s="163"/>
      <c r="M585" s="164"/>
    </row>
    <row r="586" spans="1:13">
      <c r="A586" s="167"/>
      <c r="B586" s="161" t="s">
        <v>2289</v>
      </c>
      <c r="C586" s="161" t="s">
        <v>1426</v>
      </c>
      <c r="D586" s="172">
        <v>45777</v>
      </c>
      <c r="E586" s="172">
        <v>45879</v>
      </c>
      <c r="F586" s="161"/>
      <c r="G586" s="173">
        <v>4452.29</v>
      </c>
      <c r="H586" s="161" t="s">
        <v>1427</v>
      </c>
      <c r="I586" s="161"/>
      <c r="J586" s="161" t="s">
        <v>56</v>
      </c>
      <c r="K586" s="172"/>
      <c r="L586" s="161"/>
      <c r="M586" s="162"/>
    </row>
    <row r="587" spans="1:13">
      <c r="A587" s="166"/>
      <c r="B587" s="163" t="s">
        <v>2289</v>
      </c>
      <c r="C587" s="163" t="s">
        <v>1428</v>
      </c>
      <c r="D587" s="170">
        <v>45807</v>
      </c>
      <c r="E587" s="170">
        <v>45910</v>
      </c>
      <c r="F587" s="163"/>
      <c r="G587" s="171">
        <v>51.92</v>
      </c>
      <c r="H587" s="163" t="s">
        <v>1429</v>
      </c>
      <c r="I587" s="163" t="s">
        <v>588</v>
      </c>
      <c r="J587" s="163" t="s">
        <v>56</v>
      </c>
      <c r="K587" s="170"/>
      <c r="L587" s="163"/>
      <c r="M587" s="164"/>
    </row>
    <row r="588" spans="1:13">
      <c r="A588" s="167"/>
      <c r="B588" s="161" t="s">
        <v>2289</v>
      </c>
      <c r="C588" s="161" t="s">
        <v>1430</v>
      </c>
      <c r="D588" s="172">
        <v>45838</v>
      </c>
      <c r="E588" s="172">
        <v>45940</v>
      </c>
      <c r="F588" s="161"/>
      <c r="G588" s="173">
        <v>364.54</v>
      </c>
      <c r="H588" s="161" t="s">
        <v>1431</v>
      </c>
      <c r="I588" s="161" t="s">
        <v>1432</v>
      </c>
      <c r="J588" s="161" t="s">
        <v>66</v>
      </c>
      <c r="K588" s="172"/>
      <c r="L588" s="161"/>
      <c r="M588" s="162"/>
    </row>
    <row r="589" spans="1:13">
      <c r="A589" s="166"/>
      <c r="B589" s="163" t="s">
        <v>2289</v>
      </c>
      <c r="C589" s="163" t="s">
        <v>1433</v>
      </c>
      <c r="D589" s="170">
        <v>45838</v>
      </c>
      <c r="E589" s="170">
        <v>45940</v>
      </c>
      <c r="F589" s="163"/>
      <c r="G589" s="171">
        <v>36.6</v>
      </c>
      <c r="H589" s="163" t="s">
        <v>1434</v>
      </c>
      <c r="I589" s="163"/>
      <c r="J589" s="163" t="s">
        <v>66</v>
      </c>
      <c r="K589" s="170"/>
      <c r="L589" s="163">
        <v>12985.9</v>
      </c>
      <c r="M589" s="164"/>
    </row>
    <row r="590" spans="1:13">
      <c r="A590" s="167"/>
      <c r="B590" s="161" t="s">
        <v>3267</v>
      </c>
      <c r="C590" s="161" t="s">
        <v>1436</v>
      </c>
      <c r="D590" s="172">
        <v>45742</v>
      </c>
      <c r="E590" s="172"/>
      <c r="F590" s="161" t="s">
        <v>16</v>
      </c>
      <c r="G590" s="173">
        <v>87.23</v>
      </c>
      <c r="H590" s="161" t="s">
        <v>1437</v>
      </c>
      <c r="I590" s="161" t="s">
        <v>1093</v>
      </c>
      <c r="J590" s="161"/>
      <c r="K590" s="172"/>
      <c r="L590" s="161"/>
      <c r="M590" s="162"/>
    </row>
    <row r="591" spans="1:13">
      <c r="A591" s="166"/>
      <c r="B591" s="163" t="s">
        <v>3268</v>
      </c>
      <c r="C591" s="163" t="s">
        <v>1439</v>
      </c>
      <c r="D591" s="170">
        <v>45701</v>
      </c>
      <c r="E591" s="170">
        <v>45713</v>
      </c>
      <c r="F591" s="163" t="s">
        <v>16</v>
      </c>
      <c r="G591" s="171">
        <v>154.22</v>
      </c>
      <c r="H591" s="163" t="s">
        <v>1440</v>
      </c>
      <c r="I591" s="163" t="s">
        <v>1348</v>
      </c>
      <c r="J591" s="163" t="s">
        <v>150</v>
      </c>
      <c r="K591" s="170"/>
      <c r="L591" s="163"/>
      <c r="M591" s="164"/>
    </row>
    <row r="592" spans="1:13">
      <c r="A592" s="167"/>
      <c r="B592" s="161" t="s">
        <v>3268</v>
      </c>
      <c r="C592" s="161" t="s">
        <v>1441</v>
      </c>
      <c r="D592" s="172">
        <v>45734</v>
      </c>
      <c r="E592" s="172"/>
      <c r="F592" s="161" t="s">
        <v>16</v>
      </c>
      <c r="G592" s="173">
        <v>154.22</v>
      </c>
      <c r="H592" s="161" t="s">
        <v>1442</v>
      </c>
      <c r="I592" s="161" t="s">
        <v>1443</v>
      </c>
      <c r="J592" s="161" t="s">
        <v>150</v>
      </c>
      <c r="K592" s="172"/>
      <c r="L592" s="161"/>
      <c r="M592" s="162"/>
    </row>
    <row r="593" spans="1:13">
      <c r="A593" s="166"/>
      <c r="B593" s="163" t="s">
        <v>3269</v>
      </c>
      <c r="C593" s="163" t="s">
        <v>1445</v>
      </c>
      <c r="D593" s="170">
        <v>45539</v>
      </c>
      <c r="E593" s="170">
        <v>45606</v>
      </c>
      <c r="F593" s="163" t="s">
        <v>16</v>
      </c>
      <c r="G593" s="171">
        <v>5950</v>
      </c>
      <c r="H593" s="163" t="s">
        <v>1446</v>
      </c>
      <c r="I593" s="163" t="s">
        <v>1447</v>
      </c>
      <c r="J593" s="163" t="s">
        <v>56</v>
      </c>
      <c r="K593" s="170"/>
      <c r="L593" s="163"/>
      <c r="M593" s="164"/>
    </row>
    <row r="594" spans="1:13">
      <c r="A594" s="167"/>
      <c r="B594" s="161" t="s">
        <v>3269</v>
      </c>
      <c r="C594" s="161" t="s">
        <v>1445</v>
      </c>
      <c r="D594" s="172">
        <v>45539</v>
      </c>
      <c r="E594" s="172">
        <v>45636</v>
      </c>
      <c r="F594" s="161" t="s">
        <v>16</v>
      </c>
      <c r="G594" s="173">
        <v>2750</v>
      </c>
      <c r="H594" s="161" t="s">
        <v>1446</v>
      </c>
      <c r="I594" s="161" t="s">
        <v>1447</v>
      </c>
      <c r="J594" s="161" t="s">
        <v>56</v>
      </c>
      <c r="K594" s="161">
        <v>45729</v>
      </c>
      <c r="L594" s="161">
        <v>7000</v>
      </c>
      <c r="M594" s="162" t="s">
        <v>111</v>
      </c>
    </row>
    <row r="595" spans="1:13">
      <c r="A595" s="166"/>
      <c r="B595" s="163" t="s">
        <v>3269</v>
      </c>
      <c r="C595" s="163" t="s">
        <v>1445</v>
      </c>
      <c r="D595" s="170">
        <v>45539</v>
      </c>
      <c r="E595" s="170">
        <v>45636</v>
      </c>
      <c r="F595" s="163" t="s">
        <v>16</v>
      </c>
      <c r="G595" s="171">
        <v>3200</v>
      </c>
      <c r="H595" s="163" t="s">
        <v>1446</v>
      </c>
      <c r="I595" s="163" t="s">
        <v>1447</v>
      </c>
      <c r="J595" s="163" t="s">
        <v>56</v>
      </c>
      <c r="K595" s="163">
        <v>45729</v>
      </c>
      <c r="L595" s="163">
        <v>7000</v>
      </c>
      <c r="M595" s="164" t="s">
        <v>111</v>
      </c>
    </row>
    <row r="596" spans="1:13">
      <c r="A596" s="167"/>
      <c r="B596" s="161" t="s">
        <v>3269</v>
      </c>
      <c r="C596" s="161" t="s">
        <v>1448</v>
      </c>
      <c r="D596" s="172">
        <v>45586</v>
      </c>
      <c r="E596" s="172">
        <v>45667</v>
      </c>
      <c r="F596" s="161" t="s">
        <v>16</v>
      </c>
      <c r="G596" s="173">
        <v>3800</v>
      </c>
      <c r="H596" s="161" t="s">
        <v>1449</v>
      </c>
      <c r="I596" s="161" t="s">
        <v>1450</v>
      </c>
      <c r="J596" s="161" t="s">
        <v>56</v>
      </c>
      <c r="K596" s="172"/>
      <c r="L596" s="161"/>
      <c r="M596" s="162"/>
    </row>
    <row r="597" spans="1:13">
      <c r="A597" s="166"/>
      <c r="B597" s="163" t="s">
        <v>3270</v>
      </c>
      <c r="C597" s="163" t="s">
        <v>335</v>
      </c>
      <c r="D597" s="170">
        <v>45797</v>
      </c>
      <c r="E597" s="170"/>
      <c r="F597" s="163" t="s">
        <v>16</v>
      </c>
      <c r="G597" s="171">
        <v>-8700</v>
      </c>
      <c r="H597" s="163" t="s">
        <v>1452</v>
      </c>
      <c r="I597" s="163" t="s">
        <v>55</v>
      </c>
      <c r="J597" s="163" t="s">
        <v>56</v>
      </c>
      <c r="K597" s="163">
        <v>45833</v>
      </c>
      <c r="L597" s="163">
        <v>4000</v>
      </c>
      <c r="M597" s="164" t="s">
        <v>296</v>
      </c>
    </row>
    <row r="598" spans="1:13">
      <c r="A598" s="167"/>
      <c r="B598" s="161" t="s">
        <v>2296</v>
      </c>
      <c r="C598" s="161" t="s">
        <v>338</v>
      </c>
      <c r="D598" s="172">
        <v>45833</v>
      </c>
      <c r="E598" s="172"/>
      <c r="F598" s="161" t="s">
        <v>16</v>
      </c>
      <c r="G598" s="173">
        <v>4000</v>
      </c>
      <c r="H598" s="161" t="s">
        <v>1454</v>
      </c>
      <c r="I598" s="161" t="s">
        <v>1455</v>
      </c>
      <c r="J598" s="161" t="s">
        <v>56</v>
      </c>
      <c r="K598" s="172"/>
      <c r="L598" s="161"/>
      <c r="M598" s="162"/>
    </row>
    <row r="599" spans="1:13">
      <c r="A599" s="166" t="s">
        <v>13</v>
      </c>
      <c r="B599" s="163" t="s">
        <v>2296</v>
      </c>
      <c r="C599" s="163" t="s">
        <v>335</v>
      </c>
      <c r="D599" s="170">
        <v>46002</v>
      </c>
      <c r="E599" s="170"/>
      <c r="F599" s="163" t="s">
        <v>49</v>
      </c>
      <c r="G599" s="171">
        <v>1100</v>
      </c>
      <c r="H599" s="163" t="s">
        <v>364</v>
      </c>
      <c r="I599" s="163" t="s">
        <v>75</v>
      </c>
      <c r="J599" s="163" t="s">
        <v>1456</v>
      </c>
      <c r="K599" s="163">
        <v>3000</v>
      </c>
      <c r="L599" s="163">
        <v>1100</v>
      </c>
      <c r="M599" s="164" t="s">
        <v>394</v>
      </c>
    </row>
    <row r="600" spans="1:13">
      <c r="A600" s="167" t="s">
        <v>13</v>
      </c>
      <c r="B600" s="161" t="s">
        <v>2296</v>
      </c>
      <c r="C600" s="161" t="s">
        <v>335</v>
      </c>
      <c r="D600" s="172">
        <v>46002</v>
      </c>
      <c r="E600" s="172"/>
      <c r="F600" s="161" t="s">
        <v>49</v>
      </c>
      <c r="G600" s="173">
        <v>3000</v>
      </c>
      <c r="H600" s="161" t="s">
        <v>364</v>
      </c>
      <c r="I600" s="161" t="s">
        <v>75</v>
      </c>
      <c r="J600" s="161" t="s">
        <v>1456</v>
      </c>
      <c r="K600" s="161">
        <v>3000</v>
      </c>
      <c r="L600" s="161">
        <v>3000</v>
      </c>
      <c r="M600" s="162" t="s">
        <v>1457</v>
      </c>
    </row>
    <row r="601" spans="1:13">
      <c r="A601" s="166" t="s">
        <v>13</v>
      </c>
      <c r="B601" s="163" t="s">
        <v>2296</v>
      </c>
      <c r="C601" s="163" t="s">
        <v>335</v>
      </c>
      <c r="D601" s="170">
        <v>46002</v>
      </c>
      <c r="E601" s="170"/>
      <c r="F601" s="163" t="s">
        <v>16</v>
      </c>
      <c r="G601" s="171">
        <v>10900</v>
      </c>
      <c r="H601" s="163" t="s">
        <v>364</v>
      </c>
      <c r="I601" s="163" t="s">
        <v>75</v>
      </c>
      <c r="J601" s="163" t="s">
        <v>1456</v>
      </c>
      <c r="K601" s="163">
        <v>3000</v>
      </c>
      <c r="L601" s="163">
        <v>10900</v>
      </c>
      <c r="M601" s="164" t="s">
        <v>394</v>
      </c>
    </row>
    <row r="602" spans="1:13">
      <c r="A602" s="167" t="s">
        <v>13</v>
      </c>
      <c r="B602" s="161" t="s">
        <v>2296</v>
      </c>
      <c r="C602" s="161" t="s">
        <v>335</v>
      </c>
      <c r="D602" s="172">
        <v>46002</v>
      </c>
      <c r="E602" s="172"/>
      <c r="F602" s="161" t="s">
        <v>49</v>
      </c>
      <c r="G602" s="173">
        <v>2000</v>
      </c>
      <c r="H602" s="161"/>
      <c r="I602" s="161" t="s">
        <v>364</v>
      </c>
      <c r="J602" s="161" t="s">
        <v>75</v>
      </c>
      <c r="K602" s="161">
        <v>45940</v>
      </c>
      <c r="L602" s="161">
        <v>3000</v>
      </c>
      <c r="M602" s="162" t="s">
        <v>394</v>
      </c>
    </row>
    <row r="603" spans="1:13">
      <c r="A603" s="166" t="s">
        <v>13</v>
      </c>
      <c r="B603" s="163" t="s">
        <v>2296</v>
      </c>
      <c r="C603" s="163" t="s">
        <v>335</v>
      </c>
      <c r="D603" s="170">
        <v>46002</v>
      </c>
      <c r="E603" s="170"/>
      <c r="F603" s="163" t="s">
        <v>16</v>
      </c>
      <c r="G603" s="171">
        <v>3000</v>
      </c>
      <c r="H603" s="163"/>
      <c r="I603" s="163" t="s">
        <v>218</v>
      </c>
      <c r="J603" s="163" t="s">
        <v>354</v>
      </c>
      <c r="K603" s="163">
        <v>45978</v>
      </c>
      <c r="L603" s="163">
        <v>2000</v>
      </c>
      <c r="M603" s="164" t="s">
        <v>394</v>
      </c>
    </row>
    <row r="604" spans="1:13">
      <c r="A604" s="167"/>
      <c r="B604" s="161" t="s">
        <v>2463</v>
      </c>
      <c r="C604" s="161" t="s">
        <v>1063</v>
      </c>
      <c r="D604" s="172">
        <v>45751</v>
      </c>
      <c r="E604" s="172"/>
      <c r="F604" s="161" t="s">
        <v>16</v>
      </c>
      <c r="G604" s="173">
        <v>502</v>
      </c>
      <c r="H604" s="161" t="s">
        <v>1459</v>
      </c>
      <c r="I604" s="161" t="s">
        <v>1460</v>
      </c>
      <c r="J604" s="161" t="s">
        <v>56</v>
      </c>
      <c r="K604" s="172"/>
      <c r="L604" s="161"/>
      <c r="M604" s="162"/>
    </row>
    <row r="605" spans="1:13">
      <c r="A605" s="166"/>
      <c r="B605" s="163" t="s">
        <v>2485</v>
      </c>
      <c r="C605" s="163" t="s">
        <v>1462</v>
      </c>
      <c r="D605" s="170">
        <v>45792</v>
      </c>
      <c r="E605" s="170"/>
      <c r="F605" s="163" t="s">
        <v>16</v>
      </c>
      <c r="G605" s="171">
        <v>39</v>
      </c>
      <c r="H605" s="163" t="s">
        <v>1463</v>
      </c>
      <c r="I605" s="163" t="s">
        <v>42</v>
      </c>
      <c r="J605" s="163"/>
      <c r="K605" s="170"/>
      <c r="L605" s="163"/>
      <c r="M605" s="164"/>
    </row>
    <row r="606" spans="1:13">
      <c r="A606" s="167"/>
      <c r="B606" s="161" t="s">
        <v>2485</v>
      </c>
      <c r="C606" s="161" t="s">
        <v>1464</v>
      </c>
      <c r="D606" s="172">
        <v>45793</v>
      </c>
      <c r="E606" s="172"/>
      <c r="F606" s="161" t="s">
        <v>16</v>
      </c>
      <c r="G606" s="173">
        <v>39</v>
      </c>
      <c r="H606" s="161" t="s">
        <v>1465</v>
      </c>
      <c r="I606" s="161" t="s">
        <v>457</v>
      </c>
      <c r="J606" s="161"/>
      <c r="K606" s="172"/>
      <c r="L606" s="161"/>
      <c r="M606" s="162"/>
    </row>
    <row r="607" spans="1:13">
      <c r="A607" s="166"/>
      <c r="B607" s="163" t="s">
        <v>2485</v>
      </c>
      <c r="C607" s="163" t="s">
        <v>1466</v>
      </c>
      <c r="D607" s="170">
        <v>45796</v>
      </c>
      <c r="E607" s="170"/>
      <c r="F607" s="163" t="s">
        <v>16</v>
      </c>
      <c r="G607" s="171">
        <v>26</v>
      </c>
      <c r="H607" s="163" t="s">
        <v>1467</v>
      </c>
      <c r="I607" s="163" t="s">
        <v>457</v>
      </c>
      <c r="J607" s="163"/>
      <c r="K607" s="170"/>
      <c r="L607" s="163"/>
      <c r="M607" s="164"/>
    </row>
    <row r="608" spans="1:13">
      <c r="A608" s="167"/>
      <c r="B608" s="161" t="s">
        <v>2485</v>
      </c>
      <c r="C608" s="161" t="s">
        <v>1468</v>
      </c>
      <c r="D608" s="172">
        <v>45838</v>
      </c>
      <c r="E608" s="172"/>
      <c r="F608" s="161" t="s">
        <v>16</v>
      </c>
      <c r="G608" s="173">
        <v>26</v>
      </c>
      <c r="H608" s="161" t="s">
        <v>1469</v>
      </c>
      <c r="I608" s="161" t="s">
        <v>457</v>
      </c>
      <c r="J608" s="161"/>
      <c r="K608" s="172"/>
      <c r="L608" s="161"/>
      <c r="M608" s="162"/>
    </row>
    <row r="609" spans="1:13">
      <c r="A609" s="166"/>
      <c r="B609" s="163" t="s">
        <v>2485</v>
      </c>
      <c r="C609" s="163" t="s">
        <v>1470</v>
      </c>
      <c r="D609" s="170">
        <v>45840</v>
      </c>
      <c r="E609" s="170"/>
      <c r="F609" s="163" t="s">
        <v>16</v>
      </c>
      <c r="G609" s="171">
        <v>13</v>
      </c>
      <c r="H609" s="163" t="s">
        <v>1471</v>
      </c>
      <c r="I609" s="163" t="s">
        <v>457</v>
      </c>
      <c r="J609" s="163"/>
      <c r="K609" s="163">
        <v>45698</v>
      </c>
      <c r="L609" s="163"/>
      <c r="M609" s="164"/>
    </row>
    <row r="610" spans="1:13">
      <c r="A610" s="167"/>
      <c r="B610" s="161" t="s">
        <v>2456</v>
      </c>
      <c r="C610" s="161" t="s">
        <v>1473</v>
      </c>
      <c r="D610" s="172">
        <v>45693</v>
      </c>
      <c r="E610" s="172"/>
      <c r="F610" s="161" t="s">
        <v>16</v>
      </c>
      <c r="G610" s="173">
        <v>3050</v>
      </c>
      <c r="H610" s="161" t="s">
        <v>1474</v>
      </c>
      <c r="I610" s="161" t="s">
        <v>1475</v>
      </c>
      <c r="J610" s="161" t="s">
        <v>56</v>
      </c>
      <c r="K610" s="161">
        <v>45730</v>
      </c>
      <c r="L610" s="161">
        <v>2000</v>
      </c>
      <c r="M610" s="162" t="s">
        <v>111</v>
      </c>
    </row>
    <row r="611" spans="1:13">
      <c r="A611" s="166"/>
      <c r="B611" s="163" t="s">
        <v>2456</v>
      </c>
      <c r="C611" s="163" t="s">
        <v>1476</v>
      </c>
      <c r="D611" s="170">
        <v>45713</v>
      </c>
      <c r="E611" s="170"/>
      <c r="F611" s="163" t="s">
        <v>16</v>
      </c>
      <c r="G611" s="171">
        <v>2000</v>
      </c>
      <c r="H611" s="163" t="s">
        <v>1477</v>
      </c>
      <c r="I611" s="163" t="s">
        <v>87</v>
      </c>
      <c r="J611" s="163" t="s">
        <v>56</v>
      </c>
      <c r="K611" s="163">
        <v>45817</v>
      </c>
      <c r="L611" s="163">
        <v>1500</v>
      </c>
      <c r="M611" s="164" t="s">
        <v>111</v>
      </c>
    </row>
    <row r="612" spans="1:13">
      <c r="A612" s="167"/>
      <c r="B612" s="161" t="s">
        <v>2456</v>
      </c>
      <c r="C612" s="161" t="s">
        <v>1476</v>
      </c>
      <c r="D612" s="172">
        <v>45713</v>
      </c>
      <c r="E612" s="172"/>
      <c r="F612" s="161" t="s">
        <v>16</v>
      </c>
      <c r="G612" s="173">
        <v>1050</v>
      </c>
      <c r="H612" s="161" t="s">
        <v>1477</v>
      </c>
      <c r="I612" s="161" t="s">
        <v>87</v>
      </c>
      <c r="J612" s="161" t="s">
        <v>56</v>
      </c>
      <c r="K612" s="161">
        <v>45817</v>
      </c>
      <c r="L612" s="161">
        <v>1500</v>
      </c>
      <c r="M612" s="162" t="s">
        <v>111</v>
      </c>
    </row>
    <row r="613" spans="1:13">
      <c r="A613" s="166"/>
      <c r="B613" s="163" t="s">
        <v>2456</v>
      </c>
      <c r="C613" s="163" t="s">
        <v>1478</v>
      </c>
      <c r="D613" s="170">
        <v>45743</v>
      </c>
      <c r="E613" s="170"/>
      <c r="F613" s="163" t="s">
        <v>16</v>
      </c>
      <c r="G613" s="171">
        <v>450</v>
      </c>
      <c r="H613" s="163" t="s">
        <v>1479</v>
      </c>
      <c r="I613" s="163" t="s">
        <v>1384</v>
      </c>
      <c r="J613" s="163"/>
      <c r="K613" s="170"/>
      <c r="L613" s="163"/>
      <c r="M613" s="164"/>
    </row>
    <row r="614" spans="1:13">
      <c r="A614" s="167"/>
      <c r="B614" s="161" t="s">
        <v>2456</v>
      </c>
      <c r="C614" s="161" t="s">
        <v>1478</v>
      </c>
      <c r="D614" s="172">
        <v>45743</v>
      </c>
      <c r="E614" s="172"/>
      <c r="F614" s="161" t="s">
        <v>16</v>
      </c>
      <c r="G614" s="173">
        <v>1611.8</v>
      </c>
      <c r="H614" s="161" t="s">
        <v>1479</v>
      </c>
      <c r="I614" s="161" t="s">
        <v>1384</v>
      </c>
      <c r="J614" s="161"/>
      <c r="K614" s="172"/>
      <c r="L614" s="161"/>
      <c r="M614" s="162"/>
    </row>
    <row r="615" spans="1:13">
      <c r="A615" s="166"/>
      <c r="B615" s="163" t="s">
        <v>2487</v>
      </c>
      <c r="C615" s="163" t="s">
        <v>1481</v>
      </c>
      <c r="D615" s="170">
        <v>45860</v>
      </c>
      <c r="E615" s="170"/>
      <c r="F615" s="163" t="s">
        <v>16</v>
      </c>
      <c r="G615" s="171">
        <v>92.07</v>
      </c>
      <c r="H615" s="163" t="s">
        <v>1482</v>
      </c>
      <c r="I615" s="163"/>
      <c r="J615" s="163" t="s">
        <v>215</v>
      </c>
      <c r="K615" s="163">
        <v>45853</v>
      </c>
      <c r="L615" s="163"/>
      <c r="M615" s="164" t="s">
        <v>345</v>
      </c>
    </row>
    <row r="616" spans="1:13">
      <c r="A616" s="167"/>
      <c r="B616" s="161" t="s">
        <v>2301</v>
      </c>
      <c r="C616" s="161" t="s">
        <v>1484</v>
      </c>
      <c r="D616" s="172">
        <v>45596</v>
      </c>
      <c r="E616" s="172">
        <v>45626</v>
      </c>
      <c r="F616" s="161" t="s">
        <v>16</v>
      </c>
      <c r="G616" s="173">
        <v>1300</v>
      </c>
      <c r="H616" s="161" t="s">
        <v>1485</v>
      </c>
      <c r="I616" s="161" t="s">
        <v>1486</v>
      </c>
      <c r="J616" s="161" t="s">
        <v>56</v>
      </c>
      <c r="K616" s="161">
        <v>45730</v>
      </c>
      <c r="L616" s="161">
        <v>1300</v>
      </c>
      <c r="M616" s="162" t="s">
        <v>111</v>
      </c>
    </row>
    <row r="617" spans="1:13">
      <c r="A617" s="166"/>
      <c r="B617" s="163" t="s">
        <v>2301</v>
      </c>
      <c r="C617" s="163" t="s">
        <v>1487</v>
      </c>
      <c r="D617" s="170">
        <v>45656</v>
      </c>
      <c r="E617" s="170">
        <v>45716</v>
      </c>
      <c r="F617" s="163" t="s">
        <v>16</v>
      </c>
      <c r="G617" s="171">
        <v>1300</v>
      </c>
      <c r="H617" s="163" t="s">
        <v>1488</v>
      </c>
      <c r="I617" s="163" t="s">
        <v>1489</v>
      </c>
      <c r="J617" s="163" t="s">
        <v>56</v>
      </c>
      <c r="K617" s="170"/>
      <c r="L617" s="163"/>
      <c r="M617" s="164"/>
    </row>
    <row r="618" spans="1:13">
      <c r="A618" s="167"/>
      <c r="B618" s="161" t="s">
        <v>2301</v>
      </c>
      <c r="C618" s="161" t="s">
        <v>1490</v>
      </c>
      <c r="D618" s="172">
        <v>45991</v>
      </c>
      <c r="E618" s="172">
        <v>46022</v>
      </c>
      <c r="F618" s="161"/>
      <c r="G618" s="173">
        <v>3600</v>
      </c>
      <c r="H618" s="161"/>
      <c r="I618" s="161" t="s">
        <v>790</v>
      </c>
      <c r="J618" s="161" t="s">
        <v>56</v>
      </c>
      <c r="K618" s="172"/>
      <c r="L618" s="161">
        <v>3600</v>
      </c>
      <c r="M618" s="162"/>
    </row>
    <row r="619" spans="1:13">
      <c r="A619" s="166"/>
      <c r="B619" s="163" t="s">
        <v>2301</v>
      </c>
      <c r="C619" s="163" t="s">
        <v>1491</v>
      </c>
      <c r="D619" s="170">
        <v>45991</v>
      </c>
      <c r="E619" s="170">
        <v>46022</v>
      </c>
      <c r="F619" s="163"/>
      <c r="G619" s="171">
        <v>1700</v>
      </c>
      <c r="H619" s="163"/>
      <c r="I619" s="163" t="s">
        <v>1492</v>
      </c>
      <c r="J619" s="163" t="s">
        <v>56</v>
      </c>
      <c r="K619" s="170"/>
      <c r="L619" s="163">
        <v>1700</v>
      </c>
      <c r="M619" s="164"/>
    </row>
    <row r="620" spans="1:13">
      <c r="A620" s="167"/>
      <c r="B620" s="161" t="s">
        <v>3271</v>
      </c>
      <c r="C620" s="161" t="s">
        <v>335</v>
      </c>
      <c r="D620" s="172">
        <v>45673</v>
      </c>
      <c r="E620" s="172">
        <v>45716</v>
      </c>
      <c r="F620" s="161" t="s">
        <v>16</v>
      </c>
      <c r="G620" s="173">
        <v>2500</v>
      </c>
      <c r="H620" s="161" t="s">
        <v>1494</v>
      </c>
      <c r="I620" s="161" t="s">
        <v>1231</v>
      </c>
      <c r="J620" s="161" t="s">
        <v>110</v>
      </c>
      <c r="K620" s="172"/>
      <c r="L620" s="161"/>
      <c r="M620" s="162"/>
    </row>
    <row r="621" spans="1:13">
      <c r="A621" s="166">
        <v>2024</v>
      </c>
      <c r="B621" s="163" t="s">
        <v>3272</v>
      </c>
      <c r="C621" s="163" t="s">
        <v>1496</v>
      </c>
      <c r="D621" s="170">
        <v>45393</v>
      </c>
      <c r="E621" s="170"/>
      <c r="F621" s="163" t="s">
        <v>16</v>
      </c>
      <c r="G621" s="171">
        <v>3928.09</v>
      </c>
      <c r="H621" s="163" t="s">
        <v>1497</v>
      </c>
      <c r="I621" s="163" t="s">
        <v>1498</v>
      </c>
      <c r="J621" s="163" t="s">
        <v>110</v>
      </c>
      <c r="K621" s="170"/>
      <c r="L621" s="163"/>
      <c r="M621" s="164"/>
    </row>
    <row r="622" spans="1:13">
      <c r="A622" s="167">
        <v>2024</v>
      </c>
      <c r="B622" s="161" t="s">
        <v>3272</v>
      </c>
      <c r="C622" s="161" t="s">
        <v>1499</v>
      </c>
      <c r="D622" s="172">
        <v>45393</v>
      </c>
      <c r="E622" s="172"/>
      <c r="F622" s="161" t="s">
        <v>16</v>
      </c>
      <c r="G622" s="173">
        <v>1000</v>
      </c>
      <c r="H622" s="161" t="s">
        <v>1500</v>
      </c>
      <c r="I622" s="161" t="s">
        <v>1501</v>
      </c>
      <c r="J622" s="161" t="s">
        <v>110</v>
      </c>
      <c r="K622" s="172"/>
      <c r="L622" s="161"/>
      <c r="M622" s="162"/>
    </row>
    <row r="623" spans="1:13">
      <c r="A623" s="166" t="s">
        <v>1503</v>
      </c>
      <c r="B623" s="163" t="s">
        <v>3272</v>
      </c>
      <c r="C623" s="163" t="s">
        <v>1505</v>
      </c>
      <c r="D623" s="170">
        <v>45803</v>
      </c>
      <c r="E623" s="170"/>
      <c r="F623" s="163"/>
      <c r="G623" s="171">
        <v>80000</v>
      </c>
      <c r="H623" s="163" t="s">
        <v>1506</v>
      </c>
      <c r="I623" s="163" t="s">
        <v>312</v>
      </c>
      <c r="J623" s="163"/>
      <c r="K623" s="163" t="s">
        <v>1507</v>
      </c>
      <c r="L623" s="163">
        <v>125000</v>
      </c>
      <c r="M623" s="164"/>
    </row>
    <row r="624" spans="1:13">
      <c r="A624" s="167" t="s">
        <v>1503</v>
      </c>
      <c r="B624" s="161" t="s">
        <v>3272</v>
      </c>
      <c r="C624" s="161" t="s">
        <v>1508</v>
      </c>
      <c r="D624" s="172">
        <v>45803</v>
      </c>
      <c r="E624" s="172"/>
      <c r="F624" s="161"/>
      <c r="G624" s="173">
        <v>45000</v>
      </c>
      <c r="H624" s="161" t="s">
        <v>1509</v>
      </c>
      <c r="I624" s="161" t="s">
        <v>484</v>
      </c>
      <c r="J624" s="161"/>
      <c r="K624" s="172"/>
      <c r="L624" s="161" t="s">
        <v>1510</v>
      </c>
      <c r="M624" s="162" t="s">
        <v>2401</v>
      </c>
    </row>
    <row r="625" spans="1:13">
      <c r="A625" s="166" t="s">
        <v>1511</v>
      </c>
      <c r="B625" s="163" t="s">
        <v>3272</v>
      </c>
      <c r="C625" s="163"/>
      <c r="D625" s="170"/>
      <c r="E625" s="170"/>
      <c r="F625" s="163"/>
      <c r="G625" s="171">
        <v>25000</v>
      </c>
      <c r="H625" s="163"/>
      <c r="I625" s="163" t="s">
        <v>1512</v>
      </c>
      <c r="J625" s="163" t="s">
        <v>1513</v>
      </c>
      <c r="K625" s="170"/>
      <c r="L625" s="163">
        <v>100000</v>
      </c>
      <c r="M625" s="164" t="s">
        <v>1514</v>
      </c>
    </row>
    <row r="626" spans="1:13">
      <c r="A626" s="167" t="s">
        <v>1502</v>
      </c>
      <c r="B626" s="161" t="s">
        <v>3272</v>
      </c>
      <c r="C626" s="161"/>
      <c r="D626" s="172"/>
      <c r="E626" s="172"/>
      <c r="F626" s="161" t="s">
        <v>49</v>
      </c>
      <c r="G626" s="173">
        <v>10000</v>
      </c>
      <c r="H626" s="161"/>
      <c r="I626" s="161" t="s">
        <v>1503</v>
      </c>
      <c r="J626" s="161" t="s">
        <v>1504</v>
      </c>
      <c r="K626" s="161">
        <v>45873</v>
      </c>
      <c r="L626" s="161">
        <v>90000</v>
      </c>
      <c r="M626" s="162" t="s">
        <v>345</v>
      </c>
    </row>
    <row r="627" spans="1:13">
      <c r="A627" s="166" t="s">
        <v>1502</v>
      </c>
      <c r="B627" s="163" t="s">
        <v>3272</v>
      </c>
      <c r="C627" s="163"/>
      <c r="D627" s="170"/>
      <c r="E627" s="170"/>
      <c r="F627" s="163" t="s">
        <v>49</v>
      </c>
      <c r="G627" s="171">
        <v>25000</v>
      </c>
      <c r="H627" s="163"/>
      <c r="I627" s="163" t="s">
        <v>1503</v>
      </c>
      <c r="J627" s="163" t="s">
        <v>125</v>
      </c>
      <c r="K627" s="163">
        <v>45930</v>
      </c>
      <c r="L627" s="163">
        <v>65000</v>
      </c>
      <c r="M627" s="164" t="s">
        <v>345</v>
      </c>
    </row>
    <row r="628" spans="1:13">
      <c r="A628" s="167" t="s">
        <v>1502</v>
      </c>
      <c r="B628" s="161" t="s">
        <v>3272</v>
      </c>
      <c r="C628" s="161"/>
      <c r="D628" s="172"/>
      <c r="E628" s="172"/>
      <c r="F628" s="161" t="s">
        <v>49</v>
      </c>
      <c r="G628" s="173">
        <v>13000</v>
      </c>
      <c r="H628" s="161"/>
      <c r="I628" s="161" t="s">
        <v>1503</v>
      </c>
      <c r="J628" s="161" t="s">
        <v>374</v>
      </c>
      <c r="K628" s="161">
        <v>45957</v>
      </c>
      <c r="L628" s="161">
        <v>52000</v>
      </c>
      <c r="M628" s="162" t="s">
        <v>345</v>
      </c>
    </row>
    <row r="629" spans="1:13">
      <c r="A629" s="166" t="s">
        <v>1502</v>
      </c>
      <c r="B629" s="163" t="s">
        <v>3272</v>
      </c>
      <c r="C629" s="163"/>
      <c r="D629" s="170"/>
      <c r="E629" s="170"/>
      <c r="F629" s="163" t="s">
        <v>49</v>
      </c>
      <c r="G629" s="171">
        <v>12000</v>
      </c>
      <c r="H629" s="163"/>
      <c r="I629" s="163" t="s">
        <v>1503</v>
      </c>
      <c r="J629" s="163" t="s">
        <v>125</v>
      </c>
      <c r="K629" s="163">
        <v>45988</v>
      </c>
      <c r="L629" s="163">
        <v>40000</v>
      </c>
      <c r="M629" s="164" t="s">
        <v>345</v>
      </c>
    </row>
    <row r="630" spans="1:13">
      <c r="A630" s="167" t="s">
        <v>1502</v>
      </c>
      <c r="B630" s="161" t="s">
        <v>3272</v>
      </c>
      <c r="C630" s="161"/>
      <c r="D630" s="172"/>
      <c r="E630" s="172"/>
      <c r="F630" s="161"/>
      <c r="G630" s="173">
        <v>5000</v>
      </c>
      <c r="H630" s="161"/>
      <c r="I630" s="161" t="s">
        <v>1503</v>
      </c>
      <c r="J630" s="161" t="s">
        <v>1504</v>
      </c>
      <c r="K630" s="172"/>
      <c r="L630" s="161">
        <v>35000</v>
      </c>
      <c r="M630" s="162"/>
    </row>
    <row r="631" spans="1:13">
      <c r="A631" s="166" t="s">
        <v>1502</v>
      </c>
      <c r="B631" s="163" t="s">
        <v>3272</v>
      </c>
      <c r="C631" s="163"/>
      <c r="D631" s="170"/>
      <c r="E631" s="170"/>
      <c r="F631" s="163"/>
      <c r="G631" s="171">
        <v>5000</v>
      </c>
      <c r="H631" s="163"/>
      <c r="I631" s="163" t="s">
        <v>1503</v>
      </c>
      <c r="J631" s="163" t="s">
        <v>1504</v>
      </c>
      <c r="K631" s="170"/>
      <c r="L631" s="163">
        <v>30000</v>
      </c>
      <c r="M631" s="164"/>
    </row>
    <row r="632" spans="1:13">
      <c r="A632" s="167" t="s">
        <v>1502</v>
      </c>
      <c r="B632" s="161" t="s">
        <v>3272</v>
      </c>
      <c r="C632" s="161"/>
      <c r="D632" s="172"/>
      <c r="E632" s="172"/>
      <c r="F632" s="161"/>
      <c r="G632" s="173">
        <v>5000</v>
      </c>
      <c r="H632" s="161"/>
      <c r="I632" s="161" t="s">
        <v>1503</v>
      </c>
      <c r="J632" s="161" t="s">
        <v>1504</v>
      </c>
      <c r="K632" s="172"/>
      <c r="L632" s="161">
        <v>25000</v>
      </c>
      <c r="M632" s="162"/>
    </row>
    <row r="633" spans="1:13">
      <c r="A633" s="166" t="s">
        <v>1502</v>
      </c>
      <c r="B633" s="163" t="s">
        <v>3272</v>
      </c>
      <c r="C633" s="163"/>
      <c r="D633" s="170"/>
      <c r="E633" s="170"/>
      <c r="F633" s="163"/>
      <c r="G633" s="171">
        <v>5000</v>
      </c>
      <c r="H633" s="163"/>
      <c r="I633" s="163" t="s">
        <v>1503</v>
      </c>
      <c r="J633" s="163" t="s">
        <v>1504</v>
      </c>
      <c r="K633" s="170"/>
      <c r="L633" s="163">
        <v>20000</v>
      </c>
      <c r="M633" s="164"/>
    </row>
    <row r="634" spans="1:13">
      <c r="A634" s="167" t="s">
        <v>1502</v>
      </c>
      <c r="B634" s="161" t="s">
        <v>3272</v>
      </c>
      <c r="C634" s="161"/>
      <c r="D634" s="172"/>
      <c r="E634" s="172"/>
      <c r="F634" s="161"/>
      <c r="G634" s="173">
        <v>5000</v>
      </c>
      <c r="H634" s="161"/>
      <c r="I634" s="161" t="s">
        <v>1503</v>
      </c>
      <c r="J634" s="161" t="s">
        <v>1504</v>
      </c>
      <c r="K634" s="172"/>
      <c r="L634" s="161">
        <v>15000</v>
      </c>
      <c r="M634" s="162"/>
    </row>
    <row r="635" spans="1:13">
      <c r="A635" s="166" t="s">
        <v>1502</v>
      </c>
      <c r="B635" s="163" t="s">
        <v>3272</v>
      </c>
      <c r="C635" s="163"/>
      <c r="D635" s="170"/>
      <c r="E635" s="170"/>
      <c r="F635" s="163"/>
      <c r="G635" s="171">
        <v>5000</v>
      </c>
      <c r="H635" s="163"/>
      <c r="I635" s="163" t="s">
        <v>1503</v>
      </c>
      <c r="J635" s="163" t="s">
        <v>1504</v>
      </c>
      <c r="K635" s="170"/>
      <c r="L635" s="163">
        <v>10000</v>
      </c>
      <c r="M635" s="164"/>
    </row>
    <row r="636" spans="1:13">
      <c r="A636" s="167" t="s">
        <v>1502</v>
      </c>
      <c r="B636" s="161" t="s">
        <v>3272</v>
      </c>
      <c r="C636" s="161"/>
      <c r="D636" s="172"/>
      <c r="E636" s="172"/>
      <c r="F636" s="161"/>
      <c r="G636" s="173">
        <v>5000</v>
      </c>
      <c r="H636" s="161"/>
      <c r="I636" s="161" t="s">
        <v>1503</v>
      </c>
      <c r="J636" s="161" t="s">
        <v>1504</v>
      </c>
      <c r="K636" s="172"/>
      <c r="L636" s="161">
        <v>5000</v>
      </c>
      <c r="M636" s="162"/>
    </row>
    <row r="637" spans="1:13">
      <c r="A637" s="166" t="s">
        <v>1502</v>
      </c>
      <c r="B637" s="163" t="s">
        <v>3272</v>
      </c>
      <c r="C637" s="163"/>
      <c r="D637" s="170"/>
      <c r="E637" s="170"/>
      <c r="F637" s="163"/>
      <c r="G637" s="171">
        <v>5000</v>
      </c>
      <c r="H637" s="163"/>
      <c r="I637" s="163" t="s">
        <v>1503</v>
      </c>
      <c r="J637" s="163" t="s">
        <v>1504</v>
      </c>
      <c r="K637" s="170"/>
      <c r="L637" s="163">
        <v>0</v>
      </c>
      <c r="M637" s="164"/>
    </row>
    <row r="638" spans="1:13">
      <c r="A638" s="167"/>
      <c r="B638" s="161" t="s">
        <v>3272</v>
      </c>
      <c r="C638" s="161" t="s">
        <v>1515</v>
      </c>
      <c r="D638" s="172">
        <v>45852</v>
      </c>
      <c r="E638" s="172">
        <v>45940</v>
      </c>
      <c r="F638" s="161" t="s">
        <v>16</v>
      </c>
      <c r="G638" s="173">
        <v>366</v>
      </c>
      <c r="H638" s="161" t="s">
        <v>1516</v>
      </c>
      <c r="I638" s="161" t="s">
        <v>1384</v>
      </c>
      <c r="J638" s="161" t="s">
        <v>110</v>
      </c>
      <c r="K638" s="161" t="s">
        <v>1517</v>
      </c>
      <c r="L638" s="161" t="s">
        <v>345</v>
      </c>
      <c r="M638" s="162"/>
    </row>
    <row r="639" spans="1:13">
      <c r="A639" s="166"/>
      <c r="B639" s="163" t="s">
        <v>2483</v>
      </c>
      <c r="C639" s="163" t="s">
        <v>1519</v>
      </c>
      <c r="D639" s="170">
        <v>45828</v>
      </c>
      <c r="E639" s="170"/>
      <c r="F639" s="163" t="s">
        <v>16</v>
      </c>
      <c r="G639" s="171">
        <v>28.1</v>
      </c>
      <c r="H639" s="163" t="s">
        <v>1520</v>
      </c>
      <c r="I639" s="163" t="s">
        <v>457</v>
      </c>
      <c r="J639" s="163" t="s">
        <v>215</v>
      </c>
      <c r="K639" s="170"/>
      <c r="L639" s="163"/>
      <c r="M639" s="164"/>
    </row>
    <row r="640" spans="1:13">
      <c r="A640" s="167"/>
      <c r="B640" s="161" t="s">
        <v>2483</v>
      </c>
      <c r="C640" s="161" t="s">
        <v>1521</v>
      </c>
      <c r="D640" s="172">
        <v>45832</v>
      </c>
      <c r="E640" s="172"/>
      <c r="F640" s="161" t="s">
        <v>16</v>
      </c>
      <c r="G640" s="173">
        <v>25.1</v>
      </c>
      <c r="H640" s="161" t="s">
        <v>1522</v>
      </c>
      <c r="I640" s="161" t="s">
        <v>457</v>
      </c>
      <c r="J640" s="161" t="s">
        <v>215</v>
      </c>
      <c r="K640" s="172"/>
      <c r="L640" s="161"/>
      <c r="M640" s="162"/>
    </row>
    <row r="641" spans="1:13">
      <c r="A641" s="166"/>
      <c r="B641" s="163" t="s">
        <v>2483</v>
      </c>
      <c r="C641" s="163" t="s">
        <v>1523</v>
      </c>
      <c r="D641" s="170">
        <v>45833</v>
      </c>
      <c r="E641" s="170"/>
      <c r="F641" s="163" t="s">
        <v>16</v>
      </c>
      <c r="G641" s="171">
        <v>36.4</v>
      </c>
      <c r="H641" s="163" t="s">
        <v>1524</v>
      </c>
      <c r="I641" s="163" t="s">
        <v>457</v>
      </c>
      <c r="J641" s="163" t="s">
        <v>215</v>
      </c>
      <c r="K641" s="170"/>
      <c r="L641" s="163"/>
      <c r="M641" s="164"/>
    </row>
    <row r="642" spans="1:13">
      <c r="A642" s="167"/>
      <c r="B642" s="161" t="s">
        <v>2483</v>
      </c>
      <c r="C642" s="161" t="s">
        <v>1525</v>
      </c>
      <c r="D642" s="172">
        <v>45834</v>
      </c>
      <c r="E642" s="172"/>
      <c r="F642" s="161" t="s">
        <v>16</v>
      </c>
      <c r="G642" s="173">
        <v>24.4</v>
      </c>
      <c r="H642" s="161" t="s">
        <v>1526</v>
      </c>
      <c r="I642" s="161" t="s">
        <v>1527</v>
      </c>
      <c r="J642" s="161" t="s">
        <v>215</v>
      </c>
      <c r="K642" s="172"/>
      <c r="L642" s="161"/>
      <c r="M642" s="162"/>
    </row>
    <row r="643" spans="1:13">
      <c r="A643" s="166"/>
      <c r="B643" s="163" t="s">
        <v>2483</v>
      </c>
      <c r="C643" s="163" t="s">
        <v>1528</v>
      </c>
      <c r="D643" s="170">
        <v>45835</v>
      </c>
      <c r="E643" s="170"/>
      <c r="F643" s="163" t="s">
        <v>16</v>
      </c>
      <c r="G643" s="171">
        <v>24.4</v>
      </c>
      <c r="H643" s="163" t="s">
        <v>1529</v>
      </c>
      <c r="I643" s="163" t="s">
        <v>457</v>
      </c>
      <c r="J643" s="163" t="s">
        <v>215</v>
      </c>
      <c r="K643" s="170"/>
      <c r="L643" s="163"/>
      <c r="M643" s="164"/>
    </row>
    <row r="644" spans="1:13">
      <c r="A644" s="167"/>
      <c r="B644" s="161" t="s">
        <v>2483</v>
      </c>
      <c r="C644" s="161" t="s">
        <v>1530</v>
      </c>
      <c r="D644" s="172">
        <v>45838</v>
      </c>
      <c r="E644" s="172"/>
      <c r="F644" s="161" t="s">
        <v>16</v>
      </c>
      <c r="G644" s="173">
        <v>33.200000000000003</v>
      </c>
      <c r="H644" s="161" t="s">
        <v>1531</v>
      </c>
      <c r="I644" s="161" t="s">
        <v>457</v>
      </c>
      <c r="J644" s="161" t="s">
        <v>215</v>
      </c>
      <c r="K644" s="172"/>
      <c r="L644" s="161"/>
      <c r="M644" s="162"/>
    </row>
    <row r="645" spans="1:13">
      <c r="A645" s="166"/>
      <c r="B645" s="163" t="s">
        <v>2483</v>
      </c>
      <c r="C645" s="163" t="s">
        <v>1532</v>
      </c>
      <c r="D645" s="170" t="s">
        <v>1533</v>
      </c>
      <c r="E645" s="170"/>
      <c r="F645" s="163" t="s">
        <v>16</v>
      </c>
      <c r="G645" s="171">
        <v>24.7</v>
      </c>
      <c r="H645" s="163" t="s">
        <v>1534</v>
      </c>
      <c r="I645" s="163" t="s">
        <v>457</v>
      </c>
      <c r="J645" s="163" t="s">
        <v>215</v>
      </c>
      <c r="K645" s="170"/>
      <c r="L645" s="163"/>
      <c r="M645" s="164"/>
    </row>
    <row r="646" spans="1:13">
      <c r="A646" s="167"/>
      <c r="B646" s="161" t="s">
        <v>2483</v>
      </c>
      <c r="C646" s="161" t="s">
        <v>1535</v>
      </c>
      <c r="D646" s="172">
        <v>45840</v>
      </c>
      <c r="E646" s="172"/>
      <c r="F646" s="161" t="s">
        <v>16</v>
      </c>
      <c r="G646" s="173">
        <v>25.2</v>
      </c>
      <c r="H646" s="161" t="s">
        <v>1536</v>
      </c>
      <c r="I646" s="161" t="s">
        <v>457</v>
      </c>
      <c r="J646" s="161" t="s">
        <v>215</v>
      </c>
      <c r="K646" s="172"/>
      <c r="L646" s="161"/>
      <c r="M646" s="162"/>
    </row>
    <row r="647" spans="1:13">
      <c r="A647" s="166"/>
      <c r="B647" s="163" t="s">
        <v>2483</v>
      </c>
      <c r="C647" s="163" t="s">
        <v>1537</v>
      </c>
      <c r="D647" s="170">
        <v>45841</v>
      </c>
      <c r="E647" s="170"/>
      <c r="F647" s="163" t="s">
        <v>16</v>
      </c>
      <c r="G647" s="171">
        <v>22.7</v>
      </c>
      <c r="H647" s="163" t="s">
        <v>1538</v>
      </c>
      <c r="I647" s="163" t="s">
        <v>457</v>
      </c>
      <c r="J647" s="163" t="s">
        <v>215</v>
      </c>
      <c r="K647" s="170"/>
      <c r="L647" s="163"/>
      <c r="M647" s="164"/>
    </row>
    <row r="648" spans="1:13">
      <c r="A648" s="167"/>
      <c r="B648" s="161" t="s">
        <v>2483</v>
      </c>
      <c r="C648" s="161" t="s">
        <v>1539</v>
      </c>
      <c r="D648" s="172">
        <v>45842</v>
      </c>
      <c r="E648" s="172"/>
      <c r="F648" s="161" t="s">
        <v>16</v>
      </c>
      <c r="G648" s="173">
        <v>35.1</v>
      </c>
      <c r="H648" s="161" t="s">
        <v>1540</v>
      </c>
      <c r="I648" s="161" t="s">
        <v>457</v>
      </c>
      <c r="J648" s="161" t="s">
        <v>215</v>
      </c>
      <c r="K648" s="172"/>
      <c r="L648" s="161"/>
      <c r="M648" s="162"/>
    </row>
    <row r="649" spans="1:13">
      <c r="A649" s="166"/>
      <c r="B649" s="163" t="s">
        <v>2483</v>
      </c>
      <c r="C649" s="163" t="s">
        <v>1541</v>
      </c>
      <c r="D649" s="170">
        <v>45845</v>
      </c>
      <c r="E649" s="170"/>
      <c r="F649" s="163" t="s">
        <v>16</v>
      </c>
      <c r="G649" s="171">
        <v>33.700000000000003</v>
      </c>
      <c r="H649" s="163" t="s">
        <v>1542</v>
      </c>
      <c r="I649" s="163" t="s">
        <v>457</v>
      </c>
      <c r="J649" s="163" t="s">
        <v>215</v>
      </c>
      <c r="K649" s="170"/>
      <c r="L649" s="163"/>
      <c r="M649" s="164"/>
    </row>
    <row r="650" spans="1:13">
      <c r="A650" s="167"/>
      <c r="B650" s="161" t="s">
        <v>2483</v>
      </c>
      <c r="C650" s="161" t="s">
        <v>1543</v>
      </c>
      <c r="D650" s="172">
        <v>45869</v>
      </c>
      <c r="E650" s="172"/>
      <c r="F650" s="161" t="s">
        <v>16</v>
      </c>
      <c r="G650" s="173">
        <v>457.6</v>
      </c>
      <c r="H650" s="161" t="s">
        <v>1544</v>
      </c>
      <c r="I650" s="161" t="s">
        <v>457</v>
      </c>
      <c r="J650" s="161" t="s">
        <v>66</v>
      </c>
      <c r="K650" s="161">
        <v>45972</v>
      </c>
      <c r="L650" s="161">
        <v>482</v>
      </c>
      <c r="M650" s="162" t="s">
        <v>1545</v>
      </c>
    </row>
    <row r="651" spans="1:13">
      <c r="A651" s="166"/>
      <c r="B651" s="163" t="s">
        <v>2483</v>
      </c>
      <c r="C651" s="163" t="s">
        <v>1546</v>
      </c>
      <c r="D651" s="170">
        <v>45898</v>
      </c>
      <c r="E651" s="170"/>
      <c r="F651" s="163" t="s">
        <v>16</v>
      </c>
      <c r="G651" s="171">
        <v>24.4</v>
      </c>
      <c r="H651" s="163" t="s">
        <v>1547</v>
      </c>
      <c r="I651" s="163" t="s">
        <v>457</v>
      </c>
      <c r="J651" s="163" t="s">
        <v>66</v>
      </c>
      <c r="K651" s="163">
        <v>45972</v>
      </c>
      <c r="L651" s="163">
        <v>482</v>
      </c>
      <c r="M651" s="164" t="s">
        <v>1545</v>
      </c>
    </row>
    <row r="652" spans="1:13">
      <c r="A652" s="167"/>
      <c r="B652" s="161" t="s">
        <v>3273</v>
      </c>
      <c r="C652" s="161" t="s">
        <v>338</v>
      </c>
      <c r="D652" s="172">
        <v>45664</v>
      </c>
      <c r="E652" s="172">
        <v>45664</v>
      </c>
      <c r="F652" s="161" t="s">
        <v>16</v>
      </c>
      <c r="G652" s="173">
        <v>-801.94</v>
      </c>
      <c r="H652" s="161" t="s">
        <v>1549</v>
      </c>
      <c r="I652" s="161" t="s">
        <v>1550</v>
      </c>
      <c r="J652" s="161" t="s">
        <v>56</v>
      </c>
      <c r="K652" s="172"/>
      <c r="L652" s="161"/>
      <c r="M652" s="162"/>
    </row>
    <row r="653" spans="1:13">
      <c r="A653" s="166" t="s">
        <v>13</v>
      </c>
      <c r="B653" s="163" t="s">
        <v>2472</v>
      </c>
      <c r="C653" s="163" t="s">
        <v>1552</v>
      </c>
      <c r="D653" s="170">
        <v>45808</v>
      </c>
      <c r="E653" s="170">
        <v>45869</v>
      </c>
      <c r="F653" s="163" t="s">
        <v>49</v>
      </c>
      <c r="G653" s="171">
        <v>2325</v>
      </c>
      <c r="H653" s="163" t="s">
        <v>1553</v>
      </c>
      <c r="I653" s="163" t="s">
        <v>1554</v>
      </c>
      <c r="J653" s="163" t="s">
        <v>56</v>
      </c>
      <c r="K653" s="163">
        <v>45950</v>
      </c>
      <c r="L653" s="163">
        <v>2325</v>
      </c>
      <c r="M653" s="164" t="s">
        <v>1555</v>
      </c>
    </row>
    <row r="654" spans="1:13">
      <c r="A654" s="167" t="s">
        <v>13</v>
      </c>
      <c r="B654" s="161" t="s">
        <v>2472</v>
      </c>
      <c r="C654" s="161" t="s">
        <v>1556</v>
      </c>
      <c r="D654" s="172">
        <v>45808</v>
      </c>
      <c r="E654" s="172">
        <v>45869</v>
      </c>
      <c r="F654" s="161" t="s">
        <v>49</v>
      </c>
      <c r="G654" s="173">
        <v>2000</v>
      </c>
      <c r="H654" s="161" t="s">
        <v>1557</v>
      </c>
      <c r="I654" s="161" t="s">
        <v>1558</v>
      </c>
      <c r="J654" s="161" t="s">
        <v>56</v>
      </c>
      <c r="K654" s="161">
        <v>45950</v>
      </c>
      <c r="L654" s="161">
        <v>1070</v>
      </c>
      <c r="M654" s="162" t="s">
        <v>1555</v>
      </c>
    </row>
    <row r="655" spans="1:13">
      <c r="A655" s="166" t="s">
        <v>13</v>
      </c>
      <c r="B655" s="163" t="s">
        <v>2472</v>
      </c>
      <c r="C655" s="163" t="s">
        <v>1556</v>
      </c>
      <c r="D655" s="170">
        <v>45808</v>
      </c>
      <c r="E655" s="170">
        <v>45869</v>
      </c>
      <c r="F655" s="163" t="s">
        <v>49</v>
      </c>
      <c r="G655" s="171">
        <v>930</v>
      </c>
      <c r="H655" s="163"/>
      <c r="I655" s="163" t="s">
        <v>1558</v>
      </c>
      <c r="J655" s="163" t="s">
        <v>56</v>
      </c>
      <c r="K655" s="163">
        <v>45951</v>
      </c>
      <c r="L655" s="163">
        <v>930</v>
      </c>
      <c r="M655" s="164" t="s">
        <v>1559</v>
      </c>
    </row>
    <row r="656" spans="1:13">
      <c r="A656" s="167" t="s">
        <v>13</v>
      </c>
      <c r="B656" s="161" t="s">
        <v>2472</v>
      </c>
      <c r="C656" s="161" t="s">
        <v>1560</v>
      </c>
      <c r="D656" s="172">
        <v>45887</v>
      </c>
      <c r="E656" s="172">
        <v>45961</v>
      </c>
      <c r="F656" s="161" t="s">
        <v>49</v>
      </c>
      <c r="G656" s="173">
        <v>1370</v>
      </c>
      <c r="H656" s="161" t="s">
        <v>1561</v>
      </c>
      <c r="I656" s="161" t="s">
        <v>436</v>
      </c>
      <c r="J656" s="161" t="s">
        <v>56</v>
      </c>
      <c r="K656" s="161">
        <v>45951</v>
      </c>
      <c r="L656" s="161">
        <v>1370</v>
      </c>
      <c r="M656" s="162" t="s">
        <v>1559</v>
      </c>
    </row>
    <row r="657" spans="1:13">
      <c r="A657" s="166" t="s">
        <v>1562</v>
      </c>
      <c r="B657" s="163" t="s">
        <v>2310</v>
      </c>
      <c r="C657" s="163" t="s">
        <v>1564</v>
      </c>
      <c r="D657" s="170">
        <v>45954</v>
      </c>
      <c r="E657" s="170">
        <v>45954</v>
      </c>
      <c r="F657" s="163"/>
      <c r="G657" s="171">
        <v>355.05</v>
      </c>
      <c r="H657" s="163"/>
      <c r="I657" s="163" t="s">
        <v>1565</v>
      </c>
      <c r="J657" s="163" t="s">
        <v>825</v>
      </c>
      <c r="K657" s="163">
        <v>45954</v>
      </c>
      <c r="L657" s="163">
        <v>355.05</v>
      </c>
      <c r="M657" s="164" t="s">
        <v>1566</v>
      </c>
    </row>
    <row r="658" spans="1:13">
      <c r="A658" s="167" t="s">
        <v>13</v>
      </c>
      <c r="B658" s="161" t="s">
        <v>3274</v>
      </c>
      <c r="C658" s="161" t="s">
        <v>1568</v>
      </c>
      <c r="D658" s="172">
        <v>45688</v>
      </c>
      <c r="E658" s="172"/>
      <c r="F658" s="161" t="s">
        <v>16</v>
      </c>
      <c r="G658" s="173">
        <v>3850</v>
      </c>
      <c r="H658" s="161" t="s">
        <v>1569</v>
      </c>
      <c r="I658" s="161" t="s">
        <v>312</v>
      </c>
      <c r="J658" s="161" t="s">
        <v>56</v>
      </c>
      <c r="K658" s="161">
        <v>45765</v>
      </c>
      <c r="L658" s="161">
        <v>3850</v>
      </c>
      <c r="M658" s="162"/>
    </row>
    <row r="659" spans="1:13">
      <c r="A659" s="166" t="s">
        <v>13</v>
      </c>
      <c r="B659" s="163" t="s">
        <v>3274</v>
      </c>
      <c r="C659" s="163" t="s">
        <v>1568</v>
      </c>
      <c r="D659" s="170">
        <v>45688</v>
      </c>
      <c r="E659" s="170"/>
      <c r="F659" s="163" t="s">
        <v>16</v>
      </c>
      <c r="G659" s="171">
        <v>3226</v>
      </c>
      <c r="H659" s="163" t="s">
        <v>1569</v>
      </c>
      <c r="I659" s="163" t="s">
        <v>312</v>
      </c>
      <c r="J659" s="163" t="s">
        <v>56</v>
      </c>
      <c r="K659" s="163">
        <v>45792</v>
      </c>
      <c r="L659" s="163">
        <v>3850</v>
      </c>
      <c r="M659" s="164"/>
    </row>
    <row r="660" spans="1:13">
      <c r="A660" s="167" t="s">
        <v>13</v>
      </c>
      <c r="B660" s="161" t="s">
        <v>3274</v>
      </c>
      <c r="C660" s="161" t="s">
        <v>1570</v>
      </c>
      <c r="D660" s="172">
        <v>45688</v>
      </c>
      <c r="E660" s="172"/>
      <c r="F660" s="161" t="s">
        <v>16</v>
      </c>
      <c r="G660" s="173">
        <v>280.60000000000002</v>
      </c>
      <c r="H660" s="161" t="s">
        <v>1571</v>
      </c>
      <c r="I660" s="161"/>
      <c r="J660" s="161" t="s">
        <v>56</v>
      </c>
      <c r="K660" s="161">
        <v>45792</v>
      </c>
      <c r="L660" s="161">
        <v>3850</v>
      </c>
      <c r="M660" s="162"/>
    </row>
    <row r="661" spans="1:13">
      <c r="A661" s="166" t="s">
        <v>13</v>
      </c>
      <c r="B661" s="163" t="s">
        <v>3274</v>
      </c>
      <c r="C661" s="163" t="s">
        <v>1572</v>
      </c>
      <c r="D661" s="170">
        <v>45596</v>
      </c>
      <c r="E661" s="170">
        <v>45667</v>
      </c>
      <c r="F661" s="163" t="s">
        <v>16</v>
      </c>
      <c r="G661" s="171">
        <v>343.40000000000009</v>
      </c>
      <c r="H661" s="163" t="s">
        <v>1573</v>
      </c>
      <c r="I661" s="163" t="s">
        <v>1231</v>
      </c>
      <c r="J661" s="163" t="s">
        <v>56</v>
      </c>
      <c r="K661" s="163">
        <v>45817</v>
      </c>
      <c r="L661" s="163">
        <v>3850</v>
      </c>
      <c r="M661" s="164"/>
    </row>
    <row r="662" spans="1:13">
      <c r="A662" s="167" t="s">
        <v>13</v>
      </c>
      <c r="B662" s="161" t="s">
        <v>3274</v>
      </c>
      <c r="C662" s="161" t="s">
        <v>1572</v>
      </c>
      <c r="D662" s="172">
        <v>45596</v>
      </c>
      <c r="E662" s="172">
        <v>45667</v>
      </c>
      <c r="F662" s="161" t="s">
        <v>16</v>
      </c>
      <c r="G662" s="173">
        <v>3850</v>
      </c>
      <c r="H662" s="161" t="s">
        <v>1573</v>
      </c>
      <c r="I662" s="161" t="s">
        <v>1231</v>
      </c>
      <c r="J662" s="161" t="s">
        <v>56</v>
      </c>
      <c r="K662" s="161">
        <v>45855</v>
      </c>
      <c r="L662" s="161">
        <v>3837.17</v>
      </c>
      <c r="M662" s="162" t="s">
        <v>1574</v>
      </c>
    </row>
    <row r="663" spans="1:13">
      <c r="A663" s="166" t="s">
        <v>13</v>
      </c>
      <c r="B663" s="163" t="s">
        <v>3274</v>
      </c>
      <c r="C663" s="163" t="s">
        <v>1572</v>
      </c>
      <c r="D663" s="170">
        <v>45596</v>
      </c>
      <c r="E663" s="170">
        <v>45667</v>
      </c>
      <c r="F663" s="163" t="s">
        <v>16</v>
      </c>
      <c r="G663" s="171">
        <v>2276.3799999999992</v>
      </c>
      <c r="H663" s="163" t="s">
        <v>1573</v>
      </c>
      <c r="I663" s="163" t="s">
        <v>1231</v>
      </c>
      <c r="J663" s="163" t="s">
        <v>56</v>
      </c>
      <c r="K663" s="163">
        <v>45845</v>
      </c>
      <c r="L663" s="163">
        <v>1810</v>
      </c>
      <c r="M663" s="164" t="s">
        <v>1575</v>
      </c>
    </row>
    <row r="664" spans="1:13">
      <c r="A664" s="167" t="s">
        <v>13</v>
      </c>
      <c r="B664" s="161" t="s">
        <v>3274</v>
      </c>
      <c r="C664" s="161" t="s">
        <v>1576</v>
      </c>
      <c r="D664" s="172">
        <v>45716</v>
      </c>
      <c r="E664" s="172"/>
      <c r="F664" s="161" t="s">
        <v>16</v>
      </c>
      <c r="G664" s="173">
        <v>366</v>
      </c>
      <c r="H664" s="161" t="s">
        <v>1577</v>
      </c>
      <c r="I664" s="161" t="s">
        <v>1578</v>
      </c>
      <c r="J664" s="161" t="s">
        <v>56</v>
      </c>
      <c r="K664" s="161">
        <v>45845</v>
      </c>
      <c r="L664" s="161">
        <v>1810</v>
      </c>
      <c r="M664" s="162" t="s">
        <v>1575</v>
      </c>
    </row>
    <row r="665" spans="1:13">
      <c r="A665" s="166" t="s">
        <v>13</v>
      </c>
      <c r="B665" s="163" t="s">
        <v>3274</v>
      </c>
      <c r="C665" s="163" t="s">
        <v>1579</v>
      </c>
      <c r="D665" s="170">
        <v>45747</v>
      </c>
      <c r="E665" s="170"/>
      <c r="F665" s="163" t="s">
        <v>16</v>
      </c>
      <c r="G665" s="171">
        <v>366</v>
      </c>
      <c r="H665" s="163" t="s">
        <v>1580</v>
      </c>
      <c r="I665" s="163" t="s">
        <v>1578</v>
      </c>
      <c r="J665" s="163" t="s">
        <v>56</v>
      </c>
      <c r="K665" s="163">
        <v>45845</v>
      </c>
      <c r="L665" s="163">
        <v>1810</v>
      </c>
      <c r="M665" s="164" t="s">
        <v>1575</v>
      </c>
    </row>
    <row r="666" spans="1:13">
      <c r="A666" s="167" t="s">
        <v>13</v>
      </c>
      <c r="B666" s="161" t="s">
        <v>3274</v>
      </c>
      <c r="C666" s="161" t="s">
        <v>1581</v>
      </c>
      <c r="D666" s="172">
        <v>45777</v>
      </c>
      <c r="E666" s="172"/>
      <c r="F666" s="161" t="s">
        <v>16</v>
      </c>
      <c r="G666" s="173">
        <v>366</v>
      </c>
      <c r="H666" s="161" t="s">
        <v>1582</v>
      </c>
      <c r="I666" s="161" t="s">
        <v>1578</v>
      </c>
      <c r="J666" s="161" t="s">
        <v>56</v>
      </c>
      <c r="K666" s="161">
        <v>45845</v>
      </c>
      <c r="L666" s="161">
        <v>1810</v>
      </c>
      <c r="M666" s="162" t="s">
        <v>1575</v>
      </c>
    </row>
    <row r="667" spans="1:13">
      <c r="A667" s="166" t="s">
        <v>13</v>
      </c>
      <c r="B667" s="163" t="s">
        <v>3274</v>
      </c>
      <c r="C667" s="163" t="s">
        <v>1583</v>
      </c>
      <c r="D667" s="170">
        <v>45808</v>
      </c>
      <c r="E667" s="170">
        <v>45808</v>
      </c>
      <c r="F667" s="163" t="s">
        <v>16</v>
      </c>
      <c r="G667" s="171">
        <v>366</v>
      </c>
      <c r="H667" s="163" t="s">
        <v>1584</v>
      </c>
      <c r="I667" s="163" t="s">
        <v>1578</v>
      </c>
      <c r="J667" s="163" t="s">
        <v>56</v>
      </c>
      <c r="K667" s="163">
        <v>45845</v>
      </c>
      <c r="L667" s="163">
        <v>1810</v>
      </c>
      <c r="M667" s="164" t="s">
        <v>1575</v>
      </c>
    </row>
    <row r="668" spans="1:13">
      <c r="A668" s="167" t="s">
        <v>13</v>
      </c>
      <c r="B668" s="161" t="s">
        <v>3274</v>
      </c>
      <c r="C668" s="161" t="s">
        <v>1585</v>
      </c>
      <c r="D668" s="172">
        <v>45838</v>
      </c>
      <c r="E668" s="172"/>
      <c r="F668" s="161" t="s">
        <v>16</v>
      </c>
      <c r="G668" s="173">
        <v>366</v>
      </c>
      <c r="H668" s="161"/>
      <c r="I668" s="161" t="s">
        <v>1578</v>
      </c>
      <c r="J668" s="161" t="s">
        <v>56</v>
      </c>
      <c r="K668" s="161">
        <v>45730</v>
      </c>
      <c r="L668" s="161">
        <v>1476.88</v>
      </c>
      <c r="M668" s="162" t="s">
        <v>111</v>
      </c>
    </row>
    <row r="669" spans="1:13">
      <c r="A669" s="166"/>
      <c r="B669" s="163" t="s">
        <v>3275</v>
      </c>
      <c r="C669" s="163" t="s">
        <v>1587</v>
      </c>
      <c r="D669" s="170">
        <v>45898</v>
      </c>
      <c r="E669" s="170"/>
      <c r="F669" s="163" t="s">
        <v>16</v>
      </c>
      <c r="G669" s="171">
        <v>80.06</v>
      </c>
      <c r="H669" s="163" t="s">
        <v>1588</v>
      </c>
      <c r="I669" s="163" t="s">
        <v>889</v>
      </c>
      <c r="J669" s="163" t="s">
        <v>794</v>
      </c>
      <c r="K669" s="170"/>
      <c r="L669" s="163"/>
      <c r="M669" s="164"/>
    </row>
    <row r="670" spans="1:13">
      <c r="A670" s="167"/>
      <c r="B670" s="161" t="s">
        <v>3276</v>
      </c>
      <c r="C670" s="161" t="s">
        <v>3277</v>
      </c>
      <c r="D670" s="172">
        <v>45671</v>
      </c>
      <c r="E670" s="172"/>
      <c r="F670" s="161" t="s">
        <v>16</v>
      </c>
      <c r="G670" s="173">
        <v>1476.88</v>
      </c>
      <c r="H670" s="161"/>
      <c r="I670" s="161" t="s">
        <v>1591</v>
      </c>
      <c r="J670" s="161"/>
      <c r="K670" s="161">
        <v>45730</v>
      </c>
      <c r="L670" s="161">
        <v>1476.88</v>
      </c>
      <c r="M670" s="162" t="s">
        <v>111</v>
      </c>
    </row>
    <row r="671" spans="1:13">
      <c r="A671" s="166"/>
      <c r="B671" s="163" t="s">
        <v>3276</v>
      </c>
      <c r="C671" s="163" t="s">
        <v>1592</v>
      </c>
      <c r="D671" s="170">
        <v>45876</v>
      </c>
      <c r="E671" s="170"/>
      <c r="F671" s="163" t="s">
        <v>16</v>
      </c>
      <c r="G671" s="171">
        <v>1476.88</v>
      </c>
      <c r="H671" s="163"/>
      <c r="I671" s="163" t="s">
        <v>1591</v>
      </c>
      <c r="J671" s="163"/>
      <c r="K671" s="163">
        <v>45876</v>
      </c>
      <c r="L671" s="163">
        <v>1476.88</v>
      </c>
      <c r="M671" s="164"/>
    </row>
    <row r="672" spans="1:13">
      <c r="A672" s="167"/>
      <c r="B672" s="161" t="s">
        <v>2315</v>
      </c>
      <c r="C672" s="161" t="s">
        <v>1594</v>
      </c>
      <c r="D672" s="172">
        <v>45761</v>
      </c>
      <c r="E672" s="172">
        <v>45821</v>
      </c>
      <c r="F672" s="161" t="s">
        <v>16</v>
      </c>
      <c r="G672" s="173">
        <v>1447.7</v>
      </c>
      <c r="H672" s="161"/>
      <c r="I672" s="161" t="s">
        <v>1591</v>
      </c>
      <c r="J672" s="161"/>
      <c r="K672" s="161">
        <v>45876</v>
      </c>
      <c r="L672" s="161">
        <v>1476.88</v>
      </c>
      <c r="M672" s="162"/>
    </row>
    <row r="673" spans="1:13">
      <c r="A673" s="166"/>
      <c r="B673" s="163" t="s">
        <v>2315</v>
      </c>
      <c r="C673" s="163" t="s">
        <v>1595</v>
      </c>
      <c r="D673" s="170">
        <v>45851</v>
      </c>
      <c r="E673" s="170"/>
      <c r="F673" s="163" t="s">
        <v>16</v>
      </c>
      <c r="G673" s="171">
        <v>29.18000000000006</v>
      </c>
      <c r="H673" s="163"/>
      <c r="I673" s="163" t="s">
        <v>1591</v>
      </c>
      <c r="J673" s="163"/>
      <c r="K673" s="170"/>
      <c r="L673" s="163"/>
      <c r="M673" s="164"/>
    </row>
    <row r="674" spans="1:13">
      <c r="A674" s="167"/>
      <c r="B674" s="161" t="s">
        <v>2315</v>
      </c>
      <c r="C674" s="161" t="s">
        <v>1596</v>
      </c>
      <c r="D674" s="172">
        <v>45901</v>
      </c>
      <c r="E674" s="172"/>
      <c r="F674" s="161" t="s">
        <v>16</v>
      </c>
      <c r="G674" s="173">
        <v>1361.42</v>
      </c>
      <c r="H674" s="161"/>
      <c r="I674" s="161" t="s">
        <v>1597</v>
      </c>
      <c r="J674" s="161"/>
      <c r="K674" s="172"/>
      <c r="L674" s="161"/>
      <c r="M674" s="162"/>
    </row>
    <row r="675" spans="1:13">
      <c r="A675" s="166"/>
      <c r="B675" s="163" t="s">
        <v>2315</v>
      </c>
      <c r="C675" s="163" t="s">
        <v>902</v>
      </c>
      <c r="D675" s="170">
        <v>46003</v>
      </c>
      <c r="E675" s="170">
        <v>46003</v>
      </c>
      <c r="F675" s="163" t="s">
        <v>49</v>
      </c>
      <c r="G675" s="171">
        <v>1013.77</v>
      </c>
      <c r="H675" s="163"/>
      <c r="I675" s="163" t="s">
        <v>1598</v>
      </c>
      <c r="J675" s="163" t="s">
        <v>374</v>
      </c>
      <c r="K675" s="170"/>
      <c r="L675" s="163">
        <v>1013.77</v>
      </c>
      <c r="M675" s="164"/>
    </row>
    <row r="676" spans="1:13">
      <c r="A676" s="167"/>
      <c r="B676" s="161" t="s">
        <v>3196</v>
      </c>
      <c r="C676" s="161" t="s">
        <v>3278</v>
      </c>
      <c r="D676" s="172">
        <v>45642</v>
      </c>
      <c r="E676" s="172"/>
      <c r="F676" s="161"/>
      <c r="G676" s="173">
        <v>3615.15</v>
      </c>
      <c r="H676" s="161"/>
      <c r="I676" s="161" t="s">
        <v>1600</v>
      </c>
      <c r="J676" s="161" t="s">
        <v>56</v>
      </c>
      <c r="K676" s="172"/>
      <c r="L676" s="161"/>
      <c r="M676" s="162"/>
    </row>
    <row r="677" spans="1:13">
      <c r="A677" s="166"/>
      <c r="B677" s="163" t="s">
        <v>2468</v>
      </c>
      <c r="C677" s="163" t="s">
        <v>1602</v>
      </c>
      <c r="D677" s="170">
        <v>45677</v>
      </c>
      <c r="E677" s="170"/>
      <c r="F677" s="163" t="s">
        <v>16</v>
      </c>
      <c r="G677" s="171">
        <v>300</v>
      </c>
      <c r="H677" s="163" t="s">
        <v>1603</v>
      </c>
      <c r="I677" s="163" t="s">
        <v>1604</v>
      </c>
      <c r="J677" s="163"/>
      <c r="K677" s="170"/>
      <c r="L677" s="163"/>
      <c r="M677" s="164"/>
    </row>
    <row r="678" spans="1:13">
      <c r="A678" s="167"/>
      <c r="B678" s="161" t="s">
        <v>2468</v>
      </c>
      <c r="C678" s="161" t="s">
        <v>1602</v>
      </c>
      <c r="D678" s="172">
        <v>45677</v>
      </c>
      <c r="E678" s="172"/>
      <c r="F678" s="161" t="s">
        <v>16</v>
      </c>
      <c r="G678" s="173">
        <v>51.06</v>
      </c>
      <c r="H678" s="161" t="s">
        <v>1603</v>
      </c>
      <c r="I678" s="161" t="s">
        <v>1604</v>
      </c>
      <c r="J678" s="161" t="s">
        <v>799</v>
      </c>
      <c r="K678" s="172"/>
      <c r="L678" s="161"/>
      <c r="M678" s="162"/>
    </row>
    <row r="679" spans="1:13">
      <c r="A679" s="166"/>
      <c r="B679" s="163" t="s">
        <v>2468</v>
      </c>
      <c r="C679" s="163" t="s">
        <v>1605</v>
      </c>
      <c r="D679" s="170">
        <v>45511</v>
      </c>
      <c r="E679" s="170"/>
      <c r="F679" s="163" t="s">
        <v>16</v>
      </c>
      <c r="G679" s="171">
        <v>43.06</v>
      </c>
      <c r="H679" s="163" t="s">
        <v>1606</v>
      </c>
      <c r="I679" s="163" t="s">
        <v>1607</v>
      </c>
      <c r="J679" s="163" t="s">
        <v>185</v>
      </c>
      <c r="K679" s="170"/>
      <c r="L679" s="163"/>
      <c r="M679" s="164"/>
    </row>
    <row r="680" spans="1:13">
      <c r="A680" s="167"/>
      <c r="B680" s="161" t="s">
        <v>2468</v>
      </c>
      <c r="C680" s="161" t="s">
        <v>1608</v>
      </c>
      <c r="D680" s="172">
        <v>45650</v>
      </c>
      <c r="E680" s="172">
        <v>45673</v>
      </c>
      <c r="F680" s="161"/>
      <c r="G680" s="173">
        <v>283.26</v>
      </c>
      <c r="H680" s="161" t="s">
        <v>1609</v>
      </c>
      <c r="I680" s="161" t="s">
        <v>1610</v>
      </c>
      <c r="J680" s="161" t="s">
        <v>185</v>
      </c>
      <c r="K680" s="172"/>
      <c r="L680" s="161"/>
      <c r="M680" s="162"/>
    </row>
    <row r="681" spans="1:13">
      <c r="A681" s="166"/>
      <c r="B681" s="163" t="s">
        <v>2468</v>
      </c>
      <c r="C681" s="163" t="s">
        <v>1611</v>
      </c>
      <c r="D681" s="170">
        <v>45650</v>
      </c>
      <c r="E681" s="170">
        <v>45673</v>
      </c>
      <c r="F681" s="163"/>
      <c r="G681" s="171">
        <v>320.89999999999998</v>
      </c>
      <c r="H681" s="163" t="s">
        <v>1612</v>
      </c>
      <c r="I681" s="163" t="s">
        <v>1610</v>
      </c>
      <c r="J681" s="163" t="s">
        <v>185</v>
      </c>
      <c r="K681" s="170"/>
      <c r="L681" s="163"/>
      <c r="M681" s="164"/>
    </row>
    <row r="682" spans="1:13">
      <c r="A682" s="167"/>
      <c r="B682" s="161" t="s">
        <v>2468</v>
      </c>
      <c r="C682" s="161" t="s">
        <v>1613</v>
      </c>
      <c r="D682" s="172">
        <v>45650</v>
      </c>
      <c r="E682" s="172">
        <v>45673</v>
      </c>
      <c r="F682" s="161"/>
      <c r="G682" s="173">
        <v>509.8</v>
      </c>
      <c r="H682" s="161" t="s">
        <v>1614</v>
      </c>
      <c r="I682" s="161"/>
      <c r="J682" s="161" t="s">
        <v>1198</v>
      </c>
      <c r="K682" s="172"/>
      <c r="L682" s="161"/>
      <c r="M682" s="162"/>
    </row>
    <row r="683" spans="1:13">
      <c r="A683" s="166"/>
      <c r="B683" s="163" t="s">
        <v>2468</v>
      </c>
      <c r="C683" s="163" t="s">
        <v>1615</v>
      </c>
      <c r="D683" s="170">
        <v>45650</v>
      </c>
      <c r="E683" s="170">
        <v>45673</v>
      </c>
      <c r="F683" s="163"/>
      <c r="G683" s="171">
        <v>71.260000000000005</v>
      </c>
      <c r="H683" s="163" t="s">
        <v>1616</v>
      </c>
      <c r="I683" s="163" t="s">
        <v>1610</v>
      </c>
      <c r="J683" s="163" t="s">
        <v>185</v>
      </c>
      <c r="K683" s="163">
        <v>45853</v>
      </c>
      <c r="L683" s="163">
        <v>1378.6</v>
      </c>
      <c r="M683" s="164"/>
    </row>
    <row r="684" spans="1:13">
      <c r="A684" s="167"/>
      <c r="B684" s="161" t="s">
        <v>2322</v>
      </c>
      <c r="C684" s="161" t="s">
        <v>1618</v>
      </c>
      <c r="D684" s="172">
        <v>45688</v>
      </c>
      <c r="E684" s="172">
        <v>45747</v>
      </c>
      <c r="F684" s="161"/>
      <c r="G684" s="173">
        <v>323.58</v>
      </c>
      <c r="H684" s="161" t="s">
        <v>1619</v>
      </c>
      <c r="I684" s="161" t="s">
        <v>279</v>
      </c>
      <c r="J684" s="161" t="s">
        <v>110</v>
      </c>
      <c r="K684" s="161">
        <v>45853</v>
      </c>
      <c r="L684" s="161">
        <v>1378.6</v>
      </c>
      <c r="M684" s="162" t="s">
        <v>1620</v>
      </c>
    </row>
    <row r="685" spans="1:13">
      <c r="A685" s="166"/>
      <c r="B685" s="163" t="s">
        <v>2322</v>
      </c>
      <c r="C685" s="163" t="s">
        <v>1621</v>
      </c>
      <c r="D685" s="170">
        <v>45443</v>
      </c>
      <c r="E685" s="170">
        <v>45504</v>
      </c>
      <c r="F685" s="163"/>
      <c r="G685" s="171">
        <v>192.13</v>
      </c>
      <c r="H685" s="163" t="s">
        <v>1622</v>
      </c>
      <c r="I685" s="163" t="s">
        <v>1623</v>
      </c>
      <c r="J685" s="163" t="s">
        <v>110</v>
      </c>
      <c r="K685" s="163">
        <v>45853</v>
      </c>
      <c r="L685" s="163">
        <v>1378.6</v>
      </c>
      <c r="M685" s="164" t="s">
        <v>1620</v>
      </c>
    </row>
    <row r="686" spans="1:13">
      <c r="A686" s="167"/>
      <c r="B686" s="161" t="s">
        <v>2322</v>
      </c>
      <c r="C686" s="161" t="s">
        <v>1624</v>
      </c>
      <c r="D686" s="172">
        <v>45596</v>
      </c>
      <c r="E686" s="172">
        <v>45667</v>
      </c>
      <c r="F686" s="161"/>
      <c r="G686" s="173">
        <v>596.57000000000005</v>
      </c>
      <c r="H686" s="161" t="s">
        <v>1625</v>
      </c>
      <c r="I686" s="161" t="s">
        <v>1626</v>
      </c>
      <c r="J686" s="161" t="s">
        <v>110</v>
      </c>
      <c r="K686" s="161">
        <v>45853</v>
      </c>
      <c r="L686" s="161">
        <v>1378.6</v>
      </c>
      <c r="M686" s="162" t="s">
        <v>1620</v>
      </c>
    </row>
    <row r="687" spans="1:13">
      <c r="A687" s="166"/>
      <c r="B687" s="163" t="s">
        <v>2322</v>
      </c>
      <c r="C687" s="163" t="s">
        <v>1627</v>
      </c>
      <c r="D687" s="170">
        <v>45777</v>
      </c>
      <c r="E687" s="170">
        <v>45838</v>
      </c>
      <c r="F687" s="163"/>
      <c r="G687" s="171">
        <v>266.32</v>
      </c>
      <c r="H687" s="163" t="s">
        <v>1628</v>
      </c>
      <c r="I687" s="163"/>
      <c r="J687" s="163" t="s">
        <v>110</v>
      </c>
      <c r="K687" s="170"/>
      <c r="L687" s="163"/>
      <c r="M687" s="164"/>
    </row>
    <row r="688" spans="1:13">
      <c r="A688" s="167"/>
      <c r="B688" s="161" t="s">
        <v>2322</v>
      </c>
      <c r="C688" s="161" t="s">
        <v>1627</v>
      </c>
      <c r="D688" s="172">
        <v>45777</v>
      </c>
      <c r="E688" s="172">
        <v>45838</v>
      </c>
      <c r="F688" s="161"/>
      <c r="G688" s="173">
        <v>29.3</v>
      </c>
      <c r="H688" s="161" t="s">
        <v>1628</v>
      </c>
      <c r="I688" s="161"/>
      <c r="J688" s="161" t="s">
        <v>110</v>
      </c>
      <c r="K688" s="172"/>
      <c r="L688" s="161"/>
      <c r="M688" s="162"/>
    </row>
    <row r="689" spans="1:13">
      <c r="A689" s="166"/>
      <c r="B689" s="163" t="s">
        <v>2322</v>
      </c>
      <c r="C689" s="163" t="s">
        <v>1629</v>
      </c>
      <c r="D689" s="170">
        <v>45869</v>
      </c>
      <c r="E689" s="170">
        <v>45930</v>
      </c>
      <c r="F689" s="163"/>
      <c r="G689" s="171">
        <v>408.19</v>
      </c>
      <c r="H689" s="163" t="s">
        <v>1630</v>
      </c>
      <c r="I689" s="163" t="s">
        <v>1631</v>
      </c>
      <c r="J689" s="163" t="s">
        <v>110</v>
      </c>
      <c r="K689" s="163"/>
      <c r="L689" s="163"/>
      <c r="M689" s="164"/>
    </row>
    <row r="690" spans="1:13">
      <c r="A690" s="167"/>
      <c r="B690" s="161" t="s">
        <v>2322</v>
      </c>
      <c r="C690" s="161" t="s">
        <v>1632</v>
      </c>
      <c r="D690" s="172">
        <v>45961</v>
      </c>
      <c r="E690" s="172">
        <v>46032</v>
      </c>
      <c r="F690" s="161"/>
      <c r="G690" s="173">
        <v>344.93</v>
      </c>
      <c r="H690" s="161"/>
      <c r="I690" s="161" t="s">
        <v>1631</v>
      </c>
      <c r="J690" s="161" t="s">
        <v>125</v>
      </c>
      <c r="K690" s="161">
        <v>46032</v>
      </c>
      <c r="L690" s="161">
        <v>344.93</v>
      </c>
      <c r="M690" s="162"/>
    </row>
    <row r="691" spans="1:13">
      <c r="A691" s="166"/>
      <c r="B691" s="163" t="s">
        <v>2322</v>
      </c>
      <c r="C691" s="163" t="s">
        <v>1633</v>
      </c>
      <c r="D691" s="170">
        <v>45961</v>
      </c>
      <c r="E691" s="170">
        <v>46032</v>
      </c>
      <c r="F691" s="163"/>
      <c r="G691" s="171">
        <v>207.8</v>
      </c>
      <c r="H691" s="163"/>
      <c r="I691" s="163" t="s">
        <v>1634</v>
      </c>
      <c r="J691" s="163" t="s">
        <v>125</v>
      </c>
      <c r="K691" s="163">
        <v>46032</v>
      </c>
      <c r="L691" s="163">
        <v>207.8</v>
      </c>
      <c r="M691" s="164"/>
    </row>
    <row r="692" spans="1:13">
      <c r="A692" s="167" t="s">
        <v>67</v>
      </c>
      <c r="B692" s="161" t="s">
        <v>3279</v>
      </c>
      <c r="C692" s="161" t="s">
        <v>26</v>
      </c>
      <c r="D692" s="172">
        <v>45691</v>
      </c>
      <c r="E692" s="172">
        <v>45691</v>
      </c>
      <c r="F692" s="161" t="s">
        <v>16</v>
      </c>
      <c r="G692" s="173">
        <v>7320</v>
      </c>
      <c r="H692" s="161" t="s">
        <v>1636</v>
      </c>
      <c r="I692" s="161" t="s">
        <v>1637</v>
      </c>
      <c r="J692" s="161" t="s">
        <v>66</v>
      </c>
      <c r="K692" s="161">
        <v>45698</v>
      </c>
      <c r="L692" s="161">
        <v>7320</v>
      </c>
      <c r="M692" s="162" t="s">
        <v>70</v>
      </c>
    </row>
    <row r="693" spans="1:13">
      <c r="A693" s="166" t="s">
        <v>316</v>
      </c>
      <c r="B693" s="163" t="s">
        <v>3279</v>
      </c>
      <c r="C693" s="163" t="s">
        <v>1638</v>
      </c>
      <c r="D693" s="170">
        <v>45791</v>
      </c>
      <c r="E693" s="170">
        <v>45808</v>
      </c>
      <c r="F693" s="163"/>
      <c r="G693" s="171">
        <v>12180</v>
      </c>
      <c r="H693" s="163"/>
      <c r="I693" s="163" t="s">
        <v>248</v>
      </c>
      <c r="J693" s="163" t="s">
        <v>354</v>
      </c>
      <c r="K693" s="170"/>
      <c r="L693" s="163">
        <v>3090</v>
      </c>
      <c r="M693" s="164" t="s">
        <v>1639</v>
      </c>
    </row>
    <row r="694" spans="1:13">
      <c r="A694" s="167" t="s">
        <v>316</v>
      </c>
      <c r="B694" s="161" t="s">
        <v>3279</v>
      </c>
      <c r="C694" s="161" t="s">
        <v>1638</v>
      </c>
      <c r="D694" s="172">
        <v>45791</v>
      </c>
      <c r="E694" s="172">
        <v>45808</v>
      </c>
      <c r="F694" s="161" t="s">
        <v>16</v>
      </c>
      <c r="G694" s="173">
        <v>3045</v>
      </c>
      <c r="H694" s="161" t="s">
        <v>1640</v>
      </c>
      <c r="I694" s="161" t="s">
        <v>1641</v>
      </c>
      <c r="J694" s="161" t="s">
        <v>56</v>
      </c>
      <c r="K694" s="161">
        <v>45945</v>
      </c>
      <c r="L694" s="161">
        <v>3045</v>
      </c>
      <c r="M694" s="162" t="s">
        <v>71</v>
      </c>
    </row>
    <row r="695" spans="1:13">
      <c r="A695" s="166" t="s">
        <v>316</v>
      </c>
      <c r="B695" s="163" t="s">
        <v>3279</v>
      </c>
      <c r="C695" s="163" t="s">
        <v>1638</v>
      </c>
      <c r="D695" s="170">
        <v>45791</v>
      </c>
      <c r="E695" s="170">
        <v>45808</v>
      </c>
      <c r="F695" s="163" t="s">
        <v>16</v>
      </c>
      <c r="G695" s="171">
        <v>3045</v>
      </c>
      <c r="H695" s="163" t="s">
        <v>1640</v>
      </c>
      <c r="I695" s="163" t="s">
        <v>1641</v>
      </c>
      <c r="J695" s="163" t="s">
        <v>56</v>
      </c>
      <c r="K695" s="163">
        <v>45960</v>
      </c>
      <c r="L695" s="163">
        <v>3045</v>
      </c>
      <c r="M695" s="164" t="s">
        <v>246</v>
      </c>
    </row>
    <row r="696" spans="1:13">
      <c r="A696" s="167" t="s">
        <v>13</v>
      </c>
      <c r="B696" s="161" t="s">
        <v>3279</v>
      </c>
      <c r="C696" s="161" t="s">
        <v>1638</v>
      </c>
      <c r="D696" s="172">
        <v>45791</v>
      </c>
      <c r="E696" s="172">
        <v>45808</v>
      </c>
      <c r="F696" s="161" t="s">
        <v>49</v>
      </c>
      <c r="G696" s="173">
        <v>3000</v>
      </c>
      <c r="H696" s="161"/>
      <c r="I696" s="161" t="s">
        <v>1641</v>
      </c>
      <c r="J696" s="161" t="s">
        <v>56</v>
      </c>
      <c r="K696" s="161">
        <v>45993</v>
      </c>
      <c r="L696" s="161">
        <v>3000</v>
      </c>
      <c r="M696" s="162" t="s">
        <v>246</v>
      </c>
    </row>
    <row r="697" spans="1:13">
      <c r="A697" s="166" t="s">
        <v>316</v>
      </c>
      <c r="B697" s="163" t="s">
        <v>3279</v>
      </c>
      <c r="C697" s="163" t="s">
        <v>1642</v>
      </c>
      <c r="D697" s="170">
        <v>45807</v>
      </c>
      <c r="E697" s="170">
        <v>45837</v>
      </c>
      <c r="F697" s="163" t="s">
        <v>16</v>
      </c>
      <c r="G697" s="171">
        <v>3081.72</v>
      </c>
      <c r="H697" s="163" t="s">
        <v>1643</v>
      </c>
      <c r="I697" s="163" t="s">
        <v>1644</v>
      </c>
      <c r="J697" s="163" t="s">
        <v>56</v>
      </c>
      <c r="K697" s="170"/>
      <c r="L697" s="163"/>
      <c r="M697" s="164"/>
    </row>
    <row r="698" spans="1:13">
      <c r="A698" s="167" t="s">
        <v>316</v>
      </c>
      <c r="B698" s="161" t="s">
        <v>3279</v>
      </c>
      <c r="C698" s="161" t="s">
        <v>335</v>
      </c>
      <c r="D698" s="172">
        <v>45819</v>
      </c>
      <c r="E698" s="172">
        <v>45849</v>
      </c>
      <c r="F698" s="161" t="s">
        <v>16</v>
      </c>
      <c r="G698" s="173">
        <v>-3081.72</v>
      </c>
      <c r="H698" s="161" t="s">
        <v>1645</v>
      </c>
      <c r="I698" s="161" t="s">
        <v>1646</v>
      </c>
      <c r="J698" s="161" t="s">
        <v>56</v>
      </c>
      <c r="K698" s="161">
        <v>45853</v>
      </c>
      <c r="L698" s="161"/>
      <c r="M698" s="162" t="s">
        <v>345</v>
      </c>
    </row>
    <row r="699" spans="1:13">
      <c r="A699" s="166" t="s">
        <v>316</v>
      </c>
      <c r="B699" s="163" t="s">
        <v>3279</v>
      </c>
      <c r="C699" s="163" t="s">
        <v>1647</v>
      </c>
      <c r="D699" s="170">
        <v>45819</v>
      </c>
      <c r="E699" s="170">
        <v>45849</v>
      </c>
      <c r="F699" s="163" t="s">
        <v>16</v>
      </c>
      <c r="G699" s="171">
        <v>2627.04</v>
      </c>
      <c r="H699" s="163" t="s">
        <v>1648</v>
      </c>
      <c r="I699" s="163" t="s">
        <v>1649</v>
      </c>
      <c r="J699" s="163" t="s">
        <v>56</v>
      </c>
      <c r="K699" s="163">
        <v>45853</v>
      </c>
      <c r="L699" s="163">
        <v>2627.04</v>
      </c>
      <c r="M699" s="164" t="s">
        <v>394</v>
      </c>
    </row>
    <row r="700" spans="1:13">
      <c r="A700" s="167" t="s">
        <v>316</v>
      </c>
      <c r="B700" s="161" t="s">
        <v>3280</v>
      </c>
      <c r="C700" s="161" t="s">
        <v>1651</v>
      </c>
      <c r="D700" s="172">
        <v>45797</v>
      </c>
      <c r="E700" s="172"/>
      <c r="F700" s="161" t="s">
        <v>16</v>
      </c>
      <c r="G700" s="173">
        <v>42</v>
      </c>
      <c r="H700" s="161" t="s">
        <v>1652</v>
      </c>
      <c r="I700" s="161" t="s">
        <v>457</v>
      </c>
      <c r="J700" s="161" t="s">
        <v>219</v>
      </c>
      <c r="K700" s="172"/>
      <c r="L700" s="161"/>
      <c r="M700" s="162"/>
    </row>
    <row r="701" spans="1:13">
      <c r="A701" s="166" t="s">
        <v>13</v>
      </c>
      <c r="B701" s="163" t="s">
        <v>3281</v>
      </c>
      <c r="C701" s="163" t="s">
        <v>1654</v>
      </c>
      <c r="D701" s="170">
        <v>45792</v>
      </c>
      <c r="E701" s="170">
        <v>45852</v>
      </c>
      <c r="F701" s="163" t="s">
        <v>49</v>
      </c>
      <c r="G701" s="171">
        <v>370.39</v>
      </c>
      <c r="H701" s="163" t="s">
        <v>1655</v>
      </c>
      <c r="I701" s="163" t="s">
        <v>1656</v>
      </c>
      <c r="J701" s="163" t="s">
        <v>110</v>
      </c>
      <c r="K701" s="163">
        <v>45950</v>
      </c>
      <c r="L701" s="163">
        <v>370.39</v>
      </c>
      <c r="M701" s="164" t="s">
        <v>1657</v>
      </c>
    </row>
    <row r="702" spans="1:13">
      <c r="A702" s="167" t="s">
        <v>13</v>
      </c>
      <c r="B702" s="161" t="s">
        <v>3281</v>
      </c>
      <c r="C702" s="161" t="s">
        <v>1658</v>
      </c>
      <c r="D702" s="172">
        <v>45821</v>
      </c>
      <c r="E702" s="172">
        <v>45881</v>
      </c>
      <c r="F702" s="161" t="s">
        <v>49</v>
      </c>
      <c r="G702" s="173">
        <v>1845.37</v>
      </c>
      <c r="H702" s="161" t="s">
        <v>1659</v>
      </c>
      <c r="I702" s="161" t="s">
        <v>1660</v>
      </c>
      <c r="J702" s="161" t="s">
        <v>110</v>
      </c>
      <c r="K702" s="161">
        <v>45950</v>
      </c>
      <c r="L702" s="161">
        <v>1845.37</v>
      </c>
      <c r="M702" s="162" t="s">
        <v>1661</v>
      </c>
    </row>
    <row r="703" spans="1:13">
      <c r="A703" s="166"/>
      <c r="B703" s="163" t="s">
        <v>2329</v>
      </c>
      <c r="C703" s="163" t="s">
        <v>1663</v>
      </c>
      <c r="D703" s="170">
        <v>45687</v>
      </c>
      <c r="E703" s="170">
        <v>45687</v>
      </c>
      <c r="F703" s="163" t="s">
        <v>16</v>
      </c>
      <c r="G703" s="171">
        <v>21.35</v>
      </c>
      <c r="H703" s="163" t="s">
        <v>1664</v>
      </c>
      <c r="I703" s="163" t="s">
        <v>1665</v>
      </c>
      <c r="J703" s="163" t="s">
        <v>150</v>
      </c>
      <c r="K703" s="170"/>
      <c r="L703" s="163"/>
      <c r="M703" s="164" t="s">
        <v>246</v>
      </c>
    </row>
    <row r="704" spans="1:13">
      <c r="A704" s="167"/>
      <c r="B704" s="161" t="s">
        <v>2329</v>
      </c>
      <c r="C704" s="161" t="s">
        <v>1666</v>
      </c>
      <c r="D704" s="172">
        <v>45687</v>
      </c>
      <c r="E704" s="172">
        <v>45687</v>
      </c>
      <c r="F704" s="161" t="s">
        <v>16</v>
      </c>
      <c r="G704" s="173">
        <v>6</v>
      </c>
      <c r="H704" s="161" t="s">
        <v>1667</v>
      </c>
      <c r="I704" s="161" t="s">
        <v>1668</v>
      </c>
      <c r="J704" s="161" t="s">
        <v>150</v>
      </c>
      <c r="K704" s="172"/>
      <c r="L704" s="161"/>
      <c r="M704" s="162" t="s">
        <v>246</v>
      </c>
    </row>
    <row r="705" spans="1:13">
      <c r="A705" s="166"/>
      <c r="B705" s="163" t="s">
        <v>2329</v>
      </c>
      <c r="C705" s="163" t="s">
        <v>1669</v>
      </c>
      <c r="D705" s="170">
        <v>45716</v>
      </c>
      <c r="E705" s="170"/>
      <c r="F705" s="163" t="s">
        <v>16</v>
      </c>
      <c r="G705" s="171">
        <v>52.34</v>
      </c>
      <c r="H705" s="163" t="s">
        <v>1670</v>
      </c>
      <c r="I705" s="163" t="s">
        <v>1665</v>
      </c>
      <c r="J705" s="163" t="s">
        <v>150</v>
      </c>
      <c r="K705" s="170"/>
      <c r="L705" s="163"/>
      <c r="M705" s="164" t="s">
        <v>246</v>
      </c>
    </row>
    <row r="706" spans="1:13">
      <c r="A706" s="167"/>
      <c r="B706" s="161" t="s">
        <v>2329</v>
      </c>
      <c r="C706" s="161" t="s">
        <v>1671</v>
      </c>
      <c r="D706" s="172">
        <v>45746</v>
      </c>
      <c r="E706" s="172"/>
      <c r="F706" s="161" t="s">
        <v>16</v>
      </c>
      <c r="G706" s="173">
        <v>12.5</v>
      </c>
      <c r="H706" s="161" t="s">
        <v>1672</v>
      </c>
      <c r="I706" s="161" t="s">
        <v>1673</v>
      </c>
      <c r="J706" s="161" t="s">
        <v>150</v>
      </c>
      <c r="K706" s="172"/>
      <c r="L706" s="161"/>
      <c r="M706" s="162" t="s">
        <v>246</v>
      </c>
    </row>
    <row r="707" spans="1:13">
      <c r="A707" s="166"/>
      <c r="B707" s="163" t="s">
        <v>2329</v>
      </c>
      <c r="C707" s="163" t="s">
        <v>1674</v>
      </c>
      <c r="D707" s="170">
        <v>45746</v>
      </c>
      <c r="E707" s="170"/>
      <c r="F707" s="163" t="s">
        <v>16</v>
      </c>
      <c r="G707" s="171">
        <v>21.35</v>
      </c>
      <c r="H707" s="163" t="s">
        <v>1672</v>
      </c>
      <c r="I707" s="163" t="s">
        <v>1665</v>
      </c>
      <c r="J707" s="163" t="s">
        <v>150</v>
      </c>
      <c r="K707" s="170"/>
      <c r="L707" s="163"/>
      <c r="M707" s="164" t="s">
        <v>246</v>
      </c>
    </row>
    <row r="708" spans="1:13">
      <c r="A708" s="167"/>
      <c r="B708" s="161" t="s">
        <v>2329</v>
      </c>
      <c r="C708" s="161" t="s">
        <v>1675</v>
      </c>
      <c r="D708" s="172">
        <v>45777</v>
      </c>
      <c r="E708" s="172"/>
      <c r="F708" s="161" t="s">
        <v>16</v>
      </c>
      <c r="G708" s="173">
        <v>21.35</v>
      </c>
      <c r="H708" s="161" t="s">
        <v>1676</v>
      </c>
      <c r="I708" s="161" t="s">
        <v>1665</v>
      </c>
      <c r="J708" s="161" t="s">
        <v>150</v>
      </c>
      <c r="K708" s="161"/>
      <c r="L708" s="161"/>
      <c r="M708" s="162" t="s">
        <v>246</v>
      </c>
    </row>
    <row r="709" spans="1:13">
      <c r="A709" s="166"/>
      <c r="B709" s="163" t="s">
        <v>2329</v>
      </c>
      <c r="C709" s="163" t="s">
        <v>1677</v>
      </c>
      <c r="D709" s="170">
        <v>45807</v>
      </c>
      <c r="E709" s="170"/>
      <c r="F709" s="163" t="s">
        <v>16</v>
      </c>
      <c r="G709" s="171">
        <v>21.35</v>
      </c>
      <c r="H709" s="163" t="s">
        <v>1678</v>
      </c>
      <c r="I709" s="163" t="s">
        <v>1665</v>
      </c>
      <c r="J709" s="163" t="s">
        <v>150</v>
      </c>
      <c r="K709" s="170"/>
      <c r="L709" s="163"/>
      <c r="M709" s="164" t="s">
        <v>246</v>
      </c>
    </row>
    <row r="710" spans="1:13">
      <c r="A710" s="167"/>
      <c r="B710" s="161" t="s">
        <v>2329</v>
      </c>
      <c r="C710" s="161" t="s">
        <v>1679</v>
      </c>
      <c r="D710" s="172">
        <v>45838</v>
      </c>
      <c r="E710" s="172"/>
      <c r="F710" s="161" t="s">
        <v>16</v>
      </c>
      <c r="G710" s="173">
        <v>21.35</v>
      </c>
      <c r="H710" s="161" t="s">
        <v>1680</v>
      </c>
      <c r="I710" s="161" t="s">
        <v>1665</v>
      </c>
      <c r="J710" s="161" t="s">
        <v>150</v>
      </c>
      <c r="K710" s="172"/>
      <c r="L710" s="161"/>
      <c r="M710" s="162" t="s">
        <v>246</v>
      </c>
    </row>
    <row r="711" spans="1:13">
      <c r="A711" s="166"/>
      <c r="B711" s="163" t="s">
        <v>2329</v>
      </c>
      <c r="C711" s="163" t="s">
        <v>1681</v>
      </c>
      <c r="D711" s="170">
        <v>45868</v>
      </c>
      <c r="E711" s="170"/>
      <c r="F711" s="163" t="s">
        <v>16</v>
      </c>
      <c r="G711" s="171">
        <v>33.32</v>
      </c>
      <c r="H711" s="163" t="s">
        <v>1682</v>
      </c>
      <c r="I711" s="163" t="s">
        <v>1665</v>
      </c>
      <c r="J711" s="163" t="s">
        <v>150</v>
      </c>
      <c r="K711" s="163">
        <v>45730</v>
      </c>
      <c r="L711" s="163">
        <v>30000</v>
      </c>
      <c r="M711" s="164" t="s">
        <v>111</v>
      </c>
    </row>
    <row r="712" spans="1:13">
      <c r="A712" s="167"/>
      <c r="B712" s="161" t="s">
        <v>2329</v>
      </c>
      <c r="C712" s="161" t="s">
        <v>1683</v>
      </c>
      <c r="D712" s="172">
        <v>45899</v>
      </c>
      <c r="E712" s="172"/>
      <c r="F712" s="161" t="s">
        <v>16</v>
      </c>
      <c r="G712" s="173">
        <v>33.32</v>
      </c>
      <c r="H712" s="161" t="s">
        <v>1684</v>
      </c>
      <c r="I712" s="161" t="s">
        <v>1665</v>
      </c>
      <c r="J712" s="161" t="s">
        <v>150</v>
      </c>
      <c r="K712" s="172"/>
      <c r="L712" s="161"/>
      <c r="M712" s="162" t="s">
        <v>246</v>
      </c>
    </row>
    <row r="713" spans="1:13">
      <c r="A713" s="166"/>
      <c r="B713" s="163" t="s">
        <v>2329</v>
      </c>
      <c r="C713" s="163" t="s">
        <v>1685</v>
      </c>
      <c r="D713" s="170">
        <v>45899</v>
      </c>
      <c r="E713" s="170"/>
      <c r="F713" s="163" t="s">
        <v>16</v>
      </c>
      <c r="G713" s="171">
        <v>1.8</v>
      </c>
      <c r="H713" s="163" t="s">
        <v>1686</v>
      </c>
      <c r="I713" s="163" t="s">
        <v>1665</v>
      </c>
      <c r="J713" s="163" t="s">
        <v>150</v>
      </c>
      <c r="K713" s="170"/>
      <c r="L713" s="163"/>
      <c r="M713" s="164" t="s">
        <v>246</v>
      </c>
    </row>
    <row r="714" spans="1:13">
      <c r="A714" s="167"/>
      <c r="B714" s="161" t="s">
        <v>2329</v>
      </c>
      <c r="C714" s="161" t="s">
        <v>1687</v>
      </c>
      <c r="D714" s="172">
        <v>45930</v>
      </c>
      <c r="E714" s="172"/>
      <c r="F714" s="161" t="s">
        <v>49</v>
      </c>
      <c r="G714" s="173">
        <v>33.32</v>
      </c>
      <c r="H714" s="161" t="s">
        <v>1688</v>
      </c>
      <c r="I714" s="161" t="s">
        <v>1665</v>
      </c>
      <c r="J714" s="161" t="s">
        <v>150</v>
      </c>
      <c r="K714" s="172"/>
      <c r="L714" s="161"/>
      <c r="M714" s="162" t="s">
        <v>246</v>
      </c>
    </row>
    <row r="715" spans="1:13">
      <c r="A715" s="166"/>
      <c r="B715" s="163" t="s">
        <v>2329</v>
      </c>
      <c r="C715" s="163" t="s">
        <v>1689</v>
      </c>
      <c r="D715" s="170">
        <v>45960</v>
      </c>
      <c r="E715" s="170">
        <v>45960</v>
      </c>
      <c r="F715" s="163" t="s">
        <v>49</v>
      </c>
      <c r="G715" s="171">
        <v>2.5</v>
      </c>
      <c r="H715" s="163"/>
      <c r="I715" s="163" t="s">
        <v>1665</v>
      </c>
      <c r="J715" s="163" t="s">
        <v>150</v>
      </c>
      <c r="K715" s="170"/>
      <c r="L715" s="163"/>
      <c r="M715" s="164" t="s">
        <v>246</v>
      </c>
    </row>
    <row r="716" spans="1:13">
      <c r="A716" s="167"/>
      <c r="B716" s="161" t="s">
        <v>2329</v>
      </c>
      <c r="C716" s="161" t="s">
        <v>1690</v>
      </c>
      <c r="D716" s="172">
        <v>45960</v>
      </c>
      <c r="E716" s="172">
        <v>45960</v>
      </c>
      <c r="F716" s="161" t="s">
        <v>49</v>
      </c>
      <c r="G716" s="173">
        <v>33.32</v>
      </c>
      <c r="H716" s="161"/>
      <c r="I716" s="161" t="s">
        <v>1665</v>
      </c>
      <c r="J716" s="161" t="s">
        <v>150</v>
      </c>
      <c r="K716" s="172"/>
      <c r="L716" s="161"/>
      <c r="M716" s="162" t="s">
        <v>246</v>
      </c>
    </row>
    <row r="717" spans="1:13">
      <c r="A717" s="166"/>
      <c r="B717" s="163" t="s">
        <v>2329</v>
      </c>
      <c r="C717" s="163" t="s">
        <v>1691</v>
      </c>
      <c r="D717" s="170">
        <v>45991</v>
      </c>
      <c r="E717" s="170">
        <v>45991</v>
      </c>
      <c r="F717" s="163" t="s">
        <v>49</v>
      </c>
      <c r="G717" s="171">
        <v>5</v>
      </c>
      <c r="H717" s="163"/>
      <c r="I717" s="163" t="s">
        <v>1692</v>
      </c>
      <c r="J717" s="163" t="s">
        <v>1276</v>
      </c>
      <c r="K717" s="170"/>
      <c r="L717" s="163"/>
      <c r="M717" s="164" t="s">
        <v>246</v>
      </c>
    </row>
    <row r="718" spans="1:13">
      <c r="A718" s="167"/>
      <c r="B718" s="161" t="s">
        <v>2329</v>
      </c>
      <c r="C718" s="161" t="s">
        <v>1693</v>
      </c>
      <c r="D718" s="172">
        <v>45991</v>
      </c>
      <c r="E718" s="172">
        <v>45991</v>
      </c>
      <c r="F718" s="161" t="s">
        <v>49</v>
      </c>
      <c r="G718" s="173">
        <v>33.32</v>
      </c>
      <c r="H718" s="161"/>
      <c r="I718" s="161" t="s">
        <v>1694</v>
      </c>
      <c r="J718" s="161" t="s">
        <v>1276</v>
      </c>
      <c r="K718" s="172"/>
      <c r="L718" s="161"/>
      <c r="M718" s="162" t="s">
        <v>246</v>
      </c>
    </row>
    <row r="719" spans="1:13">
      <c r="A719" s="166"/>
      <c r="B719" s="163" t="s">
        <v>2333</v>
      </c>
      <c r="C719" s="163" t="s">
        <v>848</v>
      </c>
      <c r="D719" s="170">
        <v>45569</v>
      </c>
      <c r="E719" s="170">
        <v>45667</v>
      </c>
      <c r="F719" s="163" t="s">
        <v>16</v>
      </c>
      <c r="G719" s="171">
        <v>19743.5</v>
      </c>
      <c r="H719" s="163" t="s">
        <v>1696</v>
      </c>
      <c r="I719" s="163" t="s">
        <v>1697</v>
      </c>
      <c r="J719" s="163" t="s">
        <v>66</v>
      </c>
      <c r="K719" s="163">
        <v>45730</v>
      </c>
      <c r="L719" s="163">
        <v>30000</v>
      </c>
      <c r="M719" s="164" t="s">
        <v>111</v>
      </c>
    </row>
    <row r="720" spans="1:13">
      <c r="A720" s="167"/>
      <c r="B720" s="161" t="s">
        <v>2333</v>
      </c>
      <c r="C720" s="161" t="s">
        <v>848</v>
      </c>
      <c r="D720" s="172">
        <v>45569</v>
      </c>
      <c r="E720" s="172">
        <v>45698</v>
      </c>
      <c r="F720" s="161" t="s">
        <v>16</v>
      </c>
      <c r="G720" s="173">
        <v>10256.5</v>
      </c>
      <c r="H720" s="161" t="s">
        <v>1696</v>
      </c>
      <c r="I720" s="161" t="s">
        <v>1698</v>
      </c>
      <c r="J720" s="161" t="s">
        <v>66</v>
      </c>
      <c r="K720" s="172"/>
      <c r="L720" s="161"/>
      <c r="M720" s="162"/>
    </row>
    <row r="721" spans="1:13">
      <c r="A721" s="166"/>
      <c r="B721" s="163" t="s">
        <v>2333</v>
      </c>
      <c r="C721" s="163" t="s">
        <v>848</v>
      </c>
      <c r="D721" s="170">
        <v>45569</v>
      </c>
      <c r="E721" s="170">
        <v>45698</v>
      </c>
      <c r="F721" s="163" t="s">
        <v>16</v>
      </c>
      <c r="G721" s="171">
        <v>9487</v>
      </c>
      <c r="H721" s="163" t="s">
        <v>1696</v>
      </c>
      <c r="I721" s="163" t="s">
        <v>1698</v>
      </c>
      <c r="J721" s="163" t="s">
        <v>66</v>
      </c>
      <c r="K721" s="170"/>
      <c r="L721" s="163"/>
      <c r="M721" s="164"/>
    </row>
    <row r="722" spans="1:13">
      <c r="A722" s="167"/>
      <c r="B722" s="161" t="s">
        <v>2333</v>
      </c>
      <c r="C722" s="161" t="s">
        <v>1699</v>
      </c>
      <c r="D722" s="172">
        <v>45624</v>
      </c>
      <c r="E722" s="172">
        <v>45698</v>
      </c>
      <c r="F722" s="161" t="s">
        <v>16</v>
      </c>
      <c r="G722" s="173">
        <v>4907</v>
      </c>
      <c r="H722" s="161" t="s">
        <v>1700</v>
      </c>
      <c r="I722" s="161" t="s">
        <v>1701</v>
      </c>
      <c r="J722" s="161" t="s">
        <v>56</v>
      </c>
      <c r="K722" s="172"/>
      <c r="L722" s="161"/>
      <c r="M722" s="162"/>
    </row>
    <row r="723" spans="1:13">
      <c r="A723" s="166"/>
      <c r="B723" s="163" t="s">
        <v>2333</v>
      </c>
      <c r="C723" s="163" t="s">
        <v>1699</v>
      </c>
      <c r="D723" s="170">
        <v>45624</v>
      </c>
      <c r="E723" s="170">
        <v>45726</v>
      </c>
      <c r="F723" s="163" t="s">
        <v>16</v>
      </c>
      <c r="G723" s="171">
        <v>4907</v>
      </c>
      <c r="H723" s="163" t="s">
        <v>1700</v>
      </c>
      <c r="I723" s="163" t="s">
        <v>1701</v>
      </c>
      <c r="J723" s="163" t="s">
        <v>56</v>
      </c>
      <c r="K723" s="170"/>
      <c r="L723" s="163"/>
      <c r="M723" s="164"/>
    </row>
    <row r="724" spans="1:13">
      <c r="A724" s="167" t="s">
        <v>1702</v>
      </c>
      <c r="B724" s="161" t="s">
        <v>2333</v>
      </c>
      <c r="C724" s="161" t="s">
        <v>1703</v>
      </c>
      <c r="D724" s="172">
        <v>45656</v>
      </c>
      <c r="E724" s="172">
        <v>45726</v>
      </c>
      <c r="F724" s="161" t="s">
        <v>16</v>
      </c>
      <c r="G724" s="173">
        <v>20000</v>
      </c>
      <c r="H724" s="161" t="s">
        <v>1704</v>
      </c>
      <c r="I724" s="161" t="s">
        <v>1705</v>
      </c>
      <c r="J724" s="161" t="s">
        <v>56</v>
      </c>
      <c r="K724" s="172"/>
      <c r="L724" s="161"/>
      <c r="M724" s="162"/>
    </row>
    <row r="725" spans="1:13">
      <c r="A725" s="166" t="s">
        <v>1702</v>
      </c>
      <c r="B725" s="163" t="s">
        <v>2333</v>
      </c>
      <c r="C725" s="163" t="s">
        <v>1703</v>
      </c>
      <c r="D725" s="170">
        <v>45656</v>
      </c>
      <c r="E725" s="170">
        <v>45757</v>
      </c>
      <c r="F725" s="163" t="s">
        <v>16</v>
      </c>
      <c r="G725" s="171">
        <v>20000</v>
      </c>
      <c r="H725" s="163" t="s">
        <v>1704</v>
      </c>
      <c r="I725" s="163" t="s">
        <v>1705</v>
      </c>
      <c r="J725" s="163" t="s">
        <v>56</v>
      </c>
      <c r="K725" s="170"/>
      <c r="L725" s="163"/>
      <c r="M725" s="164"/>
    </row>
    <row r="726" spans="1:13">
      <c r="A726" s="167" t="s">
        <v>1702</v>
      </c>
      <c r="B726" s="161" t="s">
        <v>2333</v>
      </c>
      <c r="C726" s="161" t="s">
        <v>335</v>
      </c>
      <c r="D726" s="172">
        <v>45729</v>
      </c>
      <c r="E726" s="172">
        <v>45729</v>
      </c>
      <c r="F726" s="161" t="s">
        <v>16</v>
      </c>
      <c r="G726" s="173">
        <v>-8800</v>
      </c>
      <c r="H726" s="161" t="s">
        <v>1706</v>
      </c>
      <c r="I726" s="161" t="s">
        <v>1707</v>
      </c>
      <c r="J726" s="161" t="s">
        <v>56</v>
      </c>
      <c r="K726" s="172"/>
      <c r="L726" s="161"/>
      <c r="M726" s="162"/>
    </row>
    <row r="727" spans="1:13">
      <c r="A727" s="166" t="s">
        <v>1702</v>
      </c>
      <c r="B727" s="163" t="s">
        <v>2333</v>
      </c>
      <c r="C727" s="163" t="s">
        <v>1708</v>
      </c>
      <c r="D727" s="170">
        <v>45656</v>
      </c>
      <c r="E727" s="170">
        <v>45726</v>
      </c>
      <c r="F727" s="163" t="s">
        <v>16</v>
      </c>
      <c r="G727" s="171">
        <v>5013.5</v>
      </c>
      <c r="H727" s="163" t="s">
        <v>1709</v>
      </c>
      <c r="I727" s="163" t="s">
        <v>342</v>
      </c>
      <c r="J727" s="163" t="s">
        <v>56</v>
      </c>
      <c r="K727" s="170"/>
      <c r="L727" s="163"/>
      <c r="M727" s="164"/>
    </row>
    <row r="728" spans="1:13">
      <c r="A728" s="167" t="s">
        <v>1702</v>
      </c>
      <c r="B728" s="161" t="s">
        <v>2333</v>
      </c>
      <c r="C728" s="161" t="s">
        <v>1708</v>
      </c>
      <c r="D728" s="172">
        <v>45656</v>
      </c>
      <c r="E728" s="172">
        <v>45757</v>
      </c>
      <c r="F728" s="161" t="s">
        <v>16</v>
      </c>
      <c r="G728" s="173">
        <v>5013.5</v>
      </c>
      <c r="H728" s="161" t="s">
        <v>1709</v>
      </c>
      <c r="I728" s="161" t="s">
        <v>342</v>
      </c>
      <c r="J728" s="161" t="s">
        <v>56</v>
      </c>
      <c r="K728" s="172"/>
      <c r="L728" s="161"/>
      <c r="M728" s="162"/>
    </row>
    <row r="729" spans="1:13">
      <c r="A729" s="166" t="s">
        <v>1702</v>
      </c>
      <c r="B729" s="163" t="s">
        <v>2333</v>
      </c>
      <c r="C729" s="163" t="s">
        <v>893</v>
      </c>
      <c r="D729" s="170">
        <v>45687</v>
      </c>
      <c r="E729" s="170">
        <v>45757</v>
      </c>
      <c r="F729" s="163" t="s">
        <v>16</v>
      </c>
      <c r="G729" s="171">
        <v>8123.5</v>
      </c>
      <c r="H729" s="163" t="s">
        <v>1457</v>
      </c>
      <c r="I729" s="163" t="s">
        <v>55</v>
      </c>
      <c r="J729" s="163" t="s">
        <v>56</v>
      </c>
      <c r="K729" s="170"/>
      <c r="L729" s="163"/>
      <c r="M729" s="164"/>
    </row>
    <row r="730" spans="1:13">
      <c r="A730" s="167" t="s">
        <v>1702</v>
      </c>
      <c r="B730" s="161" t="s">
        <v>2333</v>
      </c>
      <c r="C730" s="161" t="s">
        <v>893</v>
      </c>
      <c r="D730" s="172">
        <v>45687</v>
      </c>
      <c r="E730" s="172">
        <v>45787</v>
      </c>
      <c r="F730" s="161" t="s">
        <v>16</v>
      </c>
      <c r="G730" s="173">
        <v>8123.5</v>
      </c>
      <c r="H730" s="161" t="s">
        <v>1457</v>
      </c>
      <c r="I730" s="161" t="s">
        <v>55</v>
      </c>
      <c r="J730" s="161" t="s">
        <v>56</v>
      </c>
      <c r="K730" s="172"/>
      <c r="L730" s="161"/>
      <c r="M730" s="162"/>
    </row>
    <row r="731" spans="1:13">
      <c r="A731" s="166" t="s">
        <v>1702</v>
      </c>
      <c r="B731" s="163" t="s">
        <v>2333</v>
      </c>
      <c r="C731" s="163" t="s">
        <v>338</v>
      </c>
      <c r="D731" s="170">
        <v>45729</v>
      </c>
      <c r="E731" s="170">
        <v>45729</v>
      </c>
      <c r="F731" s="163" t="s">
        <v>16</v>
      </c>
      <c r="G731" s="171">
        <v>-7000</v>
      </c>
      <c r="H731" s="163" t="s">
        <v>1710</v>
      </c>
      <c r="I731" s="163" t="s">
        <v>1711</v>
      </c>
      <c r="J731" s="163" t="s">
        <v>56</v>
      </c>
      <c r="K731" s="170"/>
      <c r="L731" s="163"/>
      <c r="M731" s="164"/>
    </row>
    <row r="732" spans="1:13">
      <c r="A732" s="167" t="s">
        <v>1702</v>
      </c>
      <c r="B732" s="161" t="s">
        <v>2333</v>
      </c>
      <c r="C732" s="161" t="s">
        <v>1712</v>
      </c>
      <c r="D732" s="172">
        <v>45833</v>
      </c>
      <c r="E732" s="172">
        <v>45817</v>
      </c>
      <c r="F732" s="161" t="s">
        <v>16</v>
      </c>
      <c r="G732" s="173">
        <v>1000</v>
      </c>
      <c r="H732" s="161" t="s">
        <v>1713</v>
      </c>
      <c r="I732" s="161" t="s">
        <v>312</v>
      </c>
      <c r="J732" s="161" t="s">
        <v>56</v>
      </c>
      <c r="K732" s="161">
        <v>45817</v>
      </c>
      <c r="L732" s="161">
        <v>1000</v>
      </c>
      <c r="M732" s="162" t="s">
        <v>627</v>
      </c>
    </row>
    <row r="733" spans="1:13">
      <c r="A733" s="166" t="s">
        <v>1702</v>
      </c>
      <c r="B733" s="163" t="s">
        <v>2333</v>
      </c>
      <c r="C733" s="163" t="s">
        <v>1712</v>
      </c>
      <c r="D733" s="170">
        <v>45833</v>
      </c>
      <c r="E733" s="170">
        <v>45833</v>
      </c>
      <c r="F733" s="163" t="s">
        <v>16</v>
      </c>
      <c r="G733" s="171">
        <v>1000</v>
      </c>
      <c r="H733" s="163" t="s">
        <v>1713</v>
      </c>
      <c r="I733" s="163" t="s">
        <v>312</v>
      </c>
      <c r="J733" s="163" t="s">
        <v>56</v>
      </c>
      <c r="K733" s="170"/>
      <c r="L733" s="163"/>
      <c r="M733" s="164"/>
    </row>
    <row r="734" spans="1:13">
      <c r="A734" s="167" t="s">
        <v>1702</v>
      </c>
      <c r="B734" s="161" t="s">
        <v>2333</v>
      </c>
      <c r="C734" s="161" t="s">
        <v>1445</v>
      </c>
      <c r="D734" s="172">
        <v>45835</v>
      </c>
      <c r="E734" s="172">
        <v>45930</v>
      </c>
      <c r="F734" s="161" t="s">
        <v>16</v>
      </c>
      <c r="G734" s="173">
        <v>1465</v>
      </c>
      <c r="H734" s="161" t="s">
        <v>1714</v>
      </c>
      <c r="I734" s="161" t="s">
        <v>1715</v>
      </c>
      <c r="J734" s="161" t="s">
        <v>597</v>
      </c>
      <c r="K734" s="172"/>
      <c r="L734" s="161"/>
      <c r="M734" s="162"/>
    </row>
    <row r="735" spans="1:13">
      <c r="A735" s="166" t="s">
        <v>1702</v>
      </c>
      <c r="B735" s="163" t="s">
        <v>2333</v>
      </c>
      <c r="C735" s="163" t="s">
        <v>1716</v>
      </c>
      <c r="D735" s="170">
        <v>45862</v>
      </c>
      <c r="E735" s="170">
        <v>45930</v>
      </c>
      <c r="F735" s="163" t="s">
        <v>16</v>
      </c>
      <c r="G735" s="171">
        <v>1465</v>
      </c>
      <c r="H735" s="163" t="s">
        <v>1717</v>
      </c>
      <c r="I735" s="163" t="s">
        <v>312</v>
      </c>
      <c r="J735" s="163" t="s">
        <v>56</v>
      </c>
      <c r="K735" s="170"/>
      <c r="L735" s="163"/>
      <c r="M735" s="164"/>
    </row>
    <row r="736" spans="1:13">
      <c r="A736" s="167" t="s">
        <v>1702</v>
      </c>
      <c r="B736" s="161" t="s">
        <v>2333</v>
      </c>
      <c r="C736" s="161" t="s">
        <v>1718</v>
      </c>
      <c r="D736" s="172">
        <v>45862</v>
      </c>
      <c r="E736" s="172">
        <v>45862</v>
      </c>
      <c r="F736" s="161" t="s">
        <v>16</v>
      </c>
      <c r="G736" s="173">
        <v>-1465</v>
      </c>
      <c r="H736" s="161" t="s">
        <v>1719</v>
      </c>
      <c r="I736" s="161" t="s">
        <v>55</v>
      </c>
      <c r="J736" s="161" t="s">
        <v>56</v>
      </c>
      <c r="K736" s="172"/>
      <c r="L736" s="161"/>
      <c r="M736" s="162" t="s">
        <v>1720</v>
      </c>
    </row>
    <row r="737" spans="1:13">
      <c r="A737" s="166" t="s">
        <v>1702</v>
      </c>
      <c r="B737" s="163" t="s">
        <v>2333</v>
      </c>
      <c r="C737" s="163" t="s">
        <v>1721</v>
      </c>
      <c r="D737" s="170">
        <v>45971</v>
      </c>
      <c r="E737" s="170">
        <v>45971</v>
      </c>
      <c r="F737" s="163" t="s">
        <v>16</v>
      </c>
      <c r="G737" s="171">
        <v>1465</v>
      </c>
      <c r="H737" s="163"/>
      <c r="I737" s="163" t="s">
        <v>312</v>
      </c>
      <c r="J737" s="163" t="s">
        <v>1504</v>
      </c>
      <c r="K737" s="170"/>
      <c r="L737" s="163"/>
      <c r="M737" s="164"/>
    </row>
    <row r="738" spans="1:13">
      <c r="A738" s="167" t="s">
        <v>1702</v>
      </c>
      <c r="B738" s="161" t="s">
        <v>2333</v>
      </c>
      <c r="C738" s="161" t="s">
        <v>1722</v>
      </c>
      <c r="D738" s="172">
        <v>45971</v>
      </c>
      <c r="E738" s="172">
        <v>45971</v>
      </c>
      <c r="F738" s="161" t="s">
        <v>16</v>
      </c>
      <c r="G738" s="173">
        <v>-1465</v>
      </c>
      <c r="H738" s="161"/>
      <c r="I738" s="161" t="s">
        <v>1723</v>
      </c>
      <c r="J738" s="161" t="s">
        <v>1504</v>
      </c>
      <c r="K738" s="172"/>
      <c r="L738" s="161"/>
      <c r="M738" s="162"/>
    </row>
    <row r="739" spans="1:13">
      <c r="A739" s="166" t="s">
        <v>1724</v>
      </c>
      <c r="B739" s="163" t="s">
        <v>2333</v>
      </c>
      <c r="C739" s="163"/>
      <c r="D739" s="170"/>
      <c r="E739" s="170"/>
      <c r="F739" s="163"/>
      <c r="G739" s="171">
        <v>65000</v>
      </c>
      <c r="H739" s="163"/>
      <c r="I739" s="163" t="s">
        <v>2334</v>
      </c>
      <c r="J739" s="163"/>
      <c r="K739" s="170"/>
      <c r="L739" s="163" t="s">
        <v>2185</v>
      </c>
      <c r="M739" s="164"/>
    </row>
    <row r="740" spans="1:13">
      <c r="A740" s="167" t="s">
        <v>1724</v>
      </c>
      <c r="B740" s="161" t="s">
        <v>2333</v>
      </c>
      <c r="C740" s="161"/>
      <c r="D740" s="172"/>
      <c r="E740" s="172"/>
      <c r="F740" s="161" t="s">
        <v>49</v>
      </c>
      <c r="G740" s="173">
        <v>13000</v>
      </c>
      <c r="H740" s="161"/>
      <c r="I740" s="161" t="s">
        <v>1725</v>
      </c>
      <c r="J740" s="161" t="s">
        <v>1504</v>
      </c>
      <c r="K740" s="161">
        <v>45981</v>
      </c>
      <c r="L740" s="161">
        <v>52000</v>
      </c>
      <c r="M740" s="162" t="s">
        <v>246</v>
      </c>
    </row>
    <row r="741" spans="1:13">
      <c r="A741" s="166" t="s">
        <v>1724</v>
      </c>
      <c r="B741" s="163" t="s">
        <v>2333</v>
      </c>
      <c r="C741" s="163"/>
      <c r="D741" s="170"/>
      <c r="E741" s="170"/>
      <c r="F741" s="163"/>
      <c r="G741" s="171">
        <v>13000</v>
      </c>
      <c r="H741" s="163"/>
      <c r="I741" s="163" t="s">
        <v>1726</v>
      </c>
      <c r="J741" s="163" t="s">
        <v>1504</v>
      </c>
      <c r="K741" s="163">
        <v>46006</v>
      </c>
      <c r="L741" s="163">
        <v>39000</v>
      </c>
      <c r="M741" s="164"/>
    </row>
    <row r="742" spans="1:13">
      <c r="A742" s="167" t="s">
        <v>1724</v>
      </c>
      <c r="B742" s="161" t="s">
        <v>2333</v>
      </c>
      <c r="C742" s="161"/>
      <c r="D742" s="172"/>
      <c r="E742" s="172"/>
      <c r="F742" s="161"/>
      <c r="G742" s="173">
        <v>13000</v>
      </c>
      <c r="H742" s="161"/>
      <c r="I742" s="161" t="s">
        <v>1727</v>
      </c>
      <c r="J742" s="161" t="s">
        <v>1504</v>
      </c>
      <c r="K742" s="161">
        <v>45672</v>
      </c>
      <c r="L742" s="161">
        <v>26000</v>
      </c>
      <c r="M742" s="162"/>
    </row>
    <row r="743" spans="1:13">
      <c r="A743" s="166" t="s">
        <v>1724</v>
      </c>
      <c r="B743" s="163" t="s">
        <v>2333</v>
      </c>
      <c r="C743" s="163"/>
      <c r="D743" s="170"/>
      <c r="E743" s="170"/>
      <c r="F743" s="163"/>
      <c r="G743" s="171">
        <v>13000</v>
      </c>
      <c r="H743" s="163"/>
      <c r="I743" s="163" t="s">
        <v>1728</v>
      </c>
      <c r="J743" s="163" t="s">
        <v>1504</v>
      </c>
      <c r="K743" s="163">
        <v>45703</v>
      </c>
      <c r="L743" s="163">
        <v>13000</v>
      </c>
      <c r="M743" s="164"/>
    </row>
    <row r="744" spans="1:13">
      <c r="A744" s="167" t="s">
        <v>1724</v>
      </c>
      <c r="B744" s="161" t="s">
        <v>2333</v>
      </c>
      <c r="C744" s="161"/>
      <c r="D744" s="172"/>
      <c r="E744" s="172"/>
      <c r="F744" s="161"/>
      <c r="G744" s="173">
        <v>13000</v>
      </c>
      <c r="H744" s="161"/>
      <c r="I744" s="161" t="s">
        <v>1729</v>
      </c>
      <c r="J744" s="161" t="s">
        <v>1504</v>
      </c>
      <c r="K744" s="161">
        <v>45731</v>
      </c>
      <c r="L744" s="161">
        <v>0</v>
      </c>
      <c r="M744" s="162"/>
    </row>
    <row r="745" spans="1:13">
      <c r="A745" s="166"/>
      <c r="B745" s="163" t="s">
        <v>2336</v>
      </c>
      <c r="C745" s="163" t="s">
        <v>1731</v>
      </c>
      <c r="D745" s="170">
        <v>45670</v>
      </c>
      <c r="E745" s="170">
        <v>45701</v>
      </c>
      <c r="F745" s="163" t="s">
        <v>16</v>
      </c>
      <c r="G745" s="171">
        <v>27.94</v>
      </c>
      <c r="H745" s="163" t="s">
        <v>1732</v>
      </c>
      <c r="I745" s="163" t="s">
        <v>1733</v>
      </c>
      <c r="J745" s="163"/>
      <c r="K745" s="170"/>
      <c r="L745" s="163"/>
      <c r="M745" s="164"/>
    </row>
    <row r="746" spans="1:13">
      <c r="A746" s="167"/>
      <c r="B746" s="161" t="s">
        <v>2336</v>
      </c>
      <c r="C746" s="161" t="s">
        <v>1734</v>
      </c>
      <c r="D746" s="172">
        <v>45699</v>
      </c>
      <c r="E746" s="172">
        <v>45730</v>
      </c>
      <c r="F746" s="161" t="s">
        <v>16</v>
      </c>
      <c r="G746" s="173">
        <v>27.94</v>
      </c>
      <c r="H746" s="161" t="s">
        <v>1735</v>
      </c>
      <c r="I746" s="161" t="s">
        <v>1733</v>
      </c>
      <c r="J746" s="161" t="s">
        <v>150</v>
      </c>
      <c r="K746" s="172"/>
      <c r="L746" s="161"/>
      <c r="M746" s="162" t="s">
        <v>345</v>
      </c>
    </row>
    <row r="747" spans="1:13">
      <c r="A747" s="166"/>
      <c r="B747" s="163" t="s">
        <v>2336</v>
      </c>
      <c r="C747" s="163" t="s">
        <v>1736</v>
      </c>
      <c r="D747" s="170">
        <v>45727</v>
      </c>
      <c r="E747" s="170">
        <v>45758</v>
      </c>
      <c r="F747" s="163"/>
      <c r="G747" s="171">
        <v>27.94</v>
      </c>
      <c r="H747" s="163" t="s">
        <v>1737</v>
      </c>
      <c r="I747" s="163" t="s">
        <v>1733</v>
      </c>
      <c r="J747" s="163" t="s">
        <v>1738</v>
      </c>
      <c r="K747" s="170"/>
      <c r="L747" s="163"/>
      <c r="M747" s="164" t="s">
        <v>345</v>
      </c>
    </row>
    <row r="748" spans="1:13">
      <c r="A748" s="167"/>
      <c r="B748" s="161" t="s">
        <v>2336</v>
      </c>
      <c r="C748" s="161" t="s">
        <v>1739</v>
      </c>
      <c r="D748" s="172">
        <v>45757</v>
      </c>
      <c r="E748" s="172">
        <v>45789</v>
      </c>
      <c r="F748" s="161" t="s">
        <v>16</v>
      </c>
      <c r="G748" s="173">
        <v>27.94</v>
      </c>
      <c r="H748" s="161" t="s">
        <v>1740</v>
      </c>
      <c r="I748" s="161" t="s">
        <v>1733</v>
      </c>
      <c r="J748" s="161" t="s">
        <v>150</v>
      </c>
      <c r="K748" s="172"/>
      <c r="L748" s="161"/>
      <c r="M748" s="162" t="s">
        <v>345</v>
      </c>
    </row>
    <row r="749" spans="1:13">
      <c r="A749" s="166"/>
      <c r="B749" s="163" t="s">
        <v>2336</v>
      </c>
      <c r="C749" s="163" t="s">
        <v>1741</v>
      </c>
      <c r="D749" s="170">
        <v>45787</v>
      </c>
      <c r="E749" s="170">
        <v>45818</v>
      </c>
      <c r="F749" s="163" t="s">
        <v>16</v>
      </c>
      <c r="G749" s="171">
        <v>27.94</v>
      </c>
      <c r="H749" s="163" t="s">
        <v>1742</v>
      </c>
      <c r="I749" s="163" t="s">
        <v>1733</v>
      </c>
      <c r="J749" s="163" t="s">
        <v>150</v>
      </c>
      <c r="K749" s="170"/>
      <c r="L749" s="163"/>
      <c r="M749" s="164" t="s">
        <v>345</v>
      </c>
    </row>
    <row r="750" spans="1:13">
      <c r="A750" s="167"/>
      <c r="B750" s="161" t="s">
        <v>2336</v>
      </c>
      <c r="C750" s="161" t="s">
        <v>1743</v>
      </c>
      <c r="D750" s="172">
        <v>45848</v>
      </c>
      <c r="E750" s="172">
        <v>45880</v>
      </c>
      <c r="F750" s="161" t="s">
        <v>16</v>
      </c>
      <c r="G750" s="173">
        <v>30.52</v>
      </c>
      <c r="H750" s="161" t="s">
        <v>1744</v>
      </c>
      <c r="I750" s="161" t="s">
        <v>1745</v>
      </c>
      <c r="J750" s="161" t="s">
        <v>150</v>
      </c>
      <c r="K750" s="172"/>
      <c r="L750" s="161"/>
      <c r="M750" s="162" t="s">
        <v>345</v>
      </c>
    </row>
    <row r="751" spans="1:13">
      <c r="A751" s="166"/>
      <c r="B751" s="163" t="s">
        <v>2336</v>
      </c>
      <c r="C751" s="163" t="s">
        <v>1746</v>
      </c>
      <c r="D751" s="170">
        <v>45819</v>
      </c>
      <c r="E751" s="170">
        <v>45852</v>
      </c>
      <c r="F751" s="163" t="s">
        <v>16</v>
      </c>
      <c r="G751" s="171">
        <v>27.94</v>
      </c>
      <c r="H751" s="163" t="s">
        <v>1747</v>
      </c>
      <c r="I751" s="163" t="s">
        <v>1733</v>
      </c>
      <c r="J751" s="163" t="s">
        <v>150</v>
      </c>
      <c r="K751" s="170"/>
      <c r="L751" s="163"/>
      <c r="M751" s="164" t="s">
        <v>345</v>
      </c>
    </row>
    <row r="752" spans="1:13">
      <c r="A752" s="167"/>
      <c r="B752" s="161" t="s">
        <v>2336</v>
      </c>
      <c r="C752" s="161" t="s">
        <v>1748</v>
      </c>
      <c r="D752" s="172">
        <v>45880</v>
      </c>
      <c r="E752" s="172">
        <v>45880</v>
      </c>
      <c r="F752" s="161" t="s">
        <v>49</v>
      </c>
      <c r="G752" s="173">
        <v>27.94</v>
      </c>
      <c r="H752" s="161" t="s">
        <v>1749</v>
      </c>
      <c r="I752" s="161" t="s">
        <v>1733</v>
      </c>
      <c r="J752" s="161" t="s">
        <v>1750</v>
      </c>
      <c r="K752" s="172"/>
      <c r="L752" s="161"/>
      <c r="M752" s="162" t="s">
        <v>345</v>
      </c>
    </row>
    <row r="753" spans="1:13">
      <c r="A753" s="166"/>
      <c r="B753" s="163" t="s">
        <v>2336</v>
      </c>
      <c r="C753" s="163" t="s">
        <v>1751</v>
      </c>
      <c r="D753" s="170">
        <v>45911</v>
      </c>
      <c r="E753" s="170">
        <v>45943</v>
      </c>
      <c r="F753" s="163" t="s">
        <v>49</v>
      </c>
      <c r="G753" s="171">
        <v>28.51</v>
      </c>
      <c r="H753" s="163" t="s">
        <v>1752</v>
      </c>
      <c r="I753" s="163" t="s">
        <v>1745</v>
      </c>
      <c r="J753" s="163" t="s">
        <v>150</v>
      </c>
      <c r="K753" s="170"/>
      <c r="L753" s="163"/>
      <c r="M753" s="164" t="s">
        <v>345</v>
      </c>
    </row>
    <row r="754" spans="1:13">
      <c r="A754" s="167"/>
      <c r="B754" s="161" t="s">
        <v>2336</v>
      </c>
      <c r="C754" s="161" t="s">
        <v>1753</v>
      </c>
      <c r="D754" s="172">
        <v>45939</v>
      </c>
      <c r="E754" s="172">
        <v>45971</v>
      </c>
      <c r="F754" s="161" t="s">
        <v>49</v>
      </c>
      <c r="G754" s="173">
        <v>27.94</v>
      </c>
      <c r="H754" s="161" t="s">
        <v>1754</v>
      </c>
      <c r="I754" s="161" t="s">
        <v>1733</v>
      </c>
      <c r="J754" s="161" t="s">
        <v>150</v>
      </c>
      <c r="K754" s="172"/>
      <c r="L754" s="161"/>
      <c r="M754" s="162" t="s">
        <v>345</v>
      </c>
    </row>
    <row r="755" spans="1:13">
      <c r="A755" s="166"/>
      <c r="B755" s="163" t="s">
        <v>2336</v>
      </c>
      <c r="C755" s="163" t="s">
        <v>1755</v>
      </c>
      <c r="D755" s="170">
        <v>45972</v>
      </c>
      <c r="E755" s="170">
        <v>46002</v>
      </c>
      <c r="F755" s="163" t="s">
        <v>49</v>
      </c>
      <c r="G755" s="171">
        <v>22.95</v>
      </c>
      <c r="H755" s="163"/>
      <c r="I755" s="163" t="s">
        <v>1756</v>
      </c>
      <c r="J755" s="163" t="s">
        <v>1757</v>
      </c>
      <c r="K755" s="170"/>
      <c r="L755" s="163"/>
      <c r="M755" s="164" t="s">
        <v>345</v>
      </c>
    </row>
    <row r="756" spans="1:13">
      <c r="A756" s="167"/>
      <c r="B756" s="161" t="s">
        <v>2336</v>
      </c>
      <c r="C756" s="161" t="s">
        <v>1758</v>
      </c>
      <c r="D756" s="172">
        <v>45972</v>
      </c>
      <c r="E756" s="172">
        <v>46002</v>
      </c>
      <c r="F756" s="161" t="s">
        <v>49</v>
      </c>
      <c r="G756" s="173">
        <v>27.94</v>
      </c>
      <c r="H756" s="161"/>
      <c r="I756" s="161" t="s">
        <v>1759</v>
      </c>
      <c r="J756" s="161" t="s">
        <v>1757</v>
      </c>
      <c r="K756" s="172"/>
      <c r="L756" s="161"/>
      <c r="M756" s="162" t="s">
        <v>345</v>
      </c>
    </row>
    <row r="757" spans="1:13">
      <c r="A757" s="166"/>
      <c r="B757" s="163" t="s">
        <v>2336</v>
      </c>
      <c r="C757" s="163" t="s">
        <v>1760</v>
      </c>
      <c r="D757" s="170">
        <v>46004</v>
      </c>
      <c r="E757" s="170">
        <v>46035</v>
      </c>
      <c r="F757" s="163"/>
      <c r="G757" s="171">
        <v>56.33</v>
      </c>
      <c r="H757" s="163"/>
      <c r="I757" s="163" t="s">
        <v>1761</v>
      </c>
      <c r="J757" s="163" t="s">
        <v>1757</v>
      </c>
      <c r="K757" s="170"/>
      <c r="L757" s="163"/>
      <c r="M757" s="164" t="s">
        <v>345</v>
      </c>
    </row>
    <row r="758" spans="1:13">
      <c r="A758" s="167"/>
      <c r="B758" s="161" t="s">
        <v>2336</v>
      </c>
      <c r="C758" s="161" t="s">
        <v>1762</v>
      </c>
      <c r="D758" s="172">
        <v>46004</v>
      </c>
      <c r="E758" s="172">
        <v>46035</v>
      </c>
      <c r="F758" s="161"/>
      <c r="G758" s="173">
        <v>27.94</v>
      </c>
      <c r="H758" s="161"/>
      <c r="I758" s="161" t="s">
        <v>1763</v>
      </c>
      <c r="J758" s="161" t="s">
        <v>1757</v>
      </c>
      <c r="K758" s="172"/>
      <c r="L758" s="161"/>
      <c r="M758" s="162" t="s">
        <v>345</v>
      </c>
    </row>
    <row r="759" spans="1:13">
      <c r="A759" s="166"/>
      <c r="B759" s="163" t="s">
        <v>3282</v>
      </c>
      <c r="C759" s="163" t="s">
        <v>1765</v>
      </c>
      <c r="D759" s="170">
        <v>45693</v>
      </c>
      <c r="E759" s="170">
        <v>45716</v>
      </c>
      <c r="F759" s="163" t="s">
        <v>16</v>
      </c>
      <c r="G759" s="171">
        <v>5130.24</v>
      </c>
      <c r="H759" s="163" t="s">
        <v>1766</v>
      </c>
      <c r="I759" s="163" t="s">
        <v>1767</v>
      </c>
      <c r="J759" s="163" t="s">
        <v>56</v>
      </c>
      <c r="K759" s="170"/>
      <c r="L759" s="163"/>
      <c r="M759" s="164"/>
    </row>
    <row r="760" spans="1:13">
      <c r="A760" s="167"/>
      <c r="B760" s="161" t="s">
        <v>2476</v>
      </c>
      <c r="C760" s="161" t="s">
        <v>1769</v>
      </c>
      <c r="D760" s="172">
        <v>45730</v>
      </c>
      <c r="E760" s="172"/>
      <c r="F760" s="161" t="s">
        <v>16</v>
      </c>
      <c r="G760" s="173">
        <v>20</v>
      </c>
      <c r="H760" s="161" t="s">
        <v>1770</v>
      </c>
      <c r="I760" s="161" t="s">
        <v>519</v>
      </c>
      <c r="J760" s="161" t="s">
        <v>215</v>
      </c>
      <c r="K760" s="172"/>
      <c r="L760" s="161"/>
      <c r="M760" s="162"/>
    </row>
    <row r="761" spans="1:13">
      <c r="A761" s="166"/>
      <c r="B761" s="163" t="s">
        <v>2476</v>
      </c>
      <c r="C761" s="163" t="s">
        <v>1771</v>
      </c>
      <c r="D761" s="170">
        <v>45849</v>
      </c>
      <c r="E761" s="170"/>
      <c r="F761" s="163" t="s">
        <v>16</v>
      </c>
      <c r="G761" s="171">
        <v>20</v>
      </c>
      <c r="H761" s="163" t="s">
        <v>1772</v>
      </c>
      <c r="I761" s="163" t="s">
        <v>1773</v>
      </c>
      <c r="J761" s="163" t="s">
        <v>215</v>
      </c>
      <c r="K761" s="170"/>
      <c r="L761" s="163"/>
      <c r="M761" s="164"/>
    </row>
    <row r="762" spans="1:13">
      <c r="A762" s="167"/>
      <c r="B762" s="161" t="s">
        <v>2476</v>
      </c>
      <c r="C762" s="161" t="s">
        <v>1774</v>
      </c>
      <c r="D762" s="172">
        <v>45966</v>
      </c>
      <c r="E762" s="172">
        <v>45966</v>
      </c>
      <c r="F762" s="161" t="s">
        <v>49</v>
      </c>
      <c r="G762" s="173">
        <v>20</v>
      </c>
      <c r="H762" s="161"/>
      <c r="I762" s="161" t="s">
        <v>1775</v>
      </c>
      <c r="J762" s="161" t="s">
        <v>215</v>
      </c>
      <c r="K762" s="172"/>
      <c r="L762" s="161"/>
      <c r="M762" s="162"/>
    </row>
    <row r="763" spans="1:13">
      <c r="A763" s="166"/>
      <c r="B763" s="163" t="s">
        <v>3283</v>
      </c>
      <c r="C763" s="163" t="s">
        <v>1777</v>
      </c>
      <c r="D763" s="170">
        <v>45838</v>
      </c>
      <c r="E763" s="170">
        <v>45845</v>
      </c>
      <c r="F763" s="163"/>
      <c r="G763" s="171">
        <v>30000</v>
      </c>
      <c r="H763" s="163" t="s">
        <v>1778</v>
      </c>
      <c r="I763" s="163" t="s">
        <v>1779</v>
      </c>
      <c r="J763" s="163" t="s">
        <v>56</v>
      </c>
      <c r="K763" s="170"/>
      <c r="L763" s="163"/>
      <c r="M763" s="164"/>
    </row>
    <row r="764" spans="1:13">
      <c r="A764" s="167"/>
      <c r="B764" s="161" t="s">
        <v>3283</v>
      </c>
      <c r="C764" s="161" t="s">
        <v>1780</v>
      </c>
      <c r="D764" s="172">
        <v>45838</v>
      </c>
      <c r="E764" s="172">
        <v>45845</v>
      </c>
      <c r="F764" s="161"/>
      <c r="G764" s="173">
        <v>70000</v>
      </c>
      <c r="H764" s="161" t="s">
        <v>1781</v>
      </c>
      <c r="I764" s="161" t="s">
        <v>312</v>
      </c>
      <c r="J764" s="161" t="s">
        <v>56</v>
      </c>
      <c r="K764" s="172"/>
      <c r="L764" s="161"/>
      <c r="M764" s="162"/>
    </row>
    <row r="765" spans="1:13">
      <c r="A765" s="166"/>
      <c r="B765" s="163" t="s">
        <v>3284</v>
      </c>
      <c r="C765" s="163" t="s">
        <v>1783</v>
      </c>
      <c r="D765" s="170">
        <v>45688</v>
      </c>
      <c r="E765" s="170"/>
      <c r="F765" s="163" t="s">
        <v>16</v>
      </c>
      <c r="G765" s="171">
        <v>1105</v>
      </c>
      <c r="H765" s="163" t="s">
        <v>1784</v>
      </c>
      <c r="I765" s="163" t="s">
        <v>1785</v>
      </c>
      <c r="J765" s="163"/>
      <c r="K765" s="170"/>
      <c r="L765" s="163"/>
      <c r="M765" s="164"/>
    </row>
    <row r="766" spans="1:13">
      <c r="A766" s="167"/>
      <c r="B766" s="161" t="s">
        <v>3284</v>
      </c>
      <c r="C766" s="161" t="s">
        <v>1786</v>
      </c>
      <c r="D766" s="172">
        <v>45716</v>
      </c>
      <c r="E766" s="172"/>
      <c r="F766" s="161" t="s">
        <v>16</v>
      </c>
      <c r="G766" s="173">
        <v>1274</v>
      </c>
      <c r="H766" s="161" t="s">
        <v>1787</v>
      </c>
      <c r="I766" s="161" t="s">
        <v>1788</v>
      </c>
      <c r="J766" s="161" t="s">
        <v>24</v>
      </c>
      <c r="K766" s="172"/>
      <c r="L766" s="161"/>
      <c r="M766" s="162"/>
    </row>
    <row r="767" spans="1:13">
      <c r="A767" s="166"/>
      <c r="B767" s="163" t="s">
        <v>3284</v>
      </c>
      <c r="C767" s="163" t="s">
        <v>1789</v>
      </c>
      <c r="D767" s="170">
        <v>45747</v>
      </c>
      <c r="E767" s="170"/>
      <c r="F767" s="163" t="s">
        <v>16</v>
      </c>
      <c r="G767" s="171">
        <v>767</v>
      </c>
      <c r="H767" s="163" t="s">
        <v>1790</v>
      </c>
      <c r="I767" s="163" t="s">
        <v>1791</v>
      </c>
      <c r="J767" s="163" t="s">
        <v>1792</v>
      </c>
      <c r="K767" s="170"/>
      <c r="L767" s="163"/>
      <c r="M767" s="164"/>
    </row>
    <row r="768" spans="1:13">
      <c r="A768" s="167"/>
      <c r="B768" s="161" t="s">
        <v>3284</v>
      </c>
      <c r="C768" s="161" t="s">
        <v>1793</v>
      </c>
      <c r="D768" s="172">
        <v>45779</v>
      </c>
      <c r="E768" s="172"/>
      <c r="F768" s="161" t="s">
        <v>16</v>
      </c>
      <c r="G768" s="173">
        <v>533</v>
      </c>
      <c r="H768" s="161" t="s">
        <v>1794</v>
      </c>
      <c r="I768" s="161" t="s">
        <v>1795</v>
      </c>
      <c r="J768" s="161" t="s">
        <v>1792</v>
      </c>
      <c r="K768" s="172"/>
      <c r="L768" s="161"/>
      <c r="M768" s="162"/>
    </row>
    <row r="769" spans="1:13">
      <c r="A769" s="166"/>
      <c r="B769" s="163" t="s">
        <v>3284</v>
      </c>
      <c r="C769" s="163" t="s">
        <v>1796</v>
      </c>
      <c r="D769" s="170">
        <v>45811</v>
      </c>
      <c r="E769" s="170"/>
      <c r="F769" s="163" t="s">
        <v>16</v>
      </c>
      <c r="G769" s="171">
        <v>1040</v>
      </c>
      <c r="H769" s="163" t="s">
        <v>1797</v>
      </c>
      <c r="I769" s="163" t="s">
        <v>1798</v>
      </c>
      <c r="J769" s="163" t="s">
        <v>1792</v>
      </c>
      <c r="K769" s="170"/>
      <c r="L769" s="163"/>
      <c r="M769" s="164"/>
    </row>
    <row r="770" spans="1:13">
      <c r="A770" s="167"/>
      <c r="B770" s="161" t="s">
        <v>3284</v>
      </c>
      <c r="C770" s="161" t="s">
        <v>1799</v>
      </c>
      <c r="D770" s="172">
        <v>45838</v>
      </c>
      <c r="E770" s="172"/>
      <c r="F770" s="161" t="s">
        <v>16</v>
      </c>
      <c r="G770" s="173">
        <v>949</v>
      </c>
      <c r="H770" s="161" t="s">
        <v>1800</v>
      </c>
      <c r="I770" s="161" t="s">
        <v>1801</v>
      </c>
      <c r="J770" s="161" t="s">
        <v>1792</v>
      </c>
      <c r="K770" s="172"/>
      <c r="L770" s="161"/>
      <c r="M770" s="162"/>
    </row>
    <row r="771" spans="1:13">
      <c r="A771" s="166"/>
      <c r="B771" s="163" t="s">
        <v>3285</v>
      </c>
      <c r="C771" s="163" t="s">
        <v>1803</v>
      </c>
      <c r="D771" s="170">
        <v>45787</v>
      </c>
      <c r="E771" s="170"/>
      <c r="F771" s="163" t="s">
        <v>16</v>
      </c>
      <c r="G771" s="171">
        <v>122.3</v>
      </c>
      <c r="H771" s="163" t="s">
        <v>1804</v>
      </c>
      <c r="I771" s="163" t="s">
        <v>457</v>
      </c>
      <c r="J771" s="163" t="s">
        <v>215</v>
      </c>
      <c r="K771" s="170"/>
      <c r="L771" s="163"/>
      <c r="M771" s="164"/>
    </row>
    <row r="772" spans="1:13">
      <c r="A772" s="167"/>
      <c r="B772" s="161" t="s">
        <v>3286</v>
      </c>
      <c r="C772" s="161" t="s">
        <v>1806</v>
      </c>
      <c r="D772" s="172">
        <v>45687</v>
      </c>
      <c r="E772" s="172">
        <v>45687</v>
      </c>
      <c r="F772" s="161" t="s">
        <v>16</v>
      </c>
      <c r="G772" s="173">
        <v>1.2</v>
      </c>
      <c r="H772" s="161" t="s">
        <v>1807</v>
      </c>
      <c r="I772" s="161" t="s">
        <v>565</v>
      </c>
      <c r="J772" s="161" t="s">
        <v>150</v>
      </c>
      <c r="K772" s="161">
        <v>45698</v>
      </c>
      <c r="L772" s="161"/>
      <c r="M772" s="162"/>
    </row>
    <row r="773" spans="1:13">
      <c r="A773" s="166"/>
      <c r="B773" s="163" t="s">
        <v>2493</v>
      </c>
      <c r="C773" s="163" t="s">
        <v>1809</v>
      </c>
      <c r="D773" s="170">
        <v>45695</v>
      </c>
      <c r="E773" s="170"/>
      <c r="F773" s="163" t="s">
        <v>16</v>
      </c>
      <c r="G773" s="171">
        <v>1682</v>
      </c>
      <c r="H773" s="163" t="s">
        <v>1810</v>
      </c>
      <c r="I773" s="163" t="s">
        <v>1811</v>
      </c>
      <c r="J773" s="163" t="s">
        <v>56</v>
      </c>
      <c r="K773" s="170"/>
      <c r="L773" s="163"/>
      <c r="M773" s="164"/>
    </row>
    <row r="774" spans="1:13">
      <c r="A774" s="167"/>
      <c r="B774" s="161" t="s">
        <v>3287</v>
      </c>
      <c r="C774" s="161" t="s">
        <v>1813</v>
      </c>
      <c r="D774" s="172">
        <v>45693</v>
      </c>
      <c r="E774" s="172">
        <v>45693</v>
      </c>
      <c r="F774" s="161" t="s">
        <v>16</v>
      </c>
      <c r="G774" s="173">
        <v>108.01</v>
      </c>
      <c r="H774" s="161" t="s">
        <v>1814</v>
      </c>
      <c r="I774" s="161"/>
      <c r="J774" s="161" t="s">
        <v>24</v>
      </c>
      <c r="K774" s="161"/>
      <c r="L774" s="161"/>
      <c r="M774" s="162"/>
    </row>
    <row r="775" spans="1:13">
      <c r="A775" s="166" t="s">
        <v>316</v>
      </c>
      <c r="B775" s="163" t="s">
        <v>2348</v>
      </c>
      <c r="C775" s="163" t="s">
        <v>1816</v>
      </c>
      <c r="D775" s="170">
        <v>45701</v>
      </c>
      <c r="E775" s="170"/>
      <c r="F775" s="163" t="s">
        <v>49</v>
      </c>
      <c r="G775" s="171">
        <v>6.85</v>
      </c>
      <c r="H775" s="163" t="s">
        <v>1817</v>
      </c>
      <c r="I775" s="163" t="s">
        <v>1818</v>
      </c>
      <c r="J775" s="163" t="s">
        <v>150</v>
      </c>
      <c r="K775" s="170"/>
      <c r="L775" s="163"/>
      <c r="M775" s="164"/>
    </row>
    <row r="776" spans="1:13">
      <c r="A776" s="167" t="s">
        <v>316</v>
      </c>
      <c r="B776" s="161" t="s">
        <v>2348</v>
      </c>
      <c r="C776" s="161" t="s">
        <v>1819</v>
      </c>
      <c r="D776" s="172">
        <v>45805</v>
      </c>
      <c r="E776" s="172"/>
      <c r="F776" s="161" t="s">
        <v>16</v>
      </c>
      <c r="G776" s="173">
        <v>0</v>
      </c>
      <c r="H776" s="161" t="s">
        <v>1820</v>
      </c>
      <c r="I776" s="161" t="s">
        <v>1821</v>
      </c>
      <c r="J776" s="161" t="s">
        <v>150</v>
      </c>
      <c r="K776" s="172"/>
      <c r="L776" s="161"/>
      <c r="M776" s="162"/>
    </row>
    <row r="777" spans="1:13">
      <c r="A777" s="166" t="s">
        <v>316</v>
      </c>
      <c r="B777" s="163" t="s">
        <v>2348</v>
      </c>
      <c r="C777" s="163" t="s">
        <v>1822</v>
      </c>
      <c r="D777" s="170">
        <v>45874</v>
      </c>
      <c r="E777" s="170"/>
      <c r="F777" s="163" t="s">
        <v>49</v>
      </c>
      <c r="G777" s="171">
        <v>30.19</v>
      </c>
      <c r="H777" s="163" t="s">
        <v>1823</v>
      </c>
      <c r="I777" s="163" t="s">
        <v>1824</v>
      </c>
      <c r="J777" s="163" t="s">
        <v>1825</v>
      </c>
      <c r="K777" s="163">
        <v>45960</v>
      </c>
      <c r="L777" s="163">
        <v>32.19</v>
      </c>
      <c r="M777" s="164" t="s">
        <v>1826</v>
      </c>
    </row>
    <row r="778" spans="1:13">
      <c r="A778" s="167" t="s">
        <v>316</v>
      </c>
      <c r="B778" s="161" t="s">
        <v>2348</v>
      </c>
      <c r="C778" s="161" t="s">
        <v>1827</v>
      </c>
      <c r="D778" s="172">
        <v>45635</v>
      </c>
      <c r="E778" s="172">
        <v>45665</v>
      </c>
      <c r="F778" s="161" t="s">
        <v>16</v>
      </c>
      <c r="G778" s="173">
        <v>26.65</v>
      </c>
      <c r="H778" s="161"/>
      <c r="I778" s="161" t="s">
        <v>1828</v>
      </c>
      <c r="J778" s="161" t="s">
        <v>176</v>
      </c>
      <c r="K778" s="161">
        <v>45972</v>
      </c>
      <c r="L778" s="161">
        <v>26.65</v>
      </c>
      <c r="M778" s="162" t="s">
        <v>394</v>
      </c>
    </row>
    <row r="779" spans="1:13">
      <c r="A779" s="166" t="s">
        <v>316</v>
      </c>
      <c r="B779" s="163" t="s">
        <v>2348</v>
      </c>
      <c r="C779" s="163" t="s">
        <v>1829</v>
      </c>
      <c r="D779" s="170">
        <v>45706</v>
      </c>
      <c r="E779" s="170"/>
      <c r="F779" s="163" t="s">
        <v>49</v>
      </c>
      <c r="G779" s="171">
        <v>204.97</v>
      </c>
      <c r="H779" s="163" t="s">
        <v>1830</v>
      </c>
      <c r="I779" s="163" t="s">
        <v>1831</v>
      </c>
      <c r="J779" s="163" t="s">
        <v>150</v>
      </c>
      <c r="K779" s="170"/>
      <c r="L779" s="163"/>
      <c r="M779" s="164"/>
    </row>
    <row r="780" spans="1:13">
      <c r="A780" s="167" t="s">
        <v>316</v>
      </c>
      <c r="B780" s="161" t="s">
        <v>2348</v>
      </c>
      <c r="C780" s="161" t="s">
        <v>1832</v>
      </c>
      <c r="D780" s="172">
        <v>45734</v>
      </c>
      <c r="E780" s="172">
        <v>45764</v>
      </c>
      <c r="F780" s="161" t="s">
        <v>16</v>
      </c>
      <c r="G780" s="173">
        <v>36.51</v>
      </c>
      <c r="H780" s="161" t="s">
        <v>1833</v>
      </c>
      <c r="I780" s="161" t="s">
        <v>312</v>
      </c>
      <c r="J780" s="161"/>
      <c r="K780" s="172"/>
      <c r="L780" s="161"/>
      <c r="M780" s="162"/>
    </row>
    <row r="781" spans="1:13">
      <c r="A781" s="166" t="s">
        <v>316</v>
      </c>
      <c r="B781" s="163" t="s">
        <v>2348</v>
      </c>
      <c r="C781" s="163" t="s">
        <v>1834</v>
      </c>
      <c r="D781" s="170">
        <v>45741</v>
      </c>
      <c r="E781" s="170"/>
      <c r="F781" s="163" t="s">
        <v>16</v>
      </c>
      <c r="G781" s="171">
        <v>0</v>
      </c>
      <c r="H781" s="163" t="s">
        <v>1835</v>
      </c>
      <c r="I781" s="163" t="s">
        <v>1836</v>
      </c>
      <c r="J781" s="163"/>
      <c r="K781" s="170"/>
      <c r="L781" s="163"/>
      <c r="M781" s="164"/>
    </row>
    <row r="782" spans="1:13">
      <c r="A782" s="167" t="s">
        <v>13</v>
      </c>
      <c r="B782" s="161" t="s">
        <v>2348</v>
      </c>
      <c r="C782" s="161" t="s">
        <v>1837</v>
      </c>
      <c r="D782" s="172">
        <v>45559</v>
      </c>
      <c r="E782" s="172">
        <v>45589</v>
      </c>
      <c r="F782" s="161" t="s">
        <v>49</v>
      </c>
      <c r="G782" s="173">
        <v>30.39</v>
      </c>
      <c r="H782" s="161"/>
      <c r="I782" s="161" t="s">
        <v>1838</v>
      </c>
      <c r="J782" s="161" t="s">
        <v>176</v>
      </c>
      <c r="K782" s="161">
        <v>45972</v>
      </c>
      <c r="L782" s="161">
        <v>30.39</v>
      </c>
      <c r="M782" s="162" t="s">
        <v>19</v>
      </c>
    </row>
    <row r="783" spans="1:13">
      <c r="A783" s="166" t="s">
        <v>1839</v>
      </c>
      <c r="B783" s="163" t="s">
        <v>2348</v>
      </c>
      <c r="C783" s="163" t="s">
        <v>1840</v>
      </c>
      <c r="D783" s="170">
        <v>45805</v>
      </c>
      <c r="E783" s="170">
        <v>45835</v>
      </c>
      <c r="F783" s="163"/>
      <c r="G783" s="171">
        <v>335.87</v>
      </c>
      <c r="H783" s="163" t="s">
        <v>1841</v>
      </c>
      <c r="I783" s="163" t="s">
        <v>1842</v>
      </c>
      <c r="J783" s="163" t="s">
        <v>18</v>
      </c>
      <c r="K783" s="170"/>
      <c r="L783" s="163"/>
      <c r="M783" s="164"/>
    </row>
    <row r="784" spans="1:13">
      <c r="A784" s="167" t="s">
        <v>1839</v>
      </c>
      <c r="B784" s="161" t="s">
        <v>2348</v>
      </c>
      <c r="C784" s="161" t="s">
        <v>1843</v>
      </c>
      <c r="D784" s="172">
        <v>45919</v>
      </c>
      <c r="E784" s="172">
        <v>45950</v>
      </c>
      <c r="F784" s="161"/>
      <c r="G784" s="173">
        <v>188</v>
      </c>
      <c r="H784" s="161" t="s">
        <v>1844</v>
      </c>
      <c r="I784" s="161" t="s">
        <v>1845</v>
      </c>
      <c r="J784" s="161" t="s">
        <v>1846</v>
      </c>
      <c r="K784" s="172"/>
      <c r="L784" s="161"/>
      <c r="M784" s="162"/>
    </row>
    <row r="785" spans="1:13">
      <c r="A785" s="166" t="s">
        <v>1839</v>
      </c>
      <c r="B785" s="163" t="s">
        <v>2348</v>
      </c>
      <c r="C785" s="163" t="s">
        <v>1843</v>
      </c>
      <c r="D785" s="170">
        <v>45919</v>
      </c>
      <c r="E785" s="170">
        <v>46042</v>
      </c>
      <c r="F785" s="163"/>
      <c r="G785" s="171">
        <v>188</v>
      </c>
      <c r="H785" s="163" t="s">
        <v>1844</v>
      </c>
      <c r="I785" s="163" t="s">
        <v>1845</v>
      </c>
      <c r="J785" s="163" t="s">
        <v>1846</v>
      </c>
      <c r="K785" s="170"/>
      <c r="L785" s="163"/>
      <c r="M785" s="164"/>
    </row>
    <row r="786" spans="1:13">
      <c r="A786" s="167" t="s">
        <v>1839</v>
      </c>
      <c r="B786" s="161" t="s">
        <v>2348</v>
      </c>
      <c r="C786" s="161" t="s">
        <v>1843</v>
      </c>
      <c r="D786" s="172">
        <v>45919</v>
      </c>
      <c r="E786" s="172">
        <v>46132</v>
      </c>
      <c r="F786" s="161"/>
      <c r="G786" s="173">
        <v>188</v>
      </c>
      <c r="H786" s="161" t="s">
        <v>1844</v>
      </c>
      <c r="I786" s="161" t="s">
        <v>1845</v>
      </c>
      <c r="J786" s="161" t="s">
        <v>1846</v>
      </c>
      <c r="K786" s="172"/>
      <c r="L786" s="161"/>
      <c r="M786" s="162"/>
    </row>
    <row r="787" spans="1:13">
      <c r="A787" s="166" t="s">
        <v>1839</v>
      </c>
      <c r="B787" s="163" t="s">
        <v>2348</v>
      </c>
      <c r="C787" s="163" t="s">
        <v>1843</v>
      </c>
      <c r="D787" s="170">
        <v>45919</v>
      </c>
      <c r="E787" s="170">
        <v>46223</v>
      </c>
      <c r="F787" s="163"/>
      <c r="G787" s="171">
        <v>188.58</v>
      </c>
      <c r="H787" s="163" t="s">
        <v>1844</v>
      </c>
      <c r="I787" s="163" t="s">
        <v>1845</v>
      </c>
      <c r="J787" s="163" t="s">
        <v>1846</v>
      </c>
      <c r="K787" s="170"/>
      <c r="L787" s="163"/>
      <c r="M787" s="164"/>
    </row>
    <row r="788" spans="1:13">
      <c r="A788" s="167"/>
      <c r="B788" s="161" t="s">
        <v>2348</v>
      </c>
      <c r="C788" s="161" t="s">
        <v>1847</v>
      </c>
      <c r="D788" s="172">
        <v>45979</v>
      </c>
      <c r="E788" s="172">
        <v>45979</v>
      </c>
      <c r="F788" s="161" t="s">
        <v>49</v>
      </c>
      <c r="G788" s="173">
        <v>0</v>
      </c>
      <c r="H788" s="161"/>
      <c r="I788" s="161" t="s">
        <v>1848</v>
      </c>
      <c r="J788" s="161" t="s">
        <v>1849</v>
      </c>
      <c r="K788" s="172"/>
      <c r="L788" s="161"/>
      <c r="M788" s="162"/>
    </row>
    <row r="789" spans="1:13">
      <c r="A789" s="166"/>
      <c r="B789" s="163" t="s">
        <v>2348</v>
      </c>
      <c r="C789" s="163" t="s">
        <v>1850</v>
      </c>
      <c r="D789" s="170">
        <v>45986</v>
      </c>
      <c r="E789" s="170">
        <v>46020</v>
      </c>
      <c r="F789" s="163"/>
      <c r="G789" s="171">
        <v>11.06</v>
      </c>
      <c r="H789" s="163"/>
      <c r="I789" s="163" t="s">
        <v>1851</v>
      </c>
      <c r="J789" s="163" t="s">
        <v>1849</v>
      </c>
      <c r="K789" s="170"/>
      <c r="L789" s="163"/>
      <c r="M789" s="164"/>
    </row>
    <row r="790" spans="1:13">
      <c r="A790" s="167" t="s">
        <v>1852</v>
      </c>
      <c r="B790" s="161" t="s">
        <v>2348</v>
      </c>
      <c r="C790" s="161" t="s">
        <v>1853</v>
      </c>
      <c r="D790" s="172">
        <v>45994</v>
      </c>
      <c r="E790" s="172">
        <v>46024</v>
      </c>
      <c r="F790" s="161"/>
      <c r="G790" s="173">
        <v>223.98</v>
      </c>
      <c r="H790" s="161"/>
      <c r="I790" s="161" t="s">
        <v>1854</v>
      </c>
      <c r="J790" s="161" t="s">
        <v>1855</v>
      </c>
      <c r="K790" s="172"/>
      <c r="L790" s="161">
        <v>223.98</v>
      </c>
      <c r="M790" s="162"/>
    </row>
    <row r="791" spans="1:13">
      <c r="A791" s="166" t="s">
        <v>13</v>
      </c>
      <c r="B791" s="163" t="s">
        <v>3288</v>
      </c>
      <c r="C791" s="163" t="s">
        <v>1857</v>
      </c>
      <c r="D791" s="170">
        <v>45962</v>
      </c>
      <c r="E791" s="170" t="s">
        <v>1858</v>
      </c>
      <c r="F791" s="163" t="s">
        <v>16</v>
      </c>
      <c r="G791" s="171">
        <v>137.97999999999999</v>
      </c>
      <c r="H791" s="163"/>
      <c r="I791" s="163" t="s">
        <v>1859</v>
      </c>
      <c r="J791" s="163" t="s">
        <v>361</v>
      </c>
      <c r="K791" s="170"/>
      <c r="L791" s="163"/>
      <c r="M791" s="164"/>
    </row>
    <row r="792" spans="1:13">
      <c r="A792" s="167" t="s">
        <v>13</v>
      </c>
      <c r="B792" s="161" t="s">
        <v>2473</v>
      </c>
      <c r="C792" s="161" t="s">
        <v>1861</v>
      </c>
      <c r="D792" s="172">
        <v>45665</v>
      </c>
      <c r="E792" s="172">
        <v>45665</v>
      </c>
      <c r="F792" s="161" t="s">
        <v>16</v>
      </c>
      <c r="G792" s="173">
        <v>170.5</v>
      </c>
      <c r="H792" s="161" t="s">
        <v>1862</v>
      </c>
      <c r="I792" s="161" t="s">
        <v>1863</v>
      </c>
      <c r="J792" s="161" t="s">
        <v>751</v>
      </c>
      <c r="K792" s="172"/>
      <c r="L792" s="161"/>
      <c r="M792" s="162"/>
    </row>
    <row r="793" spans="1:13">
      <c r="A793" s="166" t="s">
        <v>13</v>
      </c>
      <c r="B793" s="163" t="s">
        <v>2473</v>
      </c>
      <c r="C793" s="163" t="s">
        <v>1864</v>
      </c>
      <c r="D793" s="170">
        <v>45709</v>
      </c>
      <c r="E793" s="170"/>
      <c r="F793" s="163" t="s">
        <v>49</v>
      </c>
      <c r="G793" s="171">
        <v>173</v>
      </c>
      <c r="H793" s="163" t="s">
        <v>1865</v>
      </c>
      <c r="I793" s="163" t="s">
        <v>1773</v>
      </c>
      <c r="J793" s="163" t="s">
        <v>1792</v>
      </c>
      <c r="K793" s="170"/>
      <c r="L793" s="163"/>
      <c r="M793" s="164" t="s">
        <v>1866</v>
      </c>
    </row>
    <row r="794" spans="1:13">
      <c r="A794" s="167" t="s">
        <v>13</v>
      </c>
      <c r="B794" s="161" t="s">
        <v>2473</v>
      </c>
      <c r="C794" s="161" t="s">
        <v>1867</v>
      </c>
      <c r="D794" s="172">
        <v>45826</v>
      </c>
      <c r="E794" s="172"/>
      <c r="F794" s="161" t="s">
        <v>16</v>
      </c>
      <c r="G794" s="173">
        <v>35.5</v>
      </c>
      <c r="H794" s="161" t="s">
        <v>1868</v>
      </c>
      <c r="I794" s="161" t="s">
        <v>1773</v>
      </c>
      <c r="J794" s="161"/>
      <c r="K794" s="172"/>
      <c r="L794" s="161"/>
      <c r="M794" s="162" t="s">
        <v>1866</v>
      </c>
    </row>
    <row r="795" spans="1:13">
      <c r="A795" s="166" t="s">
        <v>13</v>
      </c>
      <c r="B795" s="163" t="s">
        <v>2473</v>
      </c>
      <c r="C795" s="163" t="s">
        <v>1869</v>
      </c>
      <c r="D795" s="170">
        <v>45853</v>
      </c>
      <c r="E795" s="170"/>
      <c r="F795" s="163" t="s">
        <v>16</v>
      </c>
      <c r="G795" s="171">
        <v>123.5</v>
      </c>
      <c r="H795" s="163" t="s">
        <v>1870</v>
      </c>
      <c r="I795" s="163" t="s">
        <v>1773</v>
      </c>
      <c r="J795" s="163" t="s">
        <v>794</v>
      </c>
      <c r="K795" s="170"/>
      <c r="L795" s="163"/>
      <c r="M795" s="164" t="s">
        <v>1866</v>
      </c>
    </row>
    <row r="796" spans="1:13">
      <c r="A796" s="167" t="s">
        <v>13</v>
      </c>
      <c r="B796" s="161" t="s">
        <v>2473</v>
      </c>
      <c r="C796" s="161" t="s">
        <v>1568</v>
      </c>
      <c r="D796" s="172">
        <v>45959</v>
      </c>
      <c r="E796" s="172"/>
      <c r="F796" s="161" t="s">
        <v>49</v>
      </c>
      <c r="G796" s="173">
        <v>49.5</v>
      </c>
      <c r="H796" s="161"/>
      <c r="I796" s="161" t="s">
        <v>1871</v>
      </c>
      <c r="J796" s="161" t="s">
        <v>1872</v>
      </c>
      <c r="K796" s="172"/>
      <c r="L796" s="161"/>
      <c r="M796" s="162" t="s">
        <v>1866</v>
      </c>
    </row>
    <row r="797" spans="1:13">
      <c r="A797" s="166"/>
      <c r="B797" s="163" t="s">
        <v>3289</v>
      </c>
      <c r="C797" s="163" t="s">
        <v>1874</v>
      </c>
      <c r="D797" s="170">
        <v>45716</v>
      </c>
      <c r="E797" s="170"/>
      <c r="F797" s="163" t="s">
        <v>16</v>
      </c>
      <c r="G797" s="171">
        <v>345.34</v>
      </c>
      <c r="H797" s="163" t="s">
        <v>1875</v>
      </c>
      <c r="I797" s="163" t="s">
        <v>1384</v>
      </c>
      <c r="J797" s="163" t="s">
        <v>56</v>
      </c>
      <c r="K797" s="170"/>
      <c r="L797" s="163"/>
      <c r="M797" s="164"/>
    </row>
    <row r="798" spans="1:13">
      <c r="A798" s="167"/>
      <c r="B798" s="161" t="s">
        <v>2353</v>
      </c>
      <c r="C798" s="161" t="s">
        <v>1877</v>
      </c>
      <c r="D798" s="172">
        <v>45658</v>
      </c>
      <c r="E798" s="172">
        <v>45688</v>
      </c>
      <c r="F798" s="161" t="s">
        <v>16</v>
      </c>
      <c r="G798" s="173">
        <v>52.22</v>
      </c>
      <c r="H798" s="161" t="s">
        <v>1878</v>
      </c>
      <c r="I798" s="161" t="s">
        <v>1093</v>
      </c>
      <c r="J798" s="161" t="s">
        <v>150</v>
      </c>
      <c r="K798" s="172"/>
      <c r="L798" s="161"/>
      <c r="M798" s="162" t="s">
        <v>19</v>
      </c>
    </row>
    <row r="799" spans="1:13">
      <c r="A799" s="166"/>
      <c r="B799" s="163" t="s">
        <v>2353</v>
      </c>
      <c r="C799" s="163" t="s">
        <v>1879</v>
      </c>
      <c r="D799" s="170">
        <v>45658</v>
      </c>
      <c r="E799" s="170">
        <v>45688</v>
      </c>
      <c r="F799" s="163" t="s">
        <v>16</v>
      </c>
      <c r="G799" s="171">
        <v>50.8</v>
      </c>
      <c r="H799" s="163" t="s">
        <v>1880</v>
      </c>
      <c r="I799" s="163" t="s">
        <v>1093</v>
      </c>
      <c r="J799" s="163" t="s">
        <v>150</v>
      </c>
      <c r="K799" s="170"/>
      <c r="L799" s="163"/>
      <c r="M799" s="164" t="s">
        <v>19</v>
      </c>
    </row>
    <row r="800" spans="1:13">
      <c r="A800" s="167"/>
      <c r="B800" s="161" t="s">
        <v>2353</v>
      </c>
      <c r="C800" s="161" t="s">
        <v>1881</v>
      </c>
      <c r="D800" s="172">
        <v>45658</v>
      </c>
      <c r="E800" s="172">
        <v>45688</v>
      </c>
      <c r="F800" s="161" t="s">
        <v>16</v>
      </c>
      <c r="G800" s="173">
        <v>70.599999999999994</v>
      </c>
      <c r="H800" s="161" t="s">
        <v>1882</v>
      </c>
      <c r="I800" s="161" t="s">
        <v>1093</v>
      </c>
      <c r="J800" s="161" t="s">
        <v>150</v>
      </c>
      <c r="K800" s="172"/>
      <c r="L800" s="161"/>
      <c r="M800" s="162" t="s">
        <v>19</v>
      </c>
    </row>
    <row r="801" spans="1:13">
      <c r="A801" s="166"/>
      <c r="B801" s="163" t="s">
        <v>2353</v>
      </c>
      <c r="C801" s="163" t="s">
        <v>1883</v>
      </c>
      <c r="D801" s="170">
        <v>45689</v>
      </c>
      <c r="E801" s="170"/>
      <c r="F801" s="163" t="s">
        <v>16</v>
      </c>
      <c r="G801" s="171">
        <v>50.8</v>
      </c>
      <c r="H801" s="163" t="s">
        <v>1884</v>
      </c>
      <c r="I801" s="163"/>
      <c r="J801" s="163" t="s">
        <v>150</v>
      </c>
      <c r="K801" s="170"/>
      <c r="L801" s="163"/>
      <c r="M801" s="164" t="s">
        <v>19</v>
      </c>
    </row>
    <row r="802" spans="1:13">
      <c r="A802" s="167"/>
      <c r="B802" s="161" t="s">
        <v>2353</v>
      </c>
      <c r="C802" s="161" t="s">
        <v>1885</v>
      </c>
      <c r="D802" s="172">
        <v>45689</v>
      </c>
      <c r="E802" s="172"/>
      <c r="F802" s="161" t="s">
        <v>16</v>
      </c>
      <c r="G802" s="173">
        <v>52.22</v>
      </c>
      <c r="H802" s="161" t="s">
        <v>1886</v>
      </c>
      <c r="I802" s="161"/>
      <c r="J802" s="161" t="s">
        <v>150</v>
      </c>
      <c r="K802" s="172"/>
      <c r="L802" s="161"/>
      <c r="M802" s="162" t="s">
        <v>19</v>
      </c>
    </row>
    <row r="803" spans="1:13">
      <c r="A803" s="166"/>
      <c r="B803" s="163" t="s">
        <v>2353</v>
      </c>
      <c r="C803" s="163" t="s">
        <v>1887</v>
      </c>
      <c r="D803" s="170">
        <v>45689</v>
      </c>
      <c r="E803" s="170"/>
      <c r="F803" s="163" t="s">
        <v>16</v>
      </c>
      <c r="G803" s="171">
        <v>70.599999999999994</v>
      </c>
      <c r="H803" s="163" t="s">
        <v>1888</v>
      </c>
      <c r="I803" s="163"/>
      <c r="J803" s="163" t="s">
        <v>150</v>
      </c>
      <c r="K803" s="170"/>
      <c r="L803" s="163"/>
      <c r="M803" s="164" t="s">
        <v>19</v>
      </c>
    </row>
    <row r="804" spans="1:13">
      <c r="A804" s="167"/>
      <c r="B804" s="161" t="s">
        <v>2353</v>
      </c>
      <c r="C804" s="161" t="s">
        <v>1889</v>
      </c>
      <c r="D804" s="172">
        <v>45693</v>
      </c>
      <c r="E804" s="172"/>
      <c r="F804" s="161" t="s">
        <v>16</v>
      </c>
      <c r="G804" s="173">
        <v>0</v>
      </c>
      <c r="H804" s="161" t="s">
        <v>1890</v>
      </c>
      <c r="I804" s="161" t="s">
        <v>1093</v>
      </c>
      <c r="J804" s="161"/>
      <c r="K804" s="172"/>
      <c r="L804" s="161"/>
      <c r="M804" s="162" t="s">
        <v>19</v>
      </c>
    </row>
    <row r="805" spans="1:13">
      <c r="A805" s="166"/>
      <c r="B805" s="163" t="s">
        <v>2353</v>
      </c>
      <c r="C805" s="163" t="s">
        <v>1891</v>
      </c>
      <c r="D805" s="170">
        <v>45717</v>
      </c>
      <c r="E805" s="170"/>
      <c r="F805" s="163" t="s">
        <v>16</v>
      </c>
      <c r="G805" s="171">
        <v>52.22</v>
      </c>
      <c r="H805" s="163" t="s">
        <v>1892</v>
      </c>
      <c r="I805" s="163"/>
      <c r="J805" s="163" t="s">
        <v>154</v>
      </c>
      <c r="K805" s="170"/>
      <c r="L805" s="163"/>
      <c r="M805" s="164" t="s">
        <v>19</v>
      </c>
    </row>
    <row r="806" spans="1:13">
      <c r="A806" s="167"/>
      <c r="B806" s="161" t="s">
        <v>2353</v>
      </c>
      <c r="C806" s="161" t="s">
        <v>1893</v>
      </c>
      <c r="D806" s="172">
        <v>45717</v>
      </c>
      <c r="E806" s="172"/>
      <c r="F806" s="161" t="s">
        <v>16</v>
      </c>
      <c r="G806" s="173">
        <v>50.8</v>
      </c>
      <c r="H806" s="161" t="s">
        <v>1894</v>
      </c>
      <c r="I806" s="161"/>
      <c r="J806" s="161" t="s">
        <v>150</v>
      </c>
      <c r="K806" s="172"/>
      <c r="L806" s="161"/>
      <c r="M806" s="162" t="s">
        <v>19</v>
      </c>
    </row>
    <row r="807" spans="1:13">
      <c r="A807" s="166"/>
      <c r="B807" s="163" t="s">
        <v>2353</v>
      </c>
      <c r="C807" s="163" t="s">
        <v>1895</v>
      </c>
      <c r="D807" s="170">
        <v>45717</v>
      </c>
      <c r="E807" s="170"/>
      <c r="F807" s="163" t="s">
        <v>16</v>
      </c>
      <c r="G807" s="171">
        <v>70.599999999999994</v>
      </c>
      <c r="H807" s="163" t="s">
        <v>1896</v>
      </c>
      <c r="I807" s="163"/>
      <c r="J807" s="163" t="s">
        <v>150</v>
      </c>
      <c r="K807" s="170"/>
      <c r="L807" s="163"/>
      <c r="M807" s="164" t="s">
        <v>19</v>
      </c>
    </row>
    <row r="808" spans="1:13">
      <c r="A808" s="167"/>
      <c r="B808" s="161" t="s">
        <v>2353</v>
      </c>
      <c r="C808" s="161" t="s">
        <v>1897</v>
      </c>
      <c r="D808" s="172">
        <v>45748</v>
      </c>
      <c r="E808" s="172"/>
      <c r="F808" s="161" t="s">
        <v>16</v>
      </c>
      <c r="G808" s="173">
        <v>52.22</v>
      </c>
      <c r="H808" s="161" t="s">
        <v>1898</v>
      </c>
      <c r="I808" s="161"/>
      <c r="J808" s="161" t="s">
        <v>154</v>
      </c>
      <c r="K808" s="172"/>
      <c r="L808" s="161"/>
      <c r="M808" s="162" t="s">
        <v>19</v>
      </c>
    </row>
    <row r="809" spans="1:13">
      <c r="A809" s="166"/>
      <c r="B809" s="163" t="s">
        <v>2353</v>
      </c>
      <c r="C809" s="163" t="s">
        <v>1899</v>
      </c>
      <c r="D809" s="170">
        <v>45748</v>
      </c>
      <c r="E809" s="170"/>
      <c r="F809" s="163" t="s">
        <v>16</v>
      </c>
      <c r="G809" s="171">
        <v>50.8</v>
      </c>
      <c r="H809" s="163" t="s">
        <v>1900</v>
      </c>
      <c r="I809" s="163"/>
      <c r="J809" s="163" t="s">
        <v>150</v>
      </c>
      <c r="K809" s="170"/>
      <c r="L809" s="163"/>
      <c r="M809" s="164" t="s">
        <v>19</v>
      </c>
    </row>
    <row r="810" spans="1:13">
      <c r="A810" s="167"/>
      <c r="B810" s="161" t="s">
        <v>2353</v>
      </c>
      <c r="C810" s="161" t="s">
        <v>1901</v>
      </c>
      <c r="D810" s="172">
        <v>45748</v>
      </c>
      <c r="E810" s="172"/>
      <c r="F810" s="161" t="s">
        <v>16</v>
      </c>
      <c r="G810" s="173">
        <v>70.599999999999994</v>
      </c>
      <c r="H810" s="161" t="s">
        <v>1902</v>
      </c>
      <c r="I810" s="161"/>
      <c r="J810" s="161" t="s">
        <v>150</v>
      </c>
      <c r="K810" s="172"/>
      <c r="L810" s="161"/>
      <c r="M810" s="162" t="s">
        <v>19</v>
      </c>
    </row>
    <row r="811" spans="1:13">
      <c r="A811" s="166"/>
      <c r="B811" s="163" t="s">
        <v>2353</v>
      </c>
      <c r="C811" s="163" t="s">
        <v>1903</v>
      </c>
      <c r="D811" s="170">
        <v>45747</v>
      </c>
      <c r="E811" s="170"/>
      <c r="F811" s="163" t="s">
        <v>16</v>
      </c>
      <c r="G811" s="171">
        <v>496.99</v>
      </c>
      <c r="H811" s="163" t="s">
        <v>1904</v>
      </c>
      <c r="I811" s="163"/>
      <c r="J811" s="163" t="s">
        <v>350</v>
      </c>
      <c r="K811" s="170"/>
      <c r="L811" s="163"/>
      <c r="M811" s="164" t="s">
        <v>19</v>
      </c>
    </row>
    <row r="812" spans="1:13">
      <c r="A812" s="167"/>
      <c r="B812" s="161" t="s">
        <v>2353</v>
      </c>
      <c r="C812" s="161" t="s">
        <v>1905</v>
      </c>
      <c r="D812" s="172">
        <v>45747</v>
      </c>
      <c r="E812" s="172"/>
      <c r="F812" s="161" t="s">
        <v>16</v>
      </c>
      <c r="G812" s="173">
        <v>19.12</v>
      </c>
      <c r="H812" s="161" t="s">
        <v>1906</v>
      </c>
      <c r="I812" s="161"/>
      <c r="J812" s="161" t="s">
        <v>154</v>
      </c>
      <c r="K812" s="172"/>
      <c r="L812" s="161"/>
      <c r="M812" s="162" t="s">
        <v>19</v>
      </c>
    </row>
    <row r="813" spans="1:13">
      <c r="A813" s="166"/>
      <c r="B813" s="163" t="s">
        <v>2353</v>
      </c>
      <c r="C813" s="163" t="s">
        <v>1907</v>
      </c>
      <c r="D813" s="170">
        <v>45748</v>
      </c>
      <c r="E813" s="170"/>
      <c r="F813" s="163" t="s">
        <v>16</v>
      </c>
      <c r="G813" s="171">
        <v>49.8</v>
      </c>
      <c r="H813" s="163" t="s">
        <v>1908</v>
      </c>
      <c r="I813" s="163"/>
      <c r="J813" s="163" t="s">
        <v>150</v>
      </c>
      <c r="K813" s="170"/>
      <c r="L813" s="163"/>
      <c r="M813" s="164" t="s">
        <v>19</v>
      </c>
    </row>
    <row r="814" spans="1:13">
      <c r="A814" s="167"/>
      <c r="B814" s="161" t="s">
        <v>2353</v>
      </c>
      <c r="C814" s="161" t="s">
        <v>1909</v>
      </c>
      <c r="D814" s="172">
        <v>45758</v>
      </c>
      <c r="E814" s="172"/>
      <c r="F814" s="161" t="s">
        <v>16</v>
      </c>
      <c r="G814" s="173">
        <v>0</v>
      </c>
      <c r="H814" s="161" t="s">
        <v>1910</v>
      </c>
      <c r="I814" s="161"/>
      <c r="J814" s="161"/>
      <c r="K814" s="172"/>
      <c r="L814" s="161"/>
      <c r="M814" s="162" t="s">
        <v>19</v>
      </c>
    </row>
    <row r="815" spans="1:13">
      <c r="A815" s="166"/>
      <c r="B815" s="163" t="s">
        <v>2353</v>
      </c>
      <c r="C815" s="163" t="s">
        <v>1911</v>
      </c>
      <c r="D815" s="170">
        <v>45778</v>
      </c>
      <c r="E815" s="170"/>
      <c r="F815" s="163" t="s">
        <v>16</v>
      </c>
      <c r="G815" s="171">
        <v>49.8</v>
      </c>
      <c r="H815" s="163" t="s">
        <v>1912</v>
      </c>
      <c r="I815" s="163"/>
      <c r="J815" s="163" t="s">
        <v>150</v>
      </c>
      <c r="K815" s="170"/>
      <c r="L815" s="163"/>
      <c r="M815" s="164" t="s">
        <v>19</v>
      </c>
    </row>
    <row r="816" spans="1:13">
      <c r="A816" s="167"/>
      <c r="B816" s="161" t="s">
        <v>2353</v>
      </c>
      <c r="C816" s="161" t="s">
        <v>1913</v>
      </c>
      <c r="D816" s="172">
        <v>45778</v>
      </c>
      <c r="E816" s="172"/>
      <c r="F816" s="161" t="s">
        <v>16</v>
      </c>
      <c r="G816" s="173">
        <v>60.72</v>
      </c>
      <c r="H816" s="161" t="s">
        <v>1914</v>
      </c>
      <c r="I816" s="161"/>
      <c r="J816" s="161" t="s">
        <v>150</v>
      </c>
      <c r="K816" s="172"/>
      <c r="L816" s="161"/>
      <c r="M816" s="162" t="s">
        <v>19</v>
      </c>
    </row>
    <row r="817" spans="1:13">
      <c r="A817" s="166"/>
      <c r="B817" s="163" t="s">
        <v>2353</v>
      </c>
      <c r="C817" s="163" t="s">
        <v>1915</v>
      </c>
      <c r="D817" s="170">
        <v>45778</v>
      </c>
      <c r="E817" s="170"/>
      <c r="F817" s="163" t="s">
        <v>16</v>
      </c>
      <c r="G817" s="171">
        <v>53.12</v>
      </c>
      <c r="H817" s="163" t="s">
        <v>1916</v>
      </c>
      <c r="I817" s="163"/>
      <c r="J817" s="163" t="s">
        <v>150</v>
      </c>
      <c r="K817" s="170"/>
      <c r="L817" s="163"/>
      <c r="M817" s="164" t="s">
        <v>19</v>
      </c>
    </row>
    <row r="818" spans="1:13">
      <c r="A818" s="167"/>
      <c r="B818" s="161" t="s">
        <v>2353</v>
      </c>
      <c r="C818" s="161" t="s">
        <v>1917</v>
      </c>
      <c r="D818" s="172">
        <v>45778</v>
      </c>
      <c r="E818" s="172"/>
      <c r="F818" s="161" t="s">
        <v>16</v>
      </c>
      <c r="G818" s="173">
        <v>70.599999999999994</v>
      </c>
      <c r="H818" s="161" t="s">
        <v>1918</v>
      </c>
      <c r="I818" s="161"/>
      <c r="J818" s="161" t="s">
        <v>150</v>
      </c>
      <c r="K818" s="172"/>
      <c r="L818" s="161"/>
      <c r="M818" s="162" t="s">
        <v>19</v>
      </c>
    </row>
    <row r="819" spans="1:13">
      <c r="A819" s="166"/>
      <c r="B819" s="163" t="s">
        <v>2353</v>
      </c>
      <c r="C819" s="163" t="s">
        <v>1919</v>
      </c>
      <c r="D819" s="170">
        <v>45809</v>
      </c>
      <c r="E819" s="170"/>
      <c r="F819" s="163" t="s">
        <v>16</v>
      </c>
      <c r="G819" s="171">
        <v>49.8</v>
      </c>
      <c r="H819" s="163" t="s">
        <v>1920</v>
      </c>
      <c r="I819" s="163"/>
      <c r="J819" s="163" t="s">
        <v>150</v>
      </c>
      <c r="K819" s="170"/>
      <c r="L819" s="163"/>
      <c r="M819" s="164" t="s">
        <v>19</v>
      </c>
    </row>
    <row r="820" spans="1:13">
      <c r="A820" s="167"/>
      <c r="B820" s="161" t="s">
        <v>2353</v>
      </c>
      <c r="C820" s="161" t="s">
        <v>1921</v>
      </c>
      <c r="D820" s="172">
        <v>45809</v>
      </c>
      <c r="E820" s="172"/>
      <c r="F820" s="161" t="s">
        <v>16</v>
      </c>
      <c r="G820" s="173">
        <v>66.86</v>
      </c>
      <c r="H820" s="161" t="s">
        <v>1922</v>
      </c>
      <c r="I820" s="161"/>
      <c r="J820" s="161" t="s">
        <v>150</v>
      </c>
      <c r="K820" s="172"/>
      <c r="L820" s="161"/>
      <c r="M820" s="162" t="s">
        <v>19</v>
      </c>
    </row>
    <row r="821" spans="1:13">
      <c r="A821" s="166"/>
      <c r="B821" s="163" t="s">
        <v>2353</v>
      </c>
      <c r="C821" s="163" t="s">
        <v>1923</v>
      </c>
      <c r="D821" s="170">
        <v>45809</v>
      </c>
      <c r="E821" s="170"/>
      <c r="F821" s="163" t="s">
        <v>16</v>
      </c>
      <c r="G821" s="171">
        <v>62.79</v>
      </c>
      <c r="H821" s="163" t="s">
        <v>1924</v>
      </c>
      <c r="I821" s="163"/>
      <c r="J821" s="163" t="s">
        <v>150</v>
      </c>
      <c r="K821" s="170"/>
      <c r="L821" s="163"/>
      <c r="M821" s="164" t="s">
        <v>19</v>
      </c>
    </row>
    <row r="822" spans="1:13">
      <c r="A822" s="167"/>
      <c r="B822" s="161" t="s">
        <v>2353</v>
      </c>
      <c r="C822" s="161" t="s">
        <v>1925</v>
      </c>
      <c r="D822" s="172">
        <v>45809</v>
      </c>
      <c r="E822" s="172"/>
      <c r="F822" s="161" t="s">
        <v>16</v>
      </c>
      <c r="G822" s="173">
        <v>70.599999999999994</v>
      </c>
      <c r="H822" s="161" t="s">
        <v>1926</v>
      </c>
      <c r="I822" s="161"/>
      <c r="J822" s="161" t="s">
        <v>150</v>
      </c>
      <c r="K822" s="172"/>
      <c r="L822" s="161"/>
      <c r="M822" s="162" t="s">
        <v>19</v>
      </c>
    </row>
    <row r="823" spans="1:13">
      <c r="A823" s="166"/>
      <c r="B823" s="163" t="s">
        <v>2353</v>
      </c>
      <c r="C823" s="163" t="s">
        <v>1927</v>
      </c>
      <c r="D823" s="170">
        <v>45839</v>
      </c>
      <c r="E823" s="170"/>
      <c r="F823" s="163" t="s">
        <v>16</v>
      </c>
      <c r="G823" s="171">
        <v>49.8</v>
      </c>
      <c r="H823" s="163" t="s">
        <v>1928</v>
      </c>
      <c r="I823" s="163"/>
      <c r="J823" s="163" t="s">
        <v>150</v>
      </c>
      <c r="K823" s="170"/>
      <c r="L823" s="163"/>
      <c r="M823" s="164" t="s">
        <v>19</v>
      </c>
    </row>
    <row r="824" spans="1:13">
      <c r="A824" s="167"/>
      <c r="B824" s="161" t="s">
        <v>2353</v>
      </c>
      <c r="C824" s="161" t="s">
        <v>1929</v>
      </c>
      <c r="D824" s="172">
        <v>45839</v>
      </c>
      <c r="E824" s="172"/>
      <c r="F824" s="161" t="s">
        <v>16</v>
      </c>
      <c r="G824" s="173">
        <v>66.86</v>
      </c>
      <c r="H824" s="161" t="s">
        <v>1930</v>
      </c>
      <c r="I824" s="161"/>
      <c r="J824" s="161" t="s">
        <v>150</v>
      </c>
      <c r="K824" s="172"/>
      <c r="L824" s="161"/>
      <c r="M824" s="162" t="s">
        <v>19</v>
      </c>
    </row>
    <row r="825" spans="1:13">
      <c r="A825" s="166"/>
      <c r="B825" s="163" t="s">
        <v>2353</v>
      </c>
      <c r="C825" s="163" t="s">
        <v>1931</v>
      </c>
      <c r="D825" s="170">
        <v>45839</v>
      </c>
      <c r="E825" s="170"/>
      <c r="F825" s="163" t="s">
        <v>16</v>
      </c>
      <c r="G825" s="171">
        <v>62.79</v>
      </c>
      <c r="H825" s="163" t="s">
        <v>1932</v>
      </c>
      <c r="I825" s="163"/>
      <c r="J825" s="163" t="s">
        <v>150</v>
      </c>
      <c r="K825" s="170"/>
      <c r="L825" s="163"/>
      <c r="M825" s="164" t="s">
        <v>19</v>
      </c>
    </row>
    <row r="826" spans="1:13">
      <c r="A826" s="167"/>
      <c r="B826" s="161" t="s">
        <v>2353</v>
      </c>
      <c r="C826" s="161" t="s">
        <v>1933</v>
      </c>
      <c r="D826" s="172">
        <v>45839</v>
      </c>
      <c r="E826" s="172"/>
      <c r="F826" s="161" t="s">
        <v>16</v>
      </c>
      <c r="G826" s="173">
        <v>70.599999999999994</v>
      </c>
      <c r="H826" s="161" t="s">
        <v>1934</v>
      </c>
      <c r="I826" s="161"/>
      <c r="J826" s="161" t="s">
        <v>150</v>
      </c>
      <c r="K826" s="172"/>
      <c r="L826" s="161"/>
      <c r="M826" s="162" t="s">
        <v>19</v>
      </c>
    </row>
    <row r="827" spans="1:13">
      <c r="A827" s="166"/>
      <c r="B827" s="163" t="s">
        <v>2353</v>
      </c>
      <c r="C827" s="163" t="s">
        <v>1935</v>
      </c>
      <c r="D827" s="170">
        <v>45870</v>
      </c>
      <c r="E827" s="170"/>
      <c r="F827" s="163" t="s">
        <v>16</v>
      </c>
      <c r="G827" s="171">
        <v>49.8</v>
      </c>
      <c r="H827" s="163" t="s">
        <v>1936</v>
      </c>
      <c r="I827" s="163"/>
      <c r="J827" s="163" t="s">
        <v>150</v>
      </c>
      <c r="K827" s="170"/>
      <c r="L827" s="163"/>
      <c r="M827" s="164" t="s">
        <v>19</v>
      </c>
    </row>
    <row r="828" spans="1:13">
      <c r="A828" s="167"/>
      <c r="B828" s="161" t="s">
        <v>2353</v>
      </c>
      <c r="C828" s="161" t="s">
        <v>1937</v>
      </c>
      <c r="D828" s="172">
        <v>45870</v>
      </c>
      <c r="E828" s="172"/>
      <c r="F828" s="161" t="s">
        <v>16</v>
      </c>
      <c r="G828" s="173">
        <v>66.86</v>
      </c>
      <c r="H828" s="161" t="s">
        <v>1938</v>
      </c>
      <c r="I828" s="161"/>
      <c r="J828" s="161" t="s">
        <v>150</v>
      </c>
      <c r="K828" s="172"/>
      <c r="L828" s="161"/>
      <c r="M828" s="162" t="s">
        <v>19</v>
      </c>
    </row>
    <row r="829" spans="1:13">
      <c r="A829" s="166"/>
      <c r="B829" s="163" t="s">
        <v>2353</v>
      </c>
      <c r="C829" s="163" t="s">
        <v>1939</v>
      </c>
      <c r="D829" s="170">
        <v>45870</v>
      </c>
      <c r="E829" s="170"/>
      <c r="F829" s="163" t="s">
        <v>16</v>
      </c>
      <c r="G829" s="171">
        <v>62.79</v>
      </c>
      <c r="H829" s="163" t="s">
        <v>1940</v>
      </c>
      <c r="I829" s="163"/>
      <c r="J829" s="163" t="s">
        <v>150</v>
      </c>
      <c r="K829" s="170"/>
      <c r="L829" s="163"/>
      <c r="M829" s="164" t="s">
        <v>19</v>
      </c>
    </row>
    <row r="830" spans="1:13">
      <c r="A830" s="167"/>
      <c r="B830" s="161" t="s">
        <v>2353</v>
      </c>
      <c r="C830" s="161" t="s">
        <v>1941</v>
      </c>
      <c r="D830" s="172">
        <v>45870</v>
      </c>
      <c r="E830" s="172"/>
      <c r="F830" s="161" t="s">
        <v>16</v>
      </c>
      <c r="G830" s="173">
        <v>70.599999999999994</v>
      </c>
      <c r="H830" s="161" t="s">
        <v>1942</v>
      </c>
      <c r="I830" s="161"/>
      <c r="J830" s="161" t="s">
        <v>150</v>
      </c>
      <c r="K830" s="172"/>
      <c r="L830" s="161"/>
      <c r="M830" s="162" t="s">
        <v>19</v>
      </c>
    </row>
    <row r="831" spans="1:13">
      <c r="A831" s="166"/>
      <c r="B831" s="163" t="s">
        <v>2353</v>
      </c>
      <c r="C831" s="163" t="s">
        <v>1943</v>
      </c>
      <c r="D831" s="170">
        <v>45901</v>
      </c>
      <c r="E831" s="170"/>
      <c r="F831" s="163" t="s">
        <v>16</v>
      </c>
      <c r="G831" s="171">
        <v>51.3</v>
      </c>
      <c r="H831" s="163" t="s">
        <v>1944</v>
      </c>
      <c r="I831" s="163"/>
      <c r="J831" s="163" t="s">
        <v>150</v>
      </c>
      <c r="K831" s="170"/>
      <c r="L831" s="163"/>
      <c r="M831" s="164" t="s">
        <v>19</v>
      </c>
    </row>
    <row r="832" spans="1:13">
      <c r="A832" s="167"/>
      <c r="B832" s="161" t="s">
        <v>2353</v>
      </c>
      <c r="C832" s="161" t="s">
        <v>1945</v>
      </c>
      <c r="D832" s="172">
        <v>45901</v>
      </c>
      <c r="E832" s="172"/>
      <c r="F832" s="161" t="s">
        <v>16</v>
      </c>
      <c r="G832" s="173">
        <v>62.79</v>
      </c>
      <c r="H832" s="161" t="s">
        <v>1946</v>
      </c>
      <c r="I832" s="161"/>
      <c r="J832" s="161" t="s">
        <v>150</v>
      </c>
      <c r="K832" s="172"/>
      <c r="L832" s="161"/>
      <c r="M832" s="162" t="s">
        <v>19</v>
      </c>
    </row>
    <row r="833" spans="1:13">
      <c r="A833" s="166"/>
      <c r="B833" s="163" t="s">
        <v>2353</v>
      </c>
      <c r="C833" s="163" t="s">
        <v>1947</v>
      </c>
      <c r="D833" s="170">
        <v>45901</v>
      </c>
      <c r="E833" s="170"/>
      <c r="F833" s="163" t="s">
        <v>16</v>
      </c>
      <c r="G833" s="171">
        <v>66.86</v>
      </c>
      <c r="H833" s="163" t="s">
        <v>1948</v>
      </c>
      <c r="I833" s="163"/>
      <c r="J833" s="163" t="s">
        <v>150</v>
      </c>
      <c r="K833" s="170"/>
      <c r="L833" s="163"/>
      <c r="M833" s="164" t="s">
        <v>19</v>
      </c>
    </row>
    <row r="834" spans="1:13">
      <c r="A834" s="167"/>
      <c r="B834" s="161" t="s">
        <v>2353</v>
      </c>
      <c r="C834" s="161" t="s">
        <v>1949</v>
      </c>
      <c r="D834" s="172">
        <v>45901</v>
      </c>
      <c r="E834" s="172"/>
      <c r="F834" s="161" t="s">
        <v>16</v>
      </c>
      <c r="G834" s="173">
        <v>70.599999999999994</v>
      </c>
      <c r="H834" s="161" t="s">
        <v>1950</v>
      </c>
      <c r="I834" s="161"/>
      <c r="J834" s="161" t="s">
        <v>150</v>
      </c>
      <c r="K834" s="172"/>
      <c r="L834" s="161"/>
      <c r="M834" s="162" t="s">
        <v>19</v>
      </c>
    </row>
    <row r="835" spans="1:13">
      <c r="A835" s="166"/>
      <c r="B835" s="163" t="s">
        <v>2353</v>
      </c>
      <c r="C835" s="163" t="s">
        <v>1951</v>
      </c>
      <c r="D835" s="170">
        <v>45904</v>
      </c>
      <c r="E835" s="170"/>
      <c r="F835" s="163" t="s">
        <v>16</v>
      </c>
      <c r="G835" s="171">
        <v>0</v>
      </c>
      <c r="H835" s="163" t="s">
        <v>1952</v>
      </c>
      <c r="I835" s="163"/>
      <c r="J835" s="163" t="s">
        <v>150</v>
      </c>
      <c r="K835" s="170"/>
      <c r="L835" s="163"/>
      <c r="M835" s="164" t="s">
        <v>19</v>
      </c>
    </row>
    <row r="836" spans="1:13">
      <c r="A836" s="167"/>
      <c r="B836" s="161" t="s">
        <v>2353</v>
      </c>
      <c r="C836" s="161" t="s">
        <v>1953</v>
      </c>
      <c r="D836" s="172">
        <v>45931</v>
      </c>
      <c r="E836" s="172"/>
      <c r="F836" s="161" t="s">
        <v>16</v>
      </c>
      <c r="G836" s="173">
        <v>58.8</v>
      </c>
      <c r="H836" s="161" t="s">
        <v>1954</v>
      </c>
      <c r="I836" s="161"/>
      <c r="J836" s="161" t="s">
        <v>150</v>
      </c>
      <c r="K836" s="172"/>
      <c r="L836" s="161"/>
      <c r="M836" s="162" t="s">
        <v>19</v>
      </c>
    </row>
    <row r="837" spans="1:13">
      <c r="A837" s="166"/>
      <c r="B837" s="163" t="s">
        <v>2353</v>
      </c>
      <c r="C837" s="163" t="s">
        <v>1955</v>
      </c>
      <c r="D837" s="170">
        <v>45931</v>
      </c>
      <c r="E837" s="170"/>
      <c r="F837" s="163" t="s">
        <v>16</v>
      </c>
      <c r="G837" s="171">
        <v>66.86</v>
      </c>
      <c r="H837" s="163" t="s">
        <v>1956</v>
      </c>
      <c r="I837" s="163"/>
      <c r="J837" s="163" t="s">
        <v>150</v>
      </c>
      <c r="K837" s="170"/>
      <c r="L837" s="163"/>
      <c r="M837" s="164" t="s">
        <v>19</v>
      </c>
    </row>
    <row r="838" spans="1:13">
      <c r="A838" s="167"/>
      <c r="B838" s="161" t="s">
        <v>2353</v>
      </c>
      <c r="C838" s="161" t="s">
        <v>1957</v>
      </c>
      <c r="D838" s="172">
        <v>45931</v>
      </c>
      <c r="E838" s="172"/>
      <c r="F838" s="161" t="s">
        <v>16</v>
      </c>
      <c r="G838" s="173">
        <v>62.79</v>
      </c>
      <c r="H838" s="161" t="s">
        <v>1958</v>
      </c>
      <c r="I838" s="161"/>
      <c r="J838" s="161" t="s">
        <v>150</v>
      </c>
      <c r="K838" s="172"/>
      <c r="L838" s="161"/>
      <c r="M838" s="162" t="s">
        <v>19</v>
      </c>
    </row>
    <row r="839" spans="1:13">
      <c r="A839" s="166"/>
      <c r="B839" s="163" t="s">
        <v>2353</v>
      </c>
      <c r="C839" s="163" t="s">
        <v>1959</v>
      </c>
      <c r="D839" s="170">
        <v>45931</v>
      </c>
      <c r="E839" s="170"/>
      <c r="F839" s="163" t="s">
        <v>16</v>
      </c>
      <c r="G839" s="171">
        <v>70.599999999999994</v>
      </c>
      <c r="H839" s="163" t="s">
        <v>1960</v>
      </c>
      <c r="I839" s="163"/>
      <c r="J839" s="163" t="s">
        <v>150</v>
      </c>
      <c r="K839" s="170"/>
      <c r="L839" s="163"/>
      <c r="M839" s="164" t="s">
        <v>19</v>
      </c>
    </row>
    <row r="840" spans="1:13">
      <c r="A840" s="167"/>
      <c r="B840" s="161" t="s">
        <v>2353</v>
      </c>
      <c r="C840" s="161" t="s">
        <v>1961</v>
      </c>
      <c r="D840" s="172">
        <v>45962</v>
      </c>
      <c r="E840" s="172"/>
      <c r="F840" s="161" t="s">
        <v>49</v>
      </c>
      <c r="G840" s="173">
        <v>70.599999999999994</v>
      </c>
      <c r="H840" s="161"/>
      <c r="I840" s="161"/>
      <c r="J840" s="161" t="s">
        <v>150</v>
      </c>
      <c r="K840" s="172"/>
      <c r="L840" s="161"/>
      <c r="M840" s="162" t="s">
        <v>19</v>
      </c>
    </row>
    <row r="841" spans="1:13">
      <c r="A841" s="166"/>
      <c r="B841" s="163" t="s">
        <v>2353</v>
      </c>
      <c r="C841" s="163" t="s">
        <v>1962</v>
      </c>
      <c r="D841" s="170">
        <v>45962</v>
      </c>
      <c r="E841" s="170"/>
      <c r="F841" s="163" t="s">
        <v>49</v>
      </c>
      <c r="G841" s="171">
        <v>66.86</v>
      </c>
      <c r="H841" s="163"/>
      <c r="I841" s="163"/>
      <c r="J841" s="163" t="s">
        <v>150</v>
      </c>
      <c r="K841" s="170"/>
      <c r="L841" s="163"/>
      <c r="M841" s="164" t="s">
        <v>19</v>
      </c>
    </row>
    <row r="842" spans="1:13">
      <c r="A842" s="167"/>
      <c r="B842" s="161" t="s">
        <v>2353</v>
      </c>
      <c r="C842" s="161" t="s">
        <v>1963</v>
      </c>
      <c r="D842" s="172">
        <v>45962</v>
      </c>
      <c r="E842" s="172"/>
      <c r="F842" s="161" t="s">
        <v>49</v>
      </c>
      <c r="G842" s="173">
        <v>62.79</v>
      </c>
      <c r="H842" s="161"/>
      <c r="I842" s="161"/>
      <c r="J842" s="161" t="s">
        <v>150</v>
      </c>
      <c r="K842" s="172"/>
      <c r="L842" s="161"/>
      <c r="M842" s="162" t="s">
        <v>19</v>
      </c>
    </row>
    <row r="843" spans="1:13">
      <c r="A843" s="166"/>
      <c r="B843" s="163" t="s">
        <v>2353</v>
      </c>
      <c r="C843" s="163" t="s">
        <v>1964</v>
      </c>
      <c r="D843" s="170">
        <v>45962</v>
      </c>
      <c r="E843" s="170"/>
      <c r="F843" s="163" t="s">
        <v>49</v>
      </c>
      <c r="G843" s="171">
        <v>58.8</v>
      </c>
      <c r="H843" s="163"/>
      <c r="I843" s="163"/>
      <c r="J843" s="163" t="s">
        <v>150</v>
      </c>
      <c r="K843" s="170"/>
      <c r="L843" s="163"/>
      <c r="M843" s="164" t="s">
        <v>19</v>
      </c>
    </row>
    <row r="844" spans="1:13">
      <c r="A844" s="167"/>
      <c r="B844" s="161" t="s">
        <v>2353</v>
      </c>
      <c r="C844" s="161" t="s">
        <v>1965</v>
      </c>
      <c r="D844" s="172">
        <v>45992</v>
      </c>
      <c r="E844" s="172"/>
      <c r="F844" s="161" t="s">
        <v>49</v>
      </c>
      <c r="G844" s="173">
        <v>70.599999999999994</v>
      </c>
      <c r="H844" s="161"/>
      <c r="I844" s="161"/>
      <c r="J844" s="161" t="s">
        <v>150</v>
      </c>
      <c r="K844" s="172"/>
      <c r="L844" s="161"/>
      <c r="M844" s="162" t="s">
        <v>19</v>
      </c>
    </row>
    <row r="845" spans="1:13">
      <c r="A845" s="166"/>
      <c r="B845" s="163" t="s">
        <v>2353</v>
      </c>
      <c r="C845" s="163" t="s">
        <v>1966</v>
      </c>
      <c r="D845" s="170">
        <v>45992</v>
      </c>
      <c r="E845" s="170"/>
      <c r="F845" s="163" t="s">
        <v>49</v>
      </c>
      <c r="G845" s="171">
        <v>62.79</v>
      </c>
      <c r="H845" s="163"/>
      <c r="I845" s="163"/>
      <c r="J845" s="163" t="s">
        <v>150</v>
      </c>
      <c r="K845" s="170"/>
      <c r="L845" s="163"/>
      <c r="M845" s="164" t="s">
        <v>19</v>
      </c>
    </row>
    <row r="846" spans="1:13">
      <c r="A846" s="167"/>
      <c r="B846" s="161" t="s">
        <v>2353</v>
      </c>
      <c r="C846" s="161" t="s">
        <v>1967</v>
      </c>
      <c r="D846" s="172">
        <v>45992</v>
      </c>
      <c r="E846" s="172"/>
      <c r="F846" s="161" t="s">
        <v>49</v>
      </c>
      <c r="G846" s="173">
        <v>66.86</v>
      </c>
      <c r="H846" s="161"/>
      <c r="I846" s="161"/>
      <c r="J846" s="161" t="s">
        <v>150</v>
      </c>
      <c r="K846" s="172"/>
      <c r="L846" s="161"/>
      <c r="M846" s="162" t="s">
        <v>19</v>
      </c>
    </row>
    <row r="847" spans="1:13">
      <c r="A847" s="166"/>
      <c r="B847" s="163" t="s">
        <v>2353</v>
      </c>
      <c r="C847" s="163" t="s">
        <v>1968</v>
      </c>
      <c r="D847" s="170">
        <v>45992</v>
      </c>
      <c r="E847" s="170"/>
      <c r="F847" s="163" t="s">
        <v>49</v>
      </c>
      <c r="G847" s="171">
        <v>58.8</v>
      </c>
      <c r="H847" s="163"/>
      <c r="I847" s="163"/>
      <c r="J847" s="163" t="s">
        <v>150</v>
      </c>
      <c r="K847" s="170"/>
      <c r="L847" s="163"/>
      <c r="M847" s="164" t="s">
        <v>19</v>
      </c>
    </row>
    <row r="848" spans="1:13">
      <c r="A848" s="167" t="s">
        <v>13</v>
      </c>
      <c r="B848" s="161" t="s">
        <v>3290</v>
      </c>
      <c r="C848" s="161" t="s">
        <v>3291</v>
      </c>
      <c r="D848" s="172">
        <v>45948</v>
      </c>
      <c r="E848" s="172" t="s">
        <v>1971</v>
      </c>
      <c r="F848" s="161" t="s">
        <v>49</v>
      </c>
      <c r="G848" s="173">
        <v>701.77</v>
      </c>
      <c r="H848" s="161"/>
      <c r="I848" s="161" t="s">
        <v>1972</v>
      </c>
      <c r="J848" s="161" t="s">
        <v>75</v>
      </c>
      <c r="K848" s="161">
        <v>45947</v>
      </c>
      <c r="L848" s="161">
        <v>701.77</v>
      </c>
      <c r="M848" s="162" t="s">
        <v>1973</v>
      </c>
    </row>
    <row r="849" spans="1:13">
      <c r="A849" s="166" t="s">
        <v>13</v>
      </c>
      <c r="B849" s="163" t="s">
        <v>3290</v>
      </c>
      <c r="C849" s="163" t="s">
        <v>3291</v>
      </c>
      <c r="D849" s="170">
        <v>45948</v>
      </c>
      <c r="E849" s="170">
        <v>45948</v>
      </c>
      <c r="F849" s="163" t="s">
        <v>49</v>
      </c>
      <c r="G849" s="171">
        <v>98.48</v>
      </c>
      <c r="H849" s="163"/>
      <c r="I849" s="163" t="s">
        <v>1972</v>
      </c>
      <c r="J849" s="163" t="s">
        <v>75</v>
      </c>
      <c r="K849" s="163">
        <v>45951</v>
      </c>
      <c r="L849" s="163">
        <v>98.48</v>
      </c>
      <c r="M849" s="164" t="s">
        <v>1974</v>
      </c>
    </row>
    <row r="850" spans="1:13">
      <c r="A850" s="167" t="s">
        <v>13</v>
      </c>
      <c r="B850" s="161" t="s">
        <v>2356</v>
      </c>
      <c r="C850" s="161" t="s">
        <v>343</v>
      </c>
      <c r="D850" s="172">
        <v>45670</v>
      </c>
      <c r="E850" s="172">
        <v>45670</v>
      </c>
      <c r="F850" s="161" t="s">
        <v>16</v>
      </c>
      <c r="G850" s="173">
        <v>830.72</v>
      </c>
      <c r="H850" s="161" t="s">
        <v>1976</v>
      </c>
      <c r="I850" s="161" t="s">
        <v>1977</v>
      </c>
      <c r="J850" s="161" t="s">
        <v>105</v>
      </c>
      <c r="K850" s="172"/>
      <c r="L850" s="161"/>
      <c r="M850" s="162" t="s">
        <v>1978</v>
      </c>
    </row>
    <row r="851" spans="1:13">
      <c r="A851" s="166" t="s">
        <v>13</v>
      </c>
      <c r="B851" s="163" t="s">
        <v>2356</v>
      </c>
      <c r="C851" s="163" t="s">
        <v>343</v>
      </c>
      <c r="D851" s="170">
        <v>45670</v>
      </c>
      <c r="E851" s="170">
        <v>45670</v>
      </c>
      <c r="F851" s="163" t="s">
        <v>16</v>
      </c>
      <c r="G851" s="171">
        <v>256.2</v>
      </c>
      <c r="H851" s="163" t="s">
        <v>1976</v>
      </c>
      <c r="I851" s="163" t="s">
        <v>1977</v>
      </c>
      <c r="J851" s="163" t="s">
        <v>56</v>
      </c>
      <c r="K851" s="170"/>
      <c r="L851" s="163"/>
      <c r="M851" s="164"/>
    </row>
    <row r="852" spans="1:13">
      <c r="A852" s="167" t="s">
        <v>13</v>
      </c>
      <c r="B852" s="161" t="s">
        <v>2356</v>
      </c>
      <c r="C852" s="161" t="s">
        <v>1979</v>
      </c>
      <c r="D852" s="172">
        <v>45688</v>
      </c>
      <c r="E852" s="172">
        <v>45688</v>
      </c>
      <c r="F852" s="161" t="s">
        <v>16</v>
      </c>
      <c r="G852" s="173">
        <v>-180.56</v>
      </c>
      <c r="H852" s="161" t="s">
        <v>1980</v>
      </c>
      <c r="I852" s="161" t="s">
        <v>1981</v>
      </c>
      <c r="J852" s="161"/>
      <c r="K852" s="172"/>
      <c r="L852" s="161"/>
      <c r="M852" s="162"/>
    </row>
    <row r="853" spans="1:13">
      <c r="A853" s="166" t="s">
        <v>13</v>
      </c>
      <c r="B853" s="163" t="s">
        <v>2356</v>
      </c>
      <c r="C853" s="163" t="s">
        <v>1982</v>
      </c>
      <c r="D853" s="170">
        <v>45731</v>
      </c>
      <c r="E853" s="170"/>
      <c r="F853" s="163" t="s">
        <v>16</v>
      </c>
      <c r="G853" s="171">
        <v>194.71</v>
      </c>
      <c r="H853" s="163" t="s">
        <v>1983</v>
      </c>
      <c r="I853" s="163" t="s">
        <v>1984</v>
      </c>
      <c r="J853" s="163" t="s">
        <v>751</v>
      </c>
      <c r="K853" s="170"/>
      <c r="L853" s="163"/>
      <c r="M853" s="164"/>
    </row>
    <row r="854" spans="1:13">
      <c r="A854" s="167" t="s">
        <v>13</v>
      </c>
      <c r="B854" s="161" t="s">
        <v>2356</v>
      </c>
      <c r="C854" s="161" t="s">
        <v>1985</v>
      </c>
      <c r="D854" s="172">
        <v>45747</v>
      </c>
      <c r="E854" s="172"/>
      <c r="F854" s="161" t="s">
        <v>16</v>
      </c>
      <c r="G854" s="173">
        <v>179.55</v>
      </c>
      <c r="H854" s="161" t="s">
        <v>1986</v>
      </c>
      <c r="I854" s="161" t="s">
        <v>1384</v>
      </c>
      <c r="J854" s="161" t="s">
        <v>66</v>
      </c>
      <c r="K854" s="172"/>
      <c r="L854" s="161"/>
      <c r="M854" s="162"/>
    </row>
    <row r="855" spans="1:13">
      <c r="A855" s="166" t="s">
        <v>13</v>
      </c>
      <c r="B855" s="163" t="s">
        <v>2356</v>
      </c>
      <c r="C855" s="163" t="s">
        <v>1987</v>
      </c>
      <c r="D855" s="170">
        <v>45800</v>
      </c>
      <c r="E855" s="170"/>
      <c r="F855" s="163" t="s">
        <v>16</v>
      </c>
      <c r="G855" s="171">
        <v>213.5</v>
      </c>
      <c r="H855" s="163" t="s">
        <v>1988</v>
      </c>
      <c r="I855" s="163" t="s">
        <v>1989</v>
      </c>
      <c r="J855" s="163" t="s">
        <v>56</v>
      </c>
      <c r="K855" s="163">
        <v>45868</v>
      </c>
      <c r="L855" s="163"/>
      <c r="M855" s="164" t="s">
        <v>345</v>
      </c>
    </row>
    <row r="856" spans="1:13">
      <c r="A856" s="167" t="s">
        <v>13</v>
      </c>
      <c r="B856" s="161" t="s">
        <v>2356</v>
      </c>
      <c r="C856" s="161" t="s">
        <v>3292</v>
      </c>
      <c r="D856" s="172">
        <v>45868</v>
      </c>
      <c r="E856" s="172"/>
      <c r="F856" s="161" t="s">
        <v>16</v>
      </c>
      <c r="G856" s="173">
        <v>1166.31</v>
      </c>
      <c r="H856" s="161"/>
      <c r="I856" s="161"/>
      <c r="J856" s="161" t="s">
        <v>66</v>
      </c>
      <c r="K856" s="172"/>
      <c r="L856" s="161"/>
      <c r="M856" s="162"/>
    </row>
    <row r="857" spans="1:13">
      <c r="A857" s="166" t="s">
        <v>13</v>
      </c>
      <c r="B857" s="163" t="s">
        <v>2356</v>
      </c>
      <c r="C857" s="163" t="s">
        <v>1991</v>
      </c>
      <c r="D857" s="170">
        <v>45874</v>
      </c>
      <c r="E857" s="170">
        <v>45910</v>
      </c>
      <c r="F857" s="163" t="s">
        <v>16</v>
      </c>
      <c r="G857" s="171">
        <v>1383.41</v>
      </c>
      <c r="H857" s="163" t="s">
        <v>1992</v>
      </c>
      <c r="I857" s="163" t="s">
        <v>1993</v>
      </c>
      <c r="J857" s="163" t="s">
        <v>66</v>
      </c>
      <c r="K857" s="170"/>
      <c r="L857" s="163"/>
      <c r="M857" s="164"/>
    </row>
    <row r="858" spans="1:13">
      <c r="A858" s="167" t="s">
        <v>13</v>
      </c>
      <c r="B858" s="161" t="s">
        <v>2356</v>
      </c>
      <c r="C858" s="161" t="s">
        <v>1994</v>
      </c>
      <c r="D858" s="172">
        <v>45909</v>
      </c>
      <c r="E858" s="172"/>
      <c r="F858" s="161" t="s">
        <v>16</v>
      </c>
      <c r="G858" s="173">
        <v>63.44</v>
      </c>
      <c r="H858" s="161" t="s">
        <v>1995</v>
      </c>
      <c r="I858" s="161" t="s">
        <v>1996</v>
      </c>
      <c r="J858" s="161" t="s">
        <v>56</v>
      </c>
      <c r="K858" s="172"/>
      <c r="L858" s="161"/>
      <c r="M858" s="162"/>
    </row>
    <row r="859" spans="1:13">
      <c r="A859" s="166" t="s">
        <v>1997</v>
      </c>
      <c r="B859" s="163" t="s">
        <v>2356</v>
      </c>
      <c r="C859" s="163" t="s">
        <v>1998</v>
      </c>
      <c r="D859" s="170">
        <v>45951</v>
      </c>
      <c r="E859" s="170">
        <v>45951</v>
      </c>
      <c r="F859" s="163" t="s">
        <v>16</v>
      </c>
      <c r="G859" s="171">
        <v>360.88</v>
      </c>
      <c r="H859" s="163"/>
      <c r="I859" s="163" t="s">
        <v>1999</v>
      </c>
      <c r="J859" s="163" t="s">
        <v>354</v>
      </c>
      <c r="K859" s="163">
        <v>45950</v>
      </c>
      <c r="L859" s="163">
        <v>295.8</v>
      </c>
      <c r="M859" s="164" t="s">
        <v>394</v>
      </c>
    </row>
    <row r="860" spans="1:13">
      <c r="A860" s="167" t="s">
        <v>2000</v>
      </c>
      <c r="B860" s="161" t="s">
        <v>2356</v>
      </c>
      <c r="C860" s="161" t="s">
        <v>1998</v>
      </c>
      <c r="D860" s="172">
        <v>45951</v>
      </c>
      <c r="E860" s="172">
        <v>45951</v>
      </c>
      <c r="F860" s="161"/>
      <c r="G860" s="173">
        <v>65.08</v>
      </c>
      <c r="H860" s="161"/>
      <c r="I860" s="161" t="s">
        <v>1999</v>
      </c>
      <c r="J860" s="161" t="s">
        <v>83</v>
      </c>
      <c r="K860" s="172"/>
      <c r="L860" s="161"/>
      <c r="M860" s="162"/>
    </row>
    <row r="861" spans="1:13">
      <c r="A861" s="166" t="s">
        <v>2001</v>
      </c>
      <c r="B861" s="163" t="s">
        <v>2356</v>
      </c>
      <c r="C861" s="163" t="s">
        <v>2002</v>
      </c>
      <c r="D861" s="170">
        <v>45996</v>
      </c>
      <c r="E861" s="170">
        <v>45667</v>
      </c>
      <c r="F861" s="163" t="s">
        <v>49</v>
      </c>
      <c r="G861" s="171">
        <v>5191.71</v>
      </c>
      <c r="H861" s="163"/>
      <c r="I861" s="163" t="s">
        <v>1999</v>
      </c>
      <c r="J861" s="163" t="s">
        <v>142</v>
      </c>
      <c r="K861" s="170"/>
      <c r="L861" s="163">
        <v>5155.1099999999997</v>
      </c>
      <c r="M861" s="164" t="s">
        <v>2003</v>
      </c>
    </row>
    <row r="862" spans="1:13">
      <c r="A862" s="167" t="s">
        <v>2000</v>
      </c>
      <c r="B862" s="161" t="s">
        <v>2356</v>
      </c>
      <c r="C862" s="161" t="s">
        <v>2002</v>
      </c>
      <c r="D862" s="172">
        <v>45996</v>
      </c>
      <c r="E862" s="172">
        <v>45667</v>
      </c>
      <c r="F862" s="161"/>
      <c r="G862" s="173">
        <v>36.600000000000357</v>
      </c>
      <c r="H862" s="161"/>
      <c r="I862" s="161" t="s">
        <v>1999</v>
      </c>
      <c r="J862" s="161" t="s">
        <v>83</v>
      </c>
      <c r="K862" s="172"/>
      <c r="L862" s="161"/>
      <c r="M862" s="162"/>
    </row>
    <row r="863" spans="1:13">
      <c r="A863" s="166" t="s">
        <v>2004</v>
      </c>
      <c r="B863" s="163" t="s">
        <v>3293</v>
      </c>
      <c r="C863" s="163" t="s">
        <v>3294</v>
      </c>
      <c r="D863" s="170">
        <v>45838</v>
      </c>
      <c r="E863" s="170">
        <v>45838</v>
      </c>
      <c r="F863" s="163" t="s">
        <v>16</v>
      </c>
      <c r="G863" s="171">
        <v>572</v>
      </c>
      <c r="H863" s="163"/>
      <c r="I863" s="163" t="s">
        <v>2007</v>
      </c>
      <c r="J863" s="163" t="s">
        <v>56</v>
      </c>
      <c r="K863" s="163">
        <v>45950</v>
      </c>
      <c r="L863" s="163">
        <v>582</v>
      </c>
      <c r="M863" s="164" t="s">
        <v>2008</v>
      </c>
    </row>
    <row r="864" spans="1:13">
      <c r="A864" s="167"/>
      <c r="B864" s="161" t="s">
        <v>2450</v>
      </c>
      <c r="C864" s="161" t="s">
        <v>2010</v>
      </c>
      <c r="D864" s="172">
        <v>45817</v>
      </c>
      <c r="E864" s="172"/>
      <c r="F864" s="161" t="s">
        <v>16</v>
      </c>
      <c r="G864" s="173">
        <v>180.84</v>
      </c>
      <c r="H864" s="161" t="s">
        <v>2011</v>
      </c>
      <c r="I864" s="161" t="s">
        <v>1863</v>
      </c>
      <c r="J864" s="161" t="s">
        <v>215</v>
      </c>
      <c r="K864" s="172"/>
      <c r="L864" s="161"/>
      <c r="M864" s="162"/>
    </row>
    <row r="865" spans="1:13">
      <c r="A865" s="166" t="s">
        <v>13</v>
      </c>
      <c r="B865" s="163" t="s">
        <v>2407</v>
      </c>
      <c r="C865" s="163" t="s">
        <v>1063</v>
      </c>
      <c r="D865" s="170">
        <v>45950</v>
      </c>
      <c r="E865" s="170">
        <v>45950</v>
      </c>
      <c r="F865" s="163" t="s">
        <v>49</v>
      </c>
      <c r="G865" s="171">
        <v>1989</v>
      </c>
      <c r="H865" s="163"/>
      <c r="I865" s="163" t="s">
        <v>2013</v>
      </c>
      <c r="J865" s="163" t="s">
        <v>142</v>
      </c>
      <c r="K865" s="170"/>
      <c r="L865" s="163">
        <v>1989</v>
      </c>
      <c r="M865" s="164" t="s">
        <v>111</v>
      </c>
    </row>
    <row r="866" spans="1:13">
      <c r="A866" s="167" t="s">
        <v>13</v>
      </c>
      <c r="B866" s="161" t="s">
        <v>3295</v>
      </c>
      <c r="C866" s="161" t="s">
        <v>2015</v>
      </c>
      <c r="D866" s="172">
        <v>45201</v>
      </c>
      <c r="E866" s="172"/>
      <c r="F866" s="161" t="s">
        <v>49</v>
      </c>
      <c r="G866" s="173">
        <v>269.63</v>
      </c>
      <c r="H866" s="161" t="s">
        <v>2016</v>
      </c>
      <c r="I866" s="161" t="s">
        <v>2017</v>
      </c>
      <c r="J866" s="161" t="s">
        <v>56</v>
      </c>
      <c r="K866" s="172"/>
      <c r="L866" s="161"/>
      <c r="M866" s="162" t="s">
        <v>2018</v>
      </c>
    </row>
    <row r="867" spans="1:13">
      <c r="A867" s="166" t="s">
        <v>13</v>
      </c>
      <c r="B867" s="163" t="s">
        <v>3295</v>
      </c>
      <c r="C867" s="163" t="s">
        <v>2019</v>
      </c>
      <c r="D867" s="170">
        <v>45203</v>
      </c>
      <c r="E867" s="170"/>
      <c r="F867" s="163" t="s">
        <v>49</v>
      </c>
      <c r="G867" s="171">
        <v>94.28</v>
      </c>
      <c r="H867" s="163" t="s">
        <v>2020</v>
      </c>
      <c r="I867" s="163" t="s">
        <v>2017</v>
      </c>
      <c r="J867" s="163" t="s">
        <v>56</v>
      </c>
      <c r="K867" s="163">
        <v>45853</v>
      </c>
      <c r="L867" s="163"/>
      <c r="M867" s="164" t="s">
        <v>2021</v>
      </c>
    </row>
    <row r="868" spans="1:13">
      <c r="A868" s="167" t="s">
        <v>13</v>
      </c>
      <c r="B868" s="161" t="s">
        <v>3295</v>
      </c>
      <c r="C868" s="161" t="s">
        <v>2022</v>
      </c>
      <c r="D868" s="172">
        <v>45203</v>
      </c>
      <c r="E868" s="172"/>
      <c r="F868" s="161" t="s">
        <v>49</v>
      </c>
      <c r="G868" s="173">
        <v>1236.82</v>
      </c>
      <c r="H868" s="161" t="s">
        <v>2023</v>
      </c>
      <c r="I868" s="161" t="s">
        <v>2017</v>
      </c>
      <c r="J868" s="161" t="s">
        <v>56</v>
      </c>
      <c r="K868" s="172"/>
      <c r="L868" s="161"/>
      <c r="M868" s="162" t="s">
        <v>2024</v>
      </c>
    </row>
    <row r="869" spans="1:13">
      <c r="A869" s="166" t="s">
        <v>13</v>
      </c>
      <c r="B869" s="163" t="s">
        <v>3295</v>
      </c>
      <c r="C869" s="163" t="s">
        <v>2022</v>
      </c>
      <c r="D869" s="170">
        <v>45203</v>
      </c>
      <c r="E869" s="170"/>
      <c r="F869" s="163" t="s">
        <v>49</v>
      </c>
      <c r="G869" s="171">
        <v>1636.99</v>
      </c>
      <c r="H869" s="163" t="s">
        <v>2023</v>
      </c>
      <c r="I869" s="163" t="s">
        <v>2017</v>
      </c>
      <c r="J869" s="163" t="s">
        <v>56</v>
      </c>
      <c r="K869" s="170"/>
      <c r="L869" s="163"/>
      <c r="M869" s="164" t="s">
        <v>2025</v>
      </c>
    </row>
    <row r="870" spans="1:13">
      <c r="A870" s="167" t="s">
        <v>13</v>
      </c>
      <c r="B870" s="161" t="s">
        <v>3295</v>
      </c>
      <c r="C870" s="161" t="s">
        <v>2019</v>
      </c>
      <c r="D870" s="172">
        <v>45965</v>
      </c>
      <c r="E870" s="172"/>
      <c r="F870" s="161" t="s">
        <v>49</v>
      </c>
      <c r="G870" s="173">
        <v>472.74</v>
      </c>
      <c r="H870" s="161"/>
      <c r="I870" s="161" t="s">
        <v>2026</v>
      </c>
      <c r="J870" s="161" t="s">
        <v>83</v>
      </c>
      <c r="K870" s="172"/>
      <c r="L870" s="161"/>
      <c r="M870" s="162" t="s">
        <v>2027</v>
      </c>
    </row>
    <row r="871" spans="1:13">
      <c r="A871" s="166"/>
      <c r="B871" s="163" t="s">
        <v>2362</v>
      </c>
      <c r="C871" s="163" t="s">
        <v>2029</v>
      </c>
      <c r="D871" s="170">
        <v>45804</v>
      </c>
      <c r="E871" s="170"/>
      <c r="F871" s="163" t="s">
        <v>16</v>
      </c>
      <c r="G871" s="171">
        <v>71.790000000000006</v>
      </c>
      <c r="H871" s="163" t="s">
        <v>2030</v>
      </c>
      <c r="I871" s="163" t="s">
        <v>1455</v>
      </c>
      <c r="J871" s="163" t="s">
        <v>56</v>
      </c>
      <c r="K871" s="170"/>
      <c r="L871" s="163"/>
      <c r="M871" s="164"/>
    </row>
    <row r="872" spans="1:13">
      <c r="A872" s="167"/>
      <c r="B872" s="161" t="s">
        <v>2362</v>
      </c>
      <c r="C872" s="161" t="s">
        <v>2031</v>
      </c>
      <c r="D872" s="172">
        <v>45974</v>
      </c>
      <c r="E872" s="172">
        <v>45974</v>
      </c>
      <c r="F872" s="161" t="s">
        <v>49</v>
      </c>
      <c r="G872" s="173">
        <v>85.18</v>
      </c>
      <c r="H872" s="161"/>
      <c r="I872" s="161" t="s">
        <v>1455</v>
      </c>
      <c r="J872" s="161" t="s">
        <v>56</v>
      </c>
      <c r="K872" s="161">
        <v>45974</v>
      </c>
      <c r="L872" s="161">
        <v>85.18</v>
      </c>
      <c r="M872" s="162" t="s">
        <v>47</v>
      </c>
    </row>
    <row r="873" spans="1:13">
      <c r="A873" s="166"/>
      <c r="B873" s="163" t="s">
        <v>3296</v>
      </c>
      <c r="C873" s="163" t="s">
        <v>2033</v>
      </c>
      <c r="D873" s="170">
        <v>45688</v>
      </c>
      <c r="E873" s="170">
        <v>45716</v>
      </c>
      <c r="F873" s="163" t="s">
        <v>16</v>
      </c>
      <c r="G873" s="171">
        <v>152.38999999999999</v>
      </c>
      <c r="H873" s="163" t="s">
        <v>2034</v>
      </c>
      <c r="I873" s="163" t="s">
        <v>312</v>
      </c>
      <c r="J873" s="163" t="s">
        <v>110</v>
      </c>
      <c r="K873" s="163">
        <v>45716</v>
      </c>
      <c r="L873" s="163">
        <v>152.38999999999999</v>
      </c>
      <c r="M873" s="164"/>
    </row>
    <row r="874" spans="1:13">
      <c r="A874" s="167"/>
      <c r="B874" s="161" t="s">
        <v>3296</v>
      </c>
      <c r="C874" s="161" t="s">
        <v>2033</v>
      </c>
      <c r="D874" s="172">
        <v>45688</v>
      </c>
      <c r="E874" s="172">
        <v>45747</v>
      </c>
      <c r="F874" s="161" t="s">
        <v>16</v>
      </c>
      <c r="G874" s="173">
        <v>152.38999999999999</v>
      </c>
      <c r="H874" s="161" t="s">
        <v>2034</v>
      </c>
      <c r="I874" s="161" t="s">
        <v>312</v>
      </c>
      <c r="J874" s="161" t="s">
        <v>66</v>
      </c>
      <c r="K874" s="161">
        <v>45775</v>
      </c>
      <c r="L874" s="161">
        <v>152.38999999999999</v>
      </c>
      <c r="M874" s="162"/>
    </row>
    <row r="875" spans="1:13">
      <c r="A875" s="166"/>
      <c r="B875" s="163" t="s">
        <v>3296</v>
      </c>
      <c r="C875" s="163" t="s">
        <v>2035</v>
      </c>
      <c r="D875" s="170">
        <v>45650</v>
      </c>
      <c r="E875" s="170">
        <v>45716</v>
      </c>
      <c r="F875" s="163" t="s">
        <v>16</v>
      </c>
      <c r="G875" s="171">
        <v>694.17</v>
      </c>
      <c r="H875" s="163" t="s">
        <v>2036</v>
      </c>
      <c r="I875" s="163"/>
      <c r="J875" s="163" t="s">
        <v>110</v>
      </c>
      <c r="K875" s="163">
        <v>45775</v>
      </c>
      <c r="L875" s="163">
        <v>694.17</v>
      </c>
      <c r="M875" s="164"/>
    </row>
    <row r="876" spans="1:13">
      <c r="A876" s="168"/>
      <c r="B876" s="169" t="s">
        <v>2488</v>
      </c>
      <c r="C876" s="169" t="s">
        <v>338</v>
      </c>
      <c r="D876" s="174">
        <v>45685</v>
      </c>
      <c r="E876" s="174"/>
      <c r="F876" s="169" t="s">
        <v>16</v>
      </c>
      <c r="G876" s="175">
        <v>1300</v>
      </c>
      <c r="H876" s="169" t="s">
        <v>2038</v>
      </c>
      <c r="I876" s="169" t="s">
        <v>337</v>
      </c>
      <c r="J876" s="169" t="s">
        <v>56</v>
      </c>
      <c r="K876" s="174"/>
      <c r="L876" s="169"/>
      <c r="M876" s="16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020478-8134-479F-AC01-65EA23AD3F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20</vt:i4>
      </vt:variant>
    </vt:vector>
  </HeadingPairs>
  <TitlesOfParts>
    <vt:vector size="20" baseType="lpstr">
      <vt:lpstr>ISTRUZIONI</vt:lpstr>
      <vt:lpstr>TANIA_FORNITORI</vt:lpstr>
      <vt:lpstr>REPORT XML</vt:lpstr>
      <vt:lpstr>UNIONE TANIA MAIN</vt:lpstr>
      <vt:lpstr>UNIONE REPORT MAIN</vt:lpstr>
      <vt:lpstr>MAIN</vt:lpstr>
      <vt:lpstr>STATICO</vt:lpstr>
      <vt:lpstr>MERGE</vt:lpstr>
      <vt:lpstr>ESPOSIZIONE (2)</vt:lpstr>
      <vt:lpstr>ESPOSIZIONE</vt:lpstr>
      <vt:lpstr>PIV.CASHFLOW</vt:lpstr>
      <vt:lpstr>CASHFLOW</vt:lpstr>
      <vt:lpstr>MUTUI</vt:lpstr>
      <vt:lpstr>TITOLI E CAMBIALI</vt:lpstr>
      <vt:lpstr>ASSICURAZIONI</vt:lpstr>
      <vt:lpstr>DOMICILIAZIONI</vt:lpstr>
      <vt:lpstr>ACCORDI</vt:lpstr>
      <vt:lpstr>DATABASE_SCHEDULAZIONE</vt:lpstr>
      <vt:lpstr>SCHEDULAZIONE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EDILVERTOVA SRL</cp:lastModifiedBy>
  <cp:lastPrinted>2026-03-06T12:46:56Z</cp:lastPrinted>
  <dcterms:created xsi:type="dcterms:W3CDTF">2025-09-29T15:40:56Z</dcterms:created>
  <dcterms:modified xsi:type="dcterms:W3CDTF">2026-03-07T14:37:38Z</dcterms:modified>
</cp:coreProperties>
</file>